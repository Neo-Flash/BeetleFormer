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dpsc-my.sharepoint.com/personal/sgaddelapati_danforthcenter_org/Documents/Desktop/NAA40/Communication biology/Comm_NAA40_R2/Submission/"/>
    </mc:Choice>
  </mc:AlternateContent>
  <xr:revisionPtr revIDLastSave="132" documentId="13_ncr:1_{4400A357-9C73-4BE0-B4B1-A09DD53C0131}" xr6:coauthVersionLast="47" xr6:coauthVersionMax="47" xr10:uidLastSave="{EB2D55A2-DF2C-4ED2-8F3D-91BA8280AC05}"/>
  <bookViews>
    <workbookView xWindow="-110" yWindow="-110" windowWidth="19420" windowHeight="10300" firstSheet="11" activeTab="12" xr2:uid="{00000000-000D-0000-FFFF-FFFF00000000}"/>
  </bookViews>
  <sheets>
    <sheet name="Fig. 1" sheetId="36" r:id="rId1"/>
    <sheet name="Fig. 2" sheetId="52" r:id="rId2"/>
    <sheet name="Fig. 4E" sheetId="64" r:id="rId3"/>
    <sheet name="Fig. 5A" sheetId="39" r:id="rId4"/>
    <sheet name="Fig. 6" sheetId="40" r:id="rId5"/>
    <sheet name="Fig. 7" sheetId="41" r:id="rId6"/>
    <sheet name="Fig. 8" sheetId="42" r:id="rId7"/>
    <sheet name="Supplementary Fig. 1" sheetId="43" r:id="rId8"/>
    <sheet name="Supplementary Fig. 3" sheetId="59" r:id="rId9"/>
    <sheet name="Supplementary Fig. 4" sheetId="58" r:id="rId10"/>
    <sheet name="Supplementary Fig. 5" sheetId="60" r:id="rId11"/>
    <sheet name="Supplementary Fig. 7" sheetId="50" r:id="rId12"/>
    <sheet name="Supplementary Fig. 8" sheetId="61" r:id="rId13"/>
    <sheet name="Supplementary Fig. 9" sheetId="49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5" i="42" l="1"/>
  <c r="C342" i="42"/>
  <c r="F342" i="42" s="1"/>
  <c r="G342" i="42" s="1"/>
  <c r="C339" i="42"/>
  <c r="D339" i="42" s="1"/>
  <c r="C336" i="42"/>
  <c r="C333" i="42"/>
  <c r="F333" i="42" s="1"/>
  <c r="G333" i="42" s="1"/>
  <c r="C330" i="42"/>
  <c r="D330" i="42" s="1"/>
  <c r="C327" i="42"/>
  <c r="F327" i="42" s="1"/>
  <c r="G327" i="42" s="1"/>
  <c r="F324" i="42"/>
  <c r="G324" i="42" s="1"/>
  <c r="C324" i="42"/>
  <c r="C321" i="42"/>
  <c r="D321" i="42" s="1"/>
  <c r="C318" i="42"/>
  <c r="C315" i="42"/>
  <c r="F315" i="42" s="1"/>
  <c r="G315" i="42" s="1"/>
  <c r="C312" i="42"/>
  <c r="D312" i="42" s="1"/>
  <c r="C308" i="42"/>
  <c r="C305" i="42"/>
  <c r="F305" i="42" s="1"/>
  <c r="G305" i="42" s="1"/>
  <c r="C302" i="42"/>
  <c r="D302" i="42" s="1"/>
  <c r="C296" i="42"/>
  <c r="F296" i="42" s="1"/>
  <c r="G296" i="42" s="1"/>
  <c r="F293" i="42"/>
  <c r="G293" i="42" s="1"/>
  <c r="C293" i="42"/>
  <c r="D290" i="42"/>
  <c r="C290" i="42"/>
  <c r="C287" i="42"/>
  <c r="F287" i="42" s="1"/>
  <c r="G287" i="42" s="1"/>
  <c r="F284" i="42"/>
  <c r="G284" i="42" s="1"/>
  <c r="C284" i="42"/>
  <c r="C281" i="42"/>
  <c r="D281" i="42" s="1"/>
  <c r="C278" i="42"/>
  <c r="F278" i="42" s="1"/>
  <c r="G278" i="42" s="1"/>
  <c r="C275" i="42"/>
  <c r="F275" i="42" s="1"/>
  <c r="G275" i="42" s="1"/>
  <c r="C272" i="42"/>
  <c r="D272" i="42" s="1"/>
  <c r="C269" i="42"/>
  <c r="C266" i="42"/>
  <c r="F266" i="42" s="1"/>
  <c r="G266" i="42" s="1"/>
  <c r="C263" i="42"/>
  <c r="D263" i="42" s="1"/>
  <c r="C259" i="42"/>
  <c r="F256" i="42"/>
  <c r="G256" i="42" s="1"/>
  <c r="C256" i="42"/>
  <c r="C253" i="42"/>
  <c r="D253" i="42" s="1"/>
  <c r="E275" i="42" s="1"/>
  <c r="C246" i="42"/>
  <c r="C243" i="42"/>
  <c r="F243" i="42" s="1"/>
  <c r="G243" i="42" s="1"/>
  <c r="C240" i="42"/>
  <c r="D240" i="42" s="1"/>
  <c r="C237" i="42"/>
  <c r="F237" i="42" s="1"/>
  <c r="G237" i="42" s="1"/>
  <c r="F234" i="42"/>
  <c r="G234" i="42" s="1"/>
  <c r="C234" i="42"/>
  <c r="C231" i="42"/>
  <c r="D231" i="42" s="1"/>
  <c r="C228" i="42"/>
  <c r="C225" i="42"/>
  <c r="F225" i="42" s="1"/>
  <c r="G225" i="42" s="1"/>
  <c r="C222" i="42"/>
  <c r="D222" i="42" s="1"/>
  <c r="C219" i="42"/>
  <c r="F219" i="42" s="1"/>
  <c r="G219" i="42" s="1"/>
  <c r="C216" i="42"/>
  <c r="F216" i="42" s="1"/>
  <c r="G216" i="42" s="1"/>
  <c r="C213" i="42"/>
  <c r="D213" i="42" s="1"/>
  <c r="C209" i="42"/>
  <c r="C206" i="42"/>
  <c r="F206" i="42" s="1"/>
  <c r="G206" i="42" s="1"/>
  <c r="C203" i="42"/>
  <c r="D203" i="42" s="1"/>
  <c r="C179" i="42"/>
  <c r="C197" i="42"/>
  <c r="C194" i="42"/>
  <c r="F194" i="42" s="1"/>
  <c r="G194" i="42" s="1"/>
  <c r="C191" i="42"/>
  <c r="D191" i="42" s="1"/>
  <c r="C188" i="42"/>
  <c r="C185" i="42"/>
  <c r="F185" i="42" s="1"/>
  <c r="G185" i="42" s="1"/>
  <c r="C182" i="42"/>
  <c r="D182" i="42" s="1"/>
  <c r="C170" i="42"/>
  <c r="C167" i="42"/>
  <c r="F167" i="42" s="1"/>
  <c r="G167" i="42" s="1"/>
  <c r="C164" i="42"/>
  <c r="D164" i="42" s="1"/>
  <c r="C176" i="42"/>
  <c r="F176" i="42" s="1"/>
  <c r="G176" i="42" s="1"/>
  <c r="C173" i="42"/>
  <c r="D173" i="42" s="1"/>
  <c r="C160" i="42"/>
  <c r="C157" i="42"/>
  <c r="F157" i="42" s="1"/>
  <c r="G157" i="42" s="1"/>
  <c r="C154" i="42"/>
  <c r="D154" i="42" s="1"/>
  <c r="C148" i="42"/>
  <c r="C145" i="42"/>
  <c r="F145" i="42" s="1"/>
  <c r="G145" i="42" s="1"/>
  <c r="C142" i="42"/>
  <c r="D142" i="42" s="1"/>
  <c r="C139" i="42"/>
  <c r="C136" i="42"/>
  <c r="F136" i="42" s="1"/>
  <c r="G136" i="42" s="1"/>
  <c r="C133" i="42"/>
  <c r="D133" i="42" s="1"/>
  <c r="E139" i="42" s="1"/>
  <c r="C121" i="42"/>
  <c r="C118" i="42"/>
  <c r="F118" i="42" s="1"/>
  <c r="G118" i="42" s="1"/>
  <c r="C115" i="42"/>
  <c r="D115" i="42" s="1"/>
  <c r="E118" i="42" s="1"/>
  <c r="C130" i="42"/>
  <c r="C127" i="42"/>
  <c r="F127" i="42" s="1"/>
  <c r="G127" i="42" s="1"/>
  <c r="C124" i="42"/>
  <c r="D124" i="42" s="1"/>
  <c r="E127" i="42" s="1"/>
  <c r="C112" i="42"/>
  <c r="C109" i="42"/>
  <c r="F109" i="42" s="1"/>
  <c r="G109" i="42" s="1"/>
  <c r="C106" i="42"/>
  <c r="D106" i="42" s="1"/>
  <c r="E130" i="42" s="1"/>
  <c r="E20" i="64"/>
  <c r="E17" i="64"/>
  <c r="E39" i="64"/>
  <c r="E30" i="64"/>
  <c r="C108" i="64"/>
  <c r="C105" i="64"/>
  <c r="F105" i="64" s="1"/>
  <c r="G105" i="64" s="1"/>
  <c r="C102" i="64"/>
  <c r="D102" i="64" s="1"/>
  <c r="C99" i="64"/>
  <c r="E99" i="64" s="1"/>
  <c r="C96" i="64"/>
  <c r="E96" i="64" s="1"/>
  <c r="C93" i="64"/>
  <c r="D93" i="64" s="1"/>
  <c r="C86" i="64"/>
  <c r="E86" i="64" s="1"/>
  <c r="C83" i="64"/>
  <c r="F83" i="64" s="1"/>
  <c r="G83" i="64" s="1"/>
  <c r="C80" i="64"/>
  <c r="D80" i="64" s="1"/>
  <c r="C77" i="64"/>
  <c r="F77" i="64" s="1"/>
  <c r="G77" i="64" s="1"/>
  <c r="E74" i="64"/>
  <c r="C74" i="64"/>
  <c r="F74" i="64" s="1"/>
  <c r="G74" i="64" s="1"/>
  <c r="C71" i="64"/>
  <c r="D71" i="64" s="1"/>
  <c r="C64" i="64"/>
  <c r="F64" i="64" s="1"/>
  <c r="G64" i="64" s="1"/>
  <c r="C61" i="64"/>
  <c r="F61" i="64" s="1"/>
  <c r="G61" i="64" s="1"/>
  <c r="C58" i="64"/>
  <c r="D58" i="64" s="1"/>
  <c r="C55" i="64"/>
  <c r="E55" i="64" s="1"/>
  <c r="C52" i="64"/>
  <c r="E52" i="64" s="1"/>
  <c r="C49" i="64"/>
  <c r="D49" i="64" s="1"/>
  <c r="C42" i="64"/>
  <c r="F42" i="64" s="1"/>
  <c r="G42" i="64" s="1"/>
  <c r="F39" i="64"/>
  <c r="G39" i="64" s="1"/>
  <c r="C39" i="64"/>
  <c r="C36" i="64"/>
  <c r="D36" i="64" s="1"/>
  <c r="C33" i="64"/>
  <c r="E33" i="64" s="1"/>
  <c r="C30" i="64"/>
  <c r="C27" i="64"/>
  <c r="D27" i="64" s="1"/>
  <c r="C20" i="64"/>
  <c r="C17" i="64"/>
  <c r="F17" i="64" s="1"/>
  <c r="G17" i="64" s="1"/>
  <c r="C14" i="64"/>
  <c r="D14" i="64" s="1"/>
  <c r="C11" i="64"/>
  <c r="C8" i="64"/>
  <c r="F8" i="64" s="1"/>
  <c r="G8" i="64" s="1"/>
  <c r="C5" i="64"/>
  <c r="D5" i="64" s="1"/>
  <c r="E99" i="42"/>
  <c r="F99" i="42" s="1"/>
  <c r="E98" i="42"/>
  <c r="F98" i="42" s="1"/>
  <c r="E97" i="42"/>
  <c r="F97" i="42" s="1"/>
  <c r="E96" i="42"/>
  <c r="F96" i="42" s="1"/>
  <c r="E95" i="42"/>
  <c r="F95" i="42" s="1"/>
  <c r="E94" i="42"/>
  <c r="F94" i="42" s="1"/>
  <c r="E93" i="42"/>
  <c r="F93" i="42" s="1"/>
  <c r="E92" i="42"/>
  <c r="F92" i="42" s="1"/>
  <c r="E91" i="42"/>
  <c r="F91" i="42" s="1"/>
  <c r="E90" i="42"/>
  <c r="F90" i="42" s="1"/>
  <c r="E89" i="42"/>
  <c r="F89" i="42" s="1"/>
  <c r="E88" i="42"/>
  <c r="F88" i="42" s="1"/>
  <c r="E84" i="42"/>
  <c r="F84" i="42" s="1"/>
  <c r="E83" i="42"/>
  <c r="F83" i="42" s="1"/>
  <c r="E82" i="42"/>
  <c r="F82" i="42" s="1"/>
  <c r="E81" i="42"/>
  <c r="F81" i="42" s="1"/>
  <c r="E80" i="42"/>
  <c r="F80" i="42" s="1"/>
  <c r="E79" i="42"/>
  <c r="F79" i="42" s="1"/>
  <c r="E78" i="42"/>
  <c r="F78" i="42" s="1"/>
  <c r="E77" i="42"/>
  <c r="F77" i="42" s="1"/>
  <c r="E76" i="42"/>
  <c r="F76" i="42" s="1"/>
  <c r="E75" i="42"/>
  <c r="F75" i="42" s="1"/>
  <c r="E74" i="42"/>
  <c r="F74" i="42" s="1"/>
  <c r="E73" i="42"/>
  <c r="F73" i="42" s="1"/>
  <c r="E69" i="42"/>
  <c r="F69" i="42" s="1"/>
  <c r="E68" i="42"/>
  <c r="F68" i="42" s="1"/>
  <c r="E67" i="42"/>
  <c r="F67" i="42" s="1"/>
  <c r="E66" i="42"/>
  <c r="F66" i="42" s="1"/>
  <c r="E65" i="42"/>
  <c r="F65" i="42" s="1"/>
  <c r="E64" i="42"/>
  <c r="F64" i="42" s="1"/>
  <c r="E63" i="42"/>
  <c r="F63" i="42" s="1"/>
  <c r="E62" i="42"/>
  <c r="F62" i="42" s="1"/>
  <c r="E61" i="42"/>
  <c r="F61" i="42" s="1"/>
  <c r="E60" i="42"/>
  <c r="F60" i="42" s="1"/>
  <c r="E59" i="42"/>
  <c r="F59" i="42" s="1"/>
  <c r="E58" i="42"/>
  <c r="F58" i="42" s="1"/>
  <c r="E54" i="42"/>
  <c r="F54" i="42" s="1"/>
  <c r="E53" i="42"/>
  <c r="F53" i="42" s="1"/>
  <c r="E52" i="42"/>
  <c r="F52" i="42" s="1"/>
  <c r="E51" i="42"/>
  <c r="F51" i="42" s="1"/>
  <c r="E50" i="42"/>
  <c r="F50" i="42" s="1"/>
  <c r="E49" i="42"/>
  <c r="F49" i="42" s="1"/>
  <c r="E48" i="42"/>
  <c r="F48" i="42" s="1"/>
  <c r="E47" i="42"/>
  <c r="F47" i="42" s="1"/>
  <c r="E46" i="42"/>
  <c r="F46" i="42" s="1"/>
  <c r="E45" i="42"/>
  <c r="F45" i="42" s="1"/>
  <c r="E44" i="42"/>
  <c r="F44" i="42" s="1"/>
  <c r="E43" i="42"/>
  <c r="F43" i="42" s="1"/>
  <c r="E37" i="42"/>
  <c r="F37" i="42" s="1"/>
  <c r="E36" i="42"/>
  <c r="F36" i="42" s="1"/>
  <c r="E35" i="42"/>
  <c r="F35" i="42" s="1"/>
  <c r="E34" i="42"/>
  <c r="F34" i="42" s="1"/>
  <c r="E33" i="42"/>
  <c r="F33" i="42" s="1"/>
  <c r="E32" i="42"/>
  <c r="F32" i="42" s="1"/>
  <c r="E28" i="42"/>
  <c r="F28" i="42" s="1"/>
  <c r="E27" i="42"/>
  <c r="F27" i="42" s="1"/>
  <c r="E26" i="42"/>
  <c r="F26" i="42" s="1"/>
  <c r="E25" i="42"/>
  <c r="F25" i="42" s="1"/>
  <c r="E24" i="42"/>
  <c r="F24" i="42" s="1"/>
  <c r="E23" i="42"/>
  <c r="F23" i="42" s="1"/>
  <c r="E19" i="42"/>
  <c r="F19" i="42" s="1"/>
  <c r="E18" i="42"/>
  <c r="F18" i="42" s="1"/>
  <c r="E17" i="42"/>
  <c r="F17" i="42" s="1"/>
  <c r="E16" i="42"/>
  <c r="F16" i="42" s="1"/>
  <c r="E15" i="42"/>
  <c r="F15" i="42" s="1"/>
  <c r="E14" i="42"/>
  <c r="F14" i="42" s="1"/>
  <c r="E5" i="42"/>
  <c r="F5" i="42" s="1"/>
  <c r="E6" i="42"/>
  <c r="F6" i="42" s="1"/>
  <c r="E7" i="42"/>
  <c r="F7" i="42" s="1"/>
  <c r="E8" i="42"/>
  <c r="F8" i="42" s="1"/>
  <c r="E9" i="42"/>
  <c r="F9" i="42" s="1"/>
  <c r="E10" i="42"/>
  <c r="F10" i="42" s="1"/>
  <c r="F202" i="41"/>
  <c r="G202" i="41" s="1"/>
  <c r="F201" i="41"/>
  <c r="G201" i="41" s="1"/>
  <c r="F200" i="41"/>
  <c r="G200" i="41" s="1"/>
  <c r="F199" i="41"/>
  <c r="G199" i="41" s="1"/>
  <c r="F198" i="41"/>
  <c r="G198" i="41" s="1"/>
  <c r="F197" i="41"/>
  <c r="G197" i="41" s="1"/>
  <c r="F196" i="41"/>
  <c r="G196" i="41" s="1"/>
  <c r="F195" i="41"/>
  <c r="G195" i="41" s="1"/>
  <c r="F194" i="41"/>
  <c r="G194" i="41" s="1"/>
  <c r="F193" i="41"/>
  <c r="G193" i="41" s="1"/>
  <c r="F192" i="41"/>
  <c r="G192" i="41" s="1"/>
  <c r="F191" i="41"/>
  <c r="G191" i="41" s="1"/>
  <c r="F190" i="41"/>
  <c r="G190" i="41" s="1"/>
  <c r="F189" i="41"/>
  <c r="G189" i="41" s="1"/>
  <c r="F188" i="41"/>
  <c r="G188" i="41" s="1"/>
  <c r="F187" i="41"/>
  <c r="G187" i="41" s="1"/>
  <c r="F186" i="41"/>
  <c r="G186" i="41" s="1"/>
  <c r="F185" i="41"/>
  <c r="G185" i="41" s="1"/>
  <c r="G184" i="41"/>
  <c r="F184" i="41"/>
  <c r="F183" i="41"/>
  <c r="G183" i="41" s="1"/>
  <c r="F182" i="41"/>
  <c r="G182" i="41" s="1"/>
  <c r="F181" i="41"/>
  <c r="G181" i="41" s="1"/>
  <c r="F180" i="41"/>
  <c r="G180" i="41" s="1"/>
  <c r="F179" i="41"/>
  <c r="G179" i="41" s="1"/>
  <c r="F178" i="41"/>
  <c r="G178" i="41" s="1"/>
  <c r="F177" i="41"/>
  <c r="G177" i="41" s="1"/>
  <c r="F176" i="41"/>
  <c r="G176" i="41" s="1"/>
  <c r="F175" i="41"/>
  <c r="G175" i="41" s="1"/>
  <c r="F174" i="41"/>
  <c r="G174" i="41" s="1"/>
  <c r="F173" i="41"/>
  <c r="G173" i="41" s="1"/>
  <c r="F172" i="41"/>
  <c r="G172" i="41" s="1"/>
  <c r="F171" i="41"/>
  <c r="G171" i="41" s="1"/>
  <c r="F170" i="41"/>
  <c r="G170" i="41" s="1"/>
  <c r="F169" i="41"/>
  <c r="G169" i="41" s="1"/>
  <c r="F168" i="41"/>
  <c r="G168" i="41" s="1"/>
  <c r="F167" i="41"/>
  <c r="G167" i="41" s="1"/>
  <c r="F162" i="41"/>
  <c r="G162" i="41" s="1"/>
  <c r="F161" i="41"/>
  <c r="G161" i="41" s="1"/>
  <c r="F160" i="41"/>
  <c r="G160" i="41" s="1"/>
  <c r="G159" i="41"/>
  <c r="F159" i="41"/>
  <c r="F158" i="41"/>
  <c r="G158" i="41" s="1"/>
  <c r="F157" i="41"/>
  <c r="G157" i="41" s="1"/>
  <c r="F156" i="41"/>
  <c r="G156" i="41" s="1"/>
  <c r="F155" i="41"/>
  <c r="G155" i="41" s="1"/>
  <c r="F154" i="41"/>
  <c r="G154" i="41" s="1"/>
  <c r="G153" i="41"/>
  <c r="F153" i="41"/>
  <c r="F152" i="41"/>
  <c r="G152" i="41" s="1"/>
  <c r="F151" i="41"/>
  <c r="G151" i="41" s="1"/>
  <c r="G150" i="41"/>
  <c r="F150" i="41"/>
  <c r="F149" i="41"/>
  <c r="G149" i="41" s="1"/>
  <c r="F148" i="41"/>
  <c r="G148" i="41" s="1"/>
  <c r="F147" i="41"/>
  <c r="G147" i="41" s="1"/>
  <c r="F146" i="41"/>
  <c r="G146" i="41" s="1"/>
  <c r="F145" i="41"/>
  <c r="G145" i="41" s="1"/>
  <c r="G144" i="41"/>
  <c r="F144" i="41"/>
  <c r="F143" i="41"/>
  <c r="G143" i="41" s="1"/>
  <c r="F142" i="41"/>
  <c r="G142" i="41" s="1"/>
  <c r="F141" i="41"/>
  <c r="G141" i="41" s="1"/>
  <c r="F140" i="41"/>
  <c r="G140" i="41" s="1"/>
  <c r="F139" i="41"/>
  <c r="G139" i="41" s="1"/>
  <c r="F138" i="41"/>
  <c r="G138" i="41" s="1"/>
  <c r="F137" i="41"/>
  <c r="G137" i="41" s="1"/>
  <c r="F136" i="41"/>
  <c r="G136" i="41" s="1"/>
  <c r="F135" i="41"/>
  <c r="G135" i="41" s="1"/>
  <c r="F134" i="41"/>
  <c r="G134" i="41" s="1"/>
  <c r="F133" i="41"/>
  <c r="G133" i="41" s="1"/>
  <c r="F132" i="41"/>
  <c r="G132" i="41" s="1"/>
  <c r="F131" i="41"/>
  <c r="G131" i="41" s="1"/>
  <c r="F130" i="41"/>
  <c r="G130" i="41" s="1"/>
  <c r="F129" i="41"/>
  <c r="G129" i="41" s="1"/>
  <c r="F128" i="41"/>
  <c r="G128" i="41" s="1"/>
  <c r="F127" i="41"/>
  <c r="G127" i="41" s="1"/>
  <c r="F123" i="41"/>
  <c r="G123" i="41" s="1"/>
  <c r="F122" i="41"/>
  <c r="G122" i="41" s="1"/>
  <c r="F121" i="41"/>
  <c r="G121" i="41" s="1"/>
  <c r="F120" i="41"/>
  <c r="G120" i="41" s="1"/>
  <c r="F119" i="41"/>
  <c r="G119" i="41" s="1"/>
  <c r="F118" i="41"/>
  <c r="G118" i="41" s="1"/>
  <c r="F117" i="41"/>
  <c r="G117" i="41" s="1"/>
  <c r="F116" i="41"/>
  <c r="G116" i="41" s="1"/>
  <c r="F115" i="41"/>
  <c r="G115" i="41" s="1"/>
  <c r="F114" i="41"/>
  <c r="G114" i="41" s="1"/>
  <c r="F113" i="41"/>
  <c r="G113" i="41" s="1"/>
  <c r="F112" i="41"/>
  <c r="G112" i="41" s="1"/>
  <c r="F111" i="41"/>
  <c r="G111" i="41" s="1"/>
  <c r="F110" i="41"/>
  <c r="G110" i="41" s="1"/>
  <c r="F109" i="41"/>
  <c r="G109" i="41" s="1"/>
  <c r="F108" i="41"/>
  <c r="G108" i="41" s="1"/>
  <c r="F107" i="41"/>
  <c r="G107" i="41" s="1"/>
  <c r="F106" i="41"/>
  <c r="G106" i="41" s="1"/>
  <c r="F105" i="41"/>
  <c r="G105" i="41" s="1"/>
  <c r="F104" i="41"/>
  <c r="G104" i="41" s="1"/>
  <c r="F103" i="41"/>
  <c r="G103" i="41" s="1"/>
  <c r="F102" i="41"/>
  <c r="G102" i="41" s="1"/>
  <c r="F101" i="41"/>
  <c r="G101" i="41" s="1"/>
  <c r="F100" i="41"/>
  <c r="G100" i="41" s="1"/>
  <c r="F99" i="41"/>
  <c r="G99" i="41" s="1"/>
  <c r="F98" i="41"/>
  <c r="G98" i="41" s="1"/>
  <c r="F97" i="41"/>
  <c r="G97" i="41" s="1"/>
  <c r="F96" i="41"/>
  <c r="G96" i="41" s="1"/>
  <c r="F95" i="41"/>
  <c r="G95" i="41" s="1"/>
  <c r="F94" i="41"/>
  <c r="G94" i="41" s="1"/>
  <c r="F93" i="41"/>
  <c r="G93" i="41" s="1"/>
  <c r="F92" i="41"/>
  <c r="G92" i="41" s="1"/>
  <c r="F91" i="41"/>
  <c r="G91" i="41" s="1"/>
  <c r="F90" i="41"/>
  <c r="G90" i="41" s="1"/>
  <c r="F89" i="41"/>
  <c r="G89" i="41" s="1"/>
  <c r="F88" i="41"/>
  <c r="G88" i="41" s="1"/>
  <c r="F345" i="42" l="1"/>
  <c r="G345" i="42" s="1"/>
  <c r="F336" i="42"/>
  <c r="G336" i="42" s="1"/>
  <c r="F318" i="42"/>
  <c r="G318" i="42" s="1"/>
  <c r="F308" i="42"/>
  <c r="G308" i="42" s="1"/>
  <c r="E336" i="42"/>
  <c r="E315" i="42"/>
  <c r="E333" i="42"/>
  <c r="E318" i="42"/>
  <c r="E345" i="42"/>
  <c r="E342" i="42"/>
  <c r="E324" i="42"/>
  <c r="E308" i="42"/>
  <c r="E327" i="42"/>
  <c r="E305" i="42"/>
  <c r="F259" i="42"/>
  <c r="G259" i="42" s="1"/>
  <c r="E296" i="42"/>
  <c r="E293" i="42"/>
  <c r="E284" i="42"/>
  <c r="E287" i="42"/>
  <c r="E266" i="42"/>
  <c r="E269" i="42"/>
  <c r="F269" i="42"/>
  <c r="G269" i="42" s="1"/>
  <c r="E256" i="42"/>
  <c r="E278" i="42"/>
  <c r="E259" i="42"/>
  <c r="F246" i="42"/>
  <c r="G246" i="42" s="1"/>
  <c r="F228" i="42"/>
  <c r="G228" i="42" s="1"/>
  <c r="F209" i="42"/>
  <c r="G209" i="42" s="1"/>
  <c r="E246" i="42"/>
  <c r="E243" i="42"/>
  <c r="E234" i="42"/>
  <c r="E219" i="42"/>
  <c r="E237" i="42"/>
  <c r="E216" i="42"/>
  <c r="E228" i="42"/>
  <c r="E225" i="42"/>
  <c r="E209" i="42"/>
  <c r="E206" i="42"/>
  <c r="E109" i="42"/>
  <c r="E112" i="42"/>
  <c r="E136" i="42"/>
  <c r="E197" i="42"/>
  <c r="F121" i="42"/>
  <c r="G121" i="42" s="1"/>
  <c r="F188" i="42"/>
  <c r="G188" i="42" s="1"/>
  <c r="F139" i="42"/>
  <c r="G139" i="42" s="1"/>
  <c r="F130" i="42"/>
  <c r="G130" i="42" s="1"/>
  <c r="F170" i="42"/>
  <c r="G170" i="42" s="1"/>
  <c r="E121" i="42"/>
  <c r="F179" i="42"/>
  <c r="G179" i="42" s="1"/>
  <c r="F160" i="42"/>
  <c r="G160" i="42" s="1"/>
  <c r="F197" i="42"/>
  <c r="G197" i="42" s="1"/>
  <c r="E194" i="42"/>
  <c r="E167" i="42"/>
  <c r="E188" i="42"/>
  <c r="E170" i="42"/>
  <c r="E185" i="42"/>
  <c r="E157" i="42"/>
  <c r="E160" i="42"/>
  <c r="E176" i="42"/>
  <c r="E179" i="42"/>
  <c r="F148" i="42"/>
  <c r="G148" i="42" s="1"/>
  <c r="F112" i="42"/>
  <c r="G112" i="42" s="1"/>
  <c r="E145" i="42"/>
  <c r="E148" i="42"/>
  <c r="F108" i="64"/>
  <c r="G108" i="64" s="1"/>
  <c r="F99" i="64"/>
  <c r="G99" i="64" s="1"/>
  <c r="F86" i="64"/>
  <c r="G86" i="64" s="1"/>
  <c r="F55" i="64"/>
  <c r="G55" i="64" s="1"/>
  <c r="F52" i="64"/>
  <c r="G52" i="64" s="1"/>
  <c r="E42" i="64"/>
  <c r="F33" i="64"/>
  <c r="G33" i="64" s="1"/>
  <c r="E105" i="64"/>
  <c r="F96" i="64"/>
  <c r="G96" i="64" s="1"/>
  <c r="E108" i="64"/>
  <c r="E83" i="64"/>
  <c r="E77" i="64"/>
  <c r="E61" i="64"/>
  <c r="E64" i="64"/>
  <c r="F30" i="64"/>
  <c r="G30" i="64" s="1"/>
  <c r="F20" i="64"/>
  <c r="G20" i="64" s="1"/>
  <c r="F11" i="64"/>
  <c r="G11" i="64" s="1"/>
  <c r="E11" i="64"/>
  <c r="E8" i="64"/>
  <c r="G88" i="42"/>
  <c r="H88" i="42"/>
  <c r="G94" i="42"/>
  <c r="H94" i="42"/>
  <c r="G91" i="42"/>
  <c r="H91" i="42"/>
  <c r="G97" i="42"/>
  <c r="H97" i="42"/>
  <c r="H76" i="42"/>
  <c r="G76" i="42"/>
  <c r="H79" i="42"/>
  <c r="G79" i="42"/>
  <c r="G73" i="42"/>
  <c r="H73" i="42"/>
  <c r="H82" i="42"/>
  <c r="G82" i="42"/>
  <c r="H58" i="42"/>
  <c r="G58" i="42"/>
  <c r="G67" i="42"/>
  <c r="H67" i="42"/>
  <c r="H64" i="42"/>
  <c r="G64" i="42"/>
  <c r="G61" i="42"/>
  <c r="H61" i="42"/>
  <c r="H49" i="42"/>
  <c r="G49" i="42"/>
  <c r="H52" i="42"/>
  <c r="G52" i="42"/>
  <c r="H46" i="42"/>
  <c r="G46" i="42"/>
  <c r="H43" i="42"/>
  <c r="G43" i="42"/>
  <c r="H32" i="42"/>
  <c r="G32" i="42"/>
  <c r="G35" i="42"/>
  <c r="H35" i="42"/>
  <c r="H26" i="42"/>
  <c r="G26" i="42"/>
  <c r="H23" i="42"/>
  <c r="G23" i="42"/>
  <c r="H14" i="42"/>
  <c r="G14" i="42"/>
  <c r="G17" i="42"/>
  <c r="H17" i="42"/>
  <c r="H8" i="42"/>
  <c r="G8" i="42"/>
  <c r="H5" i="42"/>
  <c r="G5" i="42"/>
  <c r="I173" i="41"/>
  <c r="H173" i="41"/>
  <c r="I185" i="41"/>
  <c r="H185" i="41"/>
  <c r="I191" i="41"/>
  <c r="H191" i="41"/>
  <c r="H197" i="41"/>
  <c r="I197" i="41"/>
  <c r="H167" i="41"/>
  <c r="I167" i="41"/>
  <c r="I200" i="41"/>
  <c r="H200" i="41"/>
  <c r="I179" i="41"/>
  <c r="H179" i="41"/>
  <c r="I170" i="41"/>
  <c r="H170" i="41"/>
  <c r="I176" i="41"/>
  <c r="H176" i="41"/>
  <c r="I182" i="41"/>
  <c r="H182" i="41"/>
  <c r="H188" i="41"/>
  <c r="I188" i="41"/>
  <c r="H194" i="41"/>
  <c r="I194" i="41"/>
  <c r="I127" i="41"/>
  <c r="H127" i="41"/>
  <c r="I133" i="41"/>
  <c r="H133" i="41"/>
  <c r="I139" i="41"/>
  <c r="H139" i="41"/>
  <c r="I145" i="41"/>
  <c r="H145" i="41"/>
  <c r="I151" i="41"/>
  <c r="H151" i="41"/>
  <c r="I157" i="41"/>
  <c r="H157" i="41"/>
  <c r="I130" i="41"/>
  <c r="H130" i="41"/>
  <c r="I136" i="41"/>
  <c r="H136" i="41"/>
  <c r="I142" i="41"/>
  <c r="H142" i="41"/>
  <c r="I148" i="41"/>
  <c r="H148" i="41"/>
  <c r="I154" i="41"/>
  <c r="H154" i="41"/>
  <c r="I160" i="41"/>
  <c r="H160" i="41"/>
  <c r="H103" i="41"/>
  <c r="I106" i="41"/>
  <c r="H106" i="41"/>
  <c r="I118" i="41"/>
  <c r="H118" i="41"/>
  <c r="I112" i="41"/>
  <c r="H112" i="41"/>
  <c r="H121" i="41"/>
  <c r="I121" i="41"/>
  <c r="H109" i="41"/>
  <c r="I109" i="41"/>
  <c r="H115" i="41"/>
  <c r="I115" i="41"/>
  <c r="I100" i="41"/>
  <c r="H100" i="41"/>
  <c r="I103" i="41"/>
  <c r="I94" i="41"/>
  <c r="H94" i="41"/>
  <c r="I88" i="41"/>
  <c r="H88" i="41"/>
  <c r="I91" i="41"/>
  <c r="H91" i="41"/>
  <c r="I97" i="41"/>
  <c r="H97" i="41"/>
  <c r="E51" i="61" l="1"/>
  <c r="E50" i="61"/>
  <c r="E49" i="61"/>
  <c r="E48" i="61"/>
  <c r="G48" i="61" s="1"/>
  <c r="E47" i="61"/>
  <c r="E46" i="61"/>
  <c r="E45" i="61"/>
  <c r="E44" i="61"/>
  <c r="E43" i="61"/>
  <c r="E42" i="61"/>
  <c r="E41" i="61"/>
  <c r="E40" i="61"/>
  <c r="E39" i="61"/>
  <c r="E38" i="61"/>
  <c r="E37" i="61"/>
  <c r="E36" i="61"/>
  <c r="E30" i="61"/>
  <c r="E29" i="61"/>
  <c r="E28" i="61"/>
  <c r="F48" i="61" l="1"/>
  <c r="G44" i="61"/>
  <c r="F44" i="61"/>
  <c r="E17" i="61"/>
  <c r="E16" i="61"/>
  <c r="E15" i="61"/>
  <c r="E14" i="61"/>
  <c r="E13" i="61"/>
  <c r="E12" i="61"/>
  <c r="F12" i="61" s="1"/>
  <c r="G12" i="61" l="1"/>
  <c r="E10" i="61"/>
  <c r="E7" i="61" l="1"/>
  <c r="E35" i="61"/>
  <c r="E34" i="61"/>
  <c r="E33" i="61"/>
  <c r="E32" i="61"/>
  <c r="E31" i="61"/>
  <c r="E27" i="61"/>
  <c r="E26" i="61"/>
  <c r="E25" i="61"/>
  <c r="E24" i="61"/>
  <c r="E23" i="61"/>
  <c r="E22" i="61"/>
  <c r="E21" i="61"/>
  <c r="E20" i="61"/>
  <c r="E19" i="61"/>
  <c r="E18" i="61"/>
  <c r="E11" i="61"/>
  <c r="E9" i="61"/>
  <c r="E8" i="61"/>
  <c r="E6" i="61"/>
  <c r="E5" i="61"/>
  <c r="E4" i="61"/>
  <c r="F4" i="61" l="1"/>
  <c r="G4" i="61"/>
  <c r="F36" i="61"/>
  <c r="G36" i="61"/>
  <c r="F40" i="61"/>
  <c r="G40" i="61"/>
  <c r="G32" i="61"/>
  <c r="F32" i="61"/>
  <c r="F28" i="61"/>
  <c r="G28" i="61"/>
  <c r="F24" i="61"/>
  <c r="G24" i="61"/>
  <c r="F20" i="61"/>
  <c r="G20" i="61"/>
  <c r="F16" i="61"/>
  <c r="G16" i="61"/>
  <c r="G8" i="61"/>
  <c r="F8" i="61"/>
  <c r="J25" i="60" l="1"/>
  <c r="K25" i="60" s="1"/>
  <c r="J24" i="60"/>
  <c r="J20" i="60" l="1"/>
  <c r="J19" i="60"/>
  <c r="J67" i="60"/>
  <c r="K67" i="60" s="1"/>
  <c r="J66" i="60"/>
  <c r="K66" i="60" s="1"/>
  <c r="J65" i="60"/>
  <c r="K65" i="60" s="1"/>
  <c r="J64" i="60"/>
  <c r="J63" i="60"/>
  <c r="J57" i="60"/>
  <c r="J56" i="60"/>
  <c r="J55" i="60"/>
  <c r="J54" i="60"/>
  <c r="J53" i="60"/>
  <c r="J47" i="60"/>
  <c r="K47" i="60" s="1"/>
  <c r="J46" i="60"/>
  <c r="J45" i="60"/>
  <c r="J39" i="60"/>
  <c r="J38" i="60"/>
  <c r="J32" i="60"/>
  <c r="J31" i="60"/>
  <c r="J15" i="60"/>
  <c r="J14" i="60"/>
  <c r="J10" i="60"/>
  <c r="J9" i="60"/>
  <c r="J5" i="60"/>
  <c r="J4" i="60"/>
  <c r="G34" i="59"/>
  <c r="H34" i="59" s="1"/>
  <c r="E34" i="59"/>
  <c r="G33" i="59"/>
  <c r="H33" i="59" s="1"/>
  <c r="E33" i="59"/>
  <c r="E32" i="59"/>
  <c r="G32" i="59" s="1"/>
  <c r="H32" i="59" s="1"/>
  <c r="F31" i="59"/>
  <c r="G16" i="59" s="1"/>
  <c r="H16" i="59" s="1"/>
  <c r="E31" i="59"/>
  <c r="G31" i="59" s="1"/>
  <c r="H31" i="59" s="1"/>
  <c r="E30" i="59"/>
  <c r="G30" i="59" s="1"/>
  <c r="H30" i="59" s="1"/>
  <c r="E29" i="59"/>
  <c r="G29" i="59" s="1"/>
  <c r="H29" i="59" s="1"/>
  <c r="E23" i="59"/>
  <c r="E22" i="59"/>
  <c r="G22" i="59" s="1"/>
  <c r="H22" i="59" s="1"/>
  <c r="E21" i="59"/>
  <c r="G21" i="59" s="1"/>
  <c r="H21" i="59" s="1"/>
  <c r="E20" i="59"/>
  <c r="G20" i="59" s="1"/>
  <c r="H20" i="59" s="1"/>
  <c r="E19" i="59"/>
  <c r="G19" i="59" s="1"/>
  <c r="H19" i="59" s="1"/>
  <c r="E18" i="59"/>
  <c r="G18" i="59" s="1"/>
  <c r="H18" i="59" s="1"/>
  <c r="E17" i="59"/>
  <c r="E16" i="59"/>
  <c r="E11" i="59"/>
  <c r="G11" i="59" s="1"/>
  <c r="H11" i="59" s="1"/>
  <c r="E10" i="59"/>
  <c r="G10" i="59" s="1"/>
  <c r="H10" i="59" s="1"/>
  <c r="H9" i="59"/>
  <c r="G9" i="59"/>
  <c r="E9" i="59"/>
  <c r="E8" i="59"/>
  <c r="G8" i="59" s="1"/>
  <c r="H8" i="59" s="1"/>
  <c r="G7" i="59"/>
  <c r="H7" i="59" s="1"/>
  <c r="E7" i="59"/>
  <c r="E6" i="59"/>
  <c r="G6" i="59" s="1"/>
  <c r="H6" i="59" s="1"/>
  <c r="E5" i="59"/>
  <c r="G5" i="59" s="1"/>
  <c r="H5" i="59" s="1"/>
  <c r="E4" i="59"/>
  <c r="G4" i="59" s="1"/>
  <c r="H4" i="59" s="1"/>
  <c r="I7" i="59" s="1"/>
  <c r="J16" i="58"/>
  <c r="J15" i="58"/>
  <c r="K11" i="58"/>
  <c r="J11" i="58"/>
  <c r="J10" i="58"/>
  <c r="K6" i="58"/>
  <c r="J6" i="58"/>
  <c r="J5" i="58"/>
  <c r="K55" i="60" l="1"/>
  <c r="K56" i="60"/>
  <c r="K57" i="60"/>
  <c r="K20" i="60"/>
  <c r="K46" i="60"/>
  <c r="K54" i="60"/>
  <c r="K5" i="60"/>
  <c r="K39" i="60"/>
  <c r="K64" i="60"/>
  <c r="K32" i="60"/>
  <c r="K15" i="60"/>
  <c r="K10" i="60"/>
  <c r="I31" i="59"/>
  <c r="G17" i="59"/>
  <c r="H17" i="59" s="1"/>
  <c r="I19" i="59" s="1"/>
  <c r="F7" i="59"/>
  <c r="G23" i="59"/>
  <c r="H23" i="59" s="1"/>
  <c r="F19" i="59"/>
  <c r="K16" i="58"/>
  <c r="T349" i="36" l="1"/>
  <c r="S349" i="36"/>
  <c r="R349" i="36"/>
  <c r="Q349" i="36"/>
  <c r="J348" i="36"/>
  <c r="C348" i="36"/>
  <c r="R348" i="36" s="1"/>
  <c r="T347" i="36"/>
  <c r="S347" i="36"/>
  <c r="R347" i="36"/>
  <c r="Q347" i="36"/>
  <c r="T346" i="36"/>
  <c r="S346" i="36"/>
  <c r="R346" i="36"/>
  <c r="Q346" i="36"/>
  <c r="J345" i="36"/>
  <c r="T345" i="36" s="1"/>
  <c r="C345" i="36"/>
  <c r="R345" i="36" s="1"/>
  <c r="J344" i="36"/>
  <c r="T344" i="36" s="1"/>
  <c r="C344" i="36"/>
  <c r="R344" i="36" s="1"/>
  <c r="T343" i="36"/>
  <c r="S343" i="36"/>
  <c r="R343" i="36"/>
  <c r="Q343" i="36"/>
  <c r="T342" i="36"/>
  <c r="S342" i="36"/>
  <c r="R342" i="36"/>
  <c r="Q342" i="36"/>
  <c r="T341" i="36"/>
  <c r="S341" i="36"/>
  <c r="R341" i="36"/>
  <c r="Q341" i="36"/>
  <c r="J340" i="36"/>
  <c r="T340" i="36" s="1"/>
  <c r="C340" i="36"/>
  <c r="Q340" i="36" s="1"/>
  <c r="J339" i="36"/>
  <c r="S339" i="36" s="1"/>
  <c r="C339" i="36"/>
  <c r="R339" i="36" s="1"/>
  <c r="J338" i="36"/>
  <c r="T338" i="36" s="1"/>
  <c r="C338" i="36"/>
  <c r="R338" i="36" s="1"/>
  <c r="T337" i="36"/>
  <c r="S337" i="36"/>
  <c r="R337" i="36"/>
  <c r="Q337" i="36"/>
  <c r="T336" i="36"/>
  <c r="S336" i="36"/>
  <c r="R336" i="36"/>
  <c r="Q336" i="36"/>
  <c r="T335" i="36"/>
  <c r="S335" i="36"/>
  <c r="R335" i="36"/>
  <c r="Q335" i="36"/>
  <c r="J334" i="36"/>
  <c r="T334" i="36" s="1"/>
  <c r="C334" i="36"/>
  <c r="R334" i="36" s="1"/>
  <c r="J333" i="36"/>
  <c r="S333" i="36" s="1"/>
  <c r="C333" i="36"/>
  <c r="R333" i="36" s="1"/>
  <c r="J332" i="36"/>
  <c r="T332" i="36" s="1"/>
  <c r="C332" i="36"/>
  <c r="R332" i="36" s="1"/>
  <c r="V349" i="36" l="1"/>
  <c r="V336" i="36"/>
  <c r="V341" i="36"/>
  <c r="W342" i="36"/>
  <c r="X336" i="36"/>
  <c r="W349" i="36"/>
  <c r="X343" i="36"/>
  <c r="U346" i="36"/>
  <c r="X342" i="36"/>
  <c r="V343" i="36"/>
  <c r="V335" i="36"/>
  <c r="X349" i="36"/>
  <c r="T339" i="36"/>
  <c r="X339" i="36" s="1"/>
  <c r="Q334" i="36"/>
  <c r="U343" i="36"/>
  <c r="W341" i="36"/>
  <c r="X335" i="36"/>
  <c r="X346" i="36"/>
  <c r="Q332" i="36"/>
  <c r="X334" i="36"/>
  <c r="U336" i="36"/>
  <c r="W343" i="36"/>
  <c r="Q344" i="36"/>
  <c r="S334" i="36"/>
  <c r="Q338" i="36"/>
  <c r="R340" i="36"/>
  <c r="X340" i="36" s="1"/>
  <c r="T333" i="36"/>
  <c r="X333" i="36" s="1"/>
  <c r="U335" i="36"/>
  <c r="V337" i="36"/>
  <c r="S340" i="36"/>
  <c r="U340" i="36" s="1"/>
  <c r="V342" i="36"/>
  <c r="S345" i="36"/>
  <c r="V347" i="36"/>
  <c r="U349" i="36"/>
  <c r="X341" i="36"/>
  <c r="Q348" i="36"/>
  <c r="X337" i="36"/>
  <c r="X347" i="36"/>
  <c r="V346" i="36"/>
  <c r="X345" i="36"/>
  <c r="W345" i="36"/>
  <c r="W332" i="36"/>
  <c r="X332" i="36"/>
  <c r="W344" i="36"/>
  <c r="X344" i="36"/>
  <c r="X338" i="36"/>
  <c r="W338" i="36"/>
  <c r="W335" i="36"/>
  <c r="U337" i="36"/>
  <c r="U347" i="36"/>
  <c r="S332" i="36"/>
  <c r="W336" i="36"/>
  <c r="S338" i="36"/>
  <c r="S344" i="36"/>
  <c r="W346" i="36"/>
  <c r="S348" i="36"/>
  <c r="Q333" i="36"/>
  <c r="W337" i="36"/>
  <c r="Q339" i="36"/>
  <c r="U341" i="36"/>
  <c r="Q345" i="36"/>
  <c r="W347" i="36"/>
  <c r="T348" i="36"/>
  <c r="X348" i="36" s="1"/>
  <c r="W334" i="36"/>
  <c r="U342" i="36"/>
  <c r="W333" i="36" l="1"/>
  <c r="V348" i="36"/>
  <c r="U338" i="36"/>
  <c r="V344" i="36"/>
  <c r="V334" i="36"/>
  <c r="W339" i="36"/>
  <c r="V340" i="36"/>
  <c r="U344" i="36"/>
  <c r="U348" i="36"/>
  <c r="W340" i="36"/>
  <c r="V332" i="36"/>
  <c r="U334" i="36"/>
  <c r="U345" i="36"/>
  <c r="V345" i="36"/>
  <c r="U339" i="36"/>
  <c r="V339" i="36"/>
  <c r="W348" i="36"/>
  <c r="V338" i="36"/>
  <c r="U333" i="36"/>
  <c r="V333" i="36"/>
  <c r="U332" i="36"/>
  <c r="F156" i="52" l="1"/>
  <c r="E156" i="52"/>
  <c r="F155" i="52"/>
  <c r="E155" i="52"/>
  <c r="E154" i="52"/>
  <c r="F154" i="52" s="1"/>
  <c r="G153" i="52" s="1"/>
  <c r="F153" i="52"/>
  <c r="E153" i="52"/>
  <c r="F152" i="52"/>
  <c r="E152" i="52"/>
  <c r="E151" i="52"/>
  <c r="F151" i="52" s="1"/>
  <c r="E150" i="52"/>
  <c r="F150" i="52" s="1"/>
  <c r="H149" i="52" s="1"/>
  <c r="F149" i="52"/>
  <c r="G149" i="52" s="1"/>
  <c r="E149" i="52"/>
  <c r="E148" i="52"/>
  <c r="F148" i="52" s="1"/>
  <c r="E147" i="52"/>
  <c r="F147" i="52" s="1"/>
  <c r="F146" i="52"/>
  <c r="E146" i="52"/>
  <c r="E145" i="52"/>
  <c r="F145" i="52" s="1"/>
  <c r="E144" i="52"/>
  <c r="F144" i="52" s="1"/>
  <c r="E143" i="52"/>
  <c r="F143" i="52" s="1"/>
  <c r="F142" i="52"/>
  <c r="E142" i="52"/>
  <c r="E141" i="52"/>
  <c r="F141" i="52" s="1"/>
  <c r="E137" i="52"/>
  <c r="F137" i="52" s="1"/>
  <c r="E136" i="52"/>
  <c r="F136" i="52" s="1"/>
  <c r="F135" i="52"/>
  <c r="E135" i="52"/>
  <c r="E134" i="52"/>
  <c r="F134" i="52" s="1"/>
  <c r="E133" i="52"/>
  <c r="F133" i="52" s="1"/>
  <c r="F132" i="52"/>
  <c r="E132" i="52"/>
  <c r="E131" i="52"/>
  <c r="F131" i="52" s="1"/>
  <c r="E130" i="52"/>
  <c r="F130" i="52" s="1"/>
  <c r="F129" i="52"/>
  <c r="E129" i="52"/>
  <c r="E128" i="52"/>
  <c r="F128" i="52" s="1"/>
  <c r="E127" i="52"/>
  <c r="F127" i="52" s="1"/>
  <c r="F126" i="52"/>
  <c r="E126" i="52"/>
  <c r="E125" i="52"/>
  <c r="F125" i="52" s="1"/>
  <c r="E124" i="52"/>
  <c r="F124" i="52" s="1"/>
  <c r="E123" i="52"/>
  <c r="F123" i="52" s="1"/>
  <c r="E122" i="52"/>
  <c r="F122" i="52" s="1"/>
  <c r="E118" i="52"/>
  <c r="F118" i="52" s="1"/>
  <c r="E117" i="52"/>
  <c r="F117" i="52" s="1"/>
  <c r="E116" i="52"/>
  <c r="F116" i="52" s="1"/>
  <c r="E115" i="52"/>
  <c r="F115" i="52" s="1"/>
  <c r="E114" i="52"/>
  <c r="F114" i="52" s="1"/>
  <c r="E113" i="52"/>
  <c r="F113" i="52" s="1"/>
  <c r="E112" i="52"/>
  <c r="F112" i="52" s="1"/>
  <c r="E111" i="52"/>
  <c r="F111" i="52" s="1"/>
  <c r="E110" i="52"/>
  <c r="F110" i="52" s="1"/>
  <c r="E109" i="52"/>
  <c r="F109" i="52" s="1"/>
  <c r="E108" i="52"/>
  <c r="F108" i="52" s="1"/>
  <c r="E107" i="52"/>
  <c r="F107" i="52" s="1"/>
  <c r="E106" i="52"/>
  <c r="F106" i="52" s="1"/>
  <c r="E105" i="52"/>
  <c r="F105" i="52" s="1"/>
  <c r="E104" i="52"/>
  <c r="F104" i="52" s="1"/>
  <c r="E103" i="52"/>
  <c r="F103" i="52" s="1"/>
  <c r="E97" i="52"/>
  <c r="F97" i="52" s="1"/>
  <c r="E96" i="52"/>
  <c r="F96" i="52" s="1"/>
  <c r="E95" i="52"/>
  <c r="F95" i="52" s="1"/>
  <c r="E94" i="52"/>
  <c r="F94" i="52" s="1"/>
  <c r="E93" i="52"/>
  <c r="F93" i="52" s="1"/>
  <c r="E92" i="52"/>
  <c r="F92" i="52" s="1"/>
  <c r="E91" i="52"/>
  <c r="F91" i="52" s="1"/>
  <c r="E90" i="52"/>
  <c r="F90" i="52" s="1"/>
  <c r="E89" i="52"/>
  <c r="F89" i="52" s="1"/>
  <c r="H153" i="52" l="1"/>
  <c r="H145" i="52"/>
  <c r="G145" i="52"/>
  <c r="G141" i="52"/>
  <c r="H141" i="52"/>
  <c r="H122" i="52"/>
  <c r="G122" i="52"/>
  <c r="H130" i="52"/>
  <c r="G130" i="52"/>
  <c r="H126" i="52"/>
  <c r="H134" i="52"/>
  <c r="G134" i="52"/>
  <c r="G126" i="52"/>
  <c r="H103" i="52"/>
  <c r="G103" i="52"/>
  <c r="H111" i="52"/>
  <c r="G111" i="52"/>
  <c r="H107" i="52"/>
  <c r="G107" i="52"/>
  <c r="H115" i="52"/>
  <c r="G115" i="52"/>
  <c r="G89" i="52"/>
  <c r="H89" i="52"/>
  <c r="H95" i="52"/>
  <c r="G95" i="52"/>
  <c r="H92" i="52"/>
  <c r="G92" i="52"/>
  <c r="D84" i="52" l="1"/>
  <c r="E84" i="52" s="1"/>
  <c r="D83" i="52"/>
  <c r="E83" i="52" s="1"/>
  <c r="D82" i="52"/>
  <c r="E82" i="52" s="1"/>
  <c r="D81" i="52"/>
  <c r="E81" i="52" s="1"/>
  <c r="D80" i="52"/>
  <c r="E80" i="52" s="1"/>
  <c r="D79" i="52"/>
  <c r="E79" i="52" s="1"/>
  <c r="D78" i="52"/>
  <c r="E78" i="52" s="1"/>
  <c r="E77" i="52"/>
  <c r="D77" i="52"/>
  <c r="D76" i="52"/>
  <c r="E76" i="52" s="1"/>
  <c r="D75" i="52"/>
  <c r="E75" i="52" s="1"/>
  <c r="D74" i="52"/>
  <c r="E74" i="52" s="1"/>
  <c r="D73" i="52"/>
  <c r="E73" i="52" s="1"/>
  <c r="E67" i="52"/>
  <c r="F67" i="52" s="1"/>
  <c r="E66" i="52"/>
  <c r="F66" i="52" s="1"/>
  <c r="E65" i="52"/>
  <c r="F65" i="52" s="1"/>
  <c r="E64" i="52"/>
  <c r="F64" i="52" s="1"/>
  <c r="E63" i="52"/>
  <c r="F63" i="52" s="1"/>
  <c r="E62" i="52"/>
  <c r="F62" i="52" s="1"/>
  <c r="E61" i="52"/>
  <c r="F61" i="52" s="1"/>
  <c r="E60" i="52"/>
  <c r="F60" i="52" s="1"/>
  <c r="E59" i="52"/>
  <c r="F59" i="52" s="1"/>
  <c r="E58" i="52"/>
  <c r="F58" i="52" s="1"/>
  <c r="E57" i="52"/>
  <c r="F57" i="52" s="1"/>
  <c r="E56" i="52"/>
  <c r="F56" i="52" s="1"/>
  <c r="E55" i="52"/>
  <c r="F55" i="52" s="1"/>
  <c r="E54" i="52"/>
  <c r="F54" i="52" s="1"/>
  <c r="E53" i="52"/>
  <c r="F53" i="52" s="1"/>
  <c r="E52" i="52"/>
  <c r="F52" i="52" s="1"/>
  <c r="E51" i="52"/>
  <c r="F51" i="52" s="1"/>
  <c r="E50" i="52"/>
  <c r="F50" i="52" s="1"/>
  <c r="E49" i="52"/>
  <c r="F49" i="52" s="1"/>
  <c r="E48" i="52"/>
  <c r="F48" i="52" s="1"/>
  <c r="E47" i="52"/>
  <c r="F47" i="52" s="1"/>
  <c r="E46" i="52"/>
  <c r="F46" i="52" s="1"/>
  <c r="E45" i="52"/>
  <c r="F45" i="52" s="1"/>
  <c r="E44" i="52"/>
  <c r="F44" i="52" s="1"/>
  <c r="E43" i="52"/>
  <c r="F43" i="52" s="1"/>
  <c r="E42" i="52"/>
  <c r="F42" i="52" s="1"/>
  <c r="E41" i="52"/>
  <c r="F41" i="52" s="1"/>
  <c r="E40" i="52"/>
  <c r="F40" i="52" s="1"/>
  <c r="E39" i="52"/>
  <c r="F39" i="52" s="1"/>
  <c r="E38" i="52"/>
  <c r="F38" i="52" s="1"/>
  <c r="E37" i="52"/>
  <c r="F37" i="52" s="1"/>
  <c r="E36" i="52"/>
  <c r="F36" i="52" s="1"/>
  <c r="E35" i="52"/>
  <c r="F35" i="52" s="1"/>
  <c r="E34" i="52"/>
  <c r="F34" i="52" s="1"/>
  <c r="E33" i="52"/>
  <c r="F33" i="52" s="1"/>
  <c r="E32" i="52"/>
  <c r="F32" i="52" s="1"/>
  <c r="E31" i="52"/>
  <c r="F31" i="52" s="1"/>
  <c r="E30" i="52"/>
  <c r="F30" i="52" s="1"/>
  <c r="E29" i="52"/>
  <c r="F29" i="52" s="1"/>
  <c r="E28" i="52"/>
  <c r="F28" i="52" s="1"/>
  <c r="E27" i="52"/>
  <c r="F27" i="52" s="1"/>
  <c r="E26" i="52"/>
  <c r="F26" i="52" s="1"/>
  <c r="E25" i="52"/>
  <c r="F25" i="52" s="1"/>
  <c r="E24" i="52"/>
  <c r="F24" i="52" s="1"/>
  <c r="E23" i="52"/>
  <c r="F23" i="52" s="1"/>
  <c r="E22" i="52"/>
  <c r="F22" i="52" s="1"/>
  <c r="E21" i="52"/>
  <c r="F21" i="52" s="1"/>
  <c r="E20" i="52"/>
  <c r="F20" i="52" s="1"/>
  <c r="E19" i="52"/>
  <c r="F19" i="52" s="1"/>
  <c r="E18" i="52"/>
  <c r="F18" i="52" s="1"/>
  <c r="E17" i="52"/>
  <c r="F17" i="52" s="1"/>
  <c r="E16" i="52"/>
  <c r="F16" i="52" s="1"/>
  <c r="E15" i="52"/>
  <c r="F15" i="52" s="1"/>
  <c r="E14" i="52"/>
  <c r="F14" i="52" s="1"/>
  <c r="E13" i="52"/>
  <c r="F13" i="52" s="1"/>
  <c r="E12" i="52"/>
  <c r="F12" i="52" s="1"/>
  <c r="E11" i="52"/>
  <c r="F11" i="52" s="1"/>
  <c r="E10" i="52"/>
  <c r="F10" i="52" s="1"/>
  <c r="E9" i="52"/>
  <c r="F9" i="52" s="1"/>
  <c r="E8" i="52"/>
  <c r="F8" i="52" s="1"/>
  <c r="E7" i="52"/>
  <c r="F7" i="52" s="1"/>
  <c r="E6" i="52"/>
  <c r="F6" i="52" s="1"/>
  <c r="E5" i="52"/>
  <c r="F5" i="52" s="1"/>
  <c r="E4" i="52"/>
  <c r="F4" i="52" s="1"/>
  <c r="H4" i="52" s="1"/>
  <c r="F81" i="52" l="1"/>
  <c r="F77" i="52"/>
  <c r="G73" i="52"/>
  <c r="F73" i="52"/>
  <c r="G81" i="52"/>
  <c r="G77" i="52"/>
  <c r="H44" i="52"/>
  <c r="G44" i="52"/>
  <c r="H12" i="52"/>
  <c r="G12" i="52"/>
  <c r="H20" i="52"/>
  <c r="G40" i="52"/>
  <c r="H28" i="52"/>
  <c r="G28" i="52"/>
  <c r="H8" i="52"/>
  <c r="H40" i="52"/>
  <c r="G8" i="52"/>
  <c r="H24" i="52"/>
  <c r="H52" i="52"/>
  <c r="H56" i="52"/>
  <c r="G56" i="52"/>
  <c r="H60" i="52"/>
  <c r="G60" i="52"/>
  <c r="H48" i="52"/>
  <c r="G48" i="52"/>
  <c r="H36" i="52"/>
  <c r="H64" i="52"/>
  <c r="G64" i="52"/>
  <c r="H32" i="52"/>
  <c r="G32" i="52"/>
  <c r="G24" i="52"/>
  <c r="H16" i="52"/>
  <c r="G16" i="52"/>
  <c r="G4" i="52"/>
  <c r="G20" i="52"/>
  <c r="G36" i="52"/>
  <c r="G52" i="52"/>
  <c r="F52" i="49" l="1"/>
  <c r="G52" i="49" s="1"/>
  <c r="F51" i="49"/>
  <c r="G51" i="49" s="1"/>
  <c r="F50" i="49"/>
  <c r="G50" i="49" s="1"/>
  <c r="F49" i="49"/>
  <c r="G49" i="49" s="1"/>
  <c r="F48" i="49"/>
  <c r="G48" i="49" s="1"/>
  <c r="F47" i="49"/>
  <c r="G47" i="49" s="1"/>
  <c r="F46" i="49"/>
  <c r="G46" i="49" s="1"/>
  <c r="F45" i="49"/>
  <c r="G45" i="49" s="1"/>
  <c r="F44" i="49"/>
  <c r="G44" i="49" s="1"/>
  <c r="F43" i="49"/>
  <c r="G43" i="49" s="1"/>
  <c r="F42" i="49"/>
  <c r="G42" i="49" s="1"/>
  <c r="F41" i="49"/>
  <c r="G41" i="49" s="1"/>
  <c r="F40" i="49"/>
  <c r="G40" i="49" s="1"/>
  <c r="F39" i="49"/>
  <c r="G39" i="49" s="1"/>
  <c r="F38" i="49"/>
  <c r="G38" i="49" s="1"/>
  <c r="F37" i="49"/>
  <c r="G37" i="49" s="1"/>
  <c r="F36" i="49"/>
  <c r="G36" i="49" s="1"/>
  <c r="F35" i="49"/>
  <c r="G35" i="49" s="1"/>
  <c r="F34" i="49"/>
  <c r="G34" i="49" s="1"/>
  <c r="F33" i="49"/>
  <c r="G33" i="49" s="1"/>
  <c r="F32" i="49"/>
  <c r="G32" i="49" s="1"/>
  <c r="F31" i="49"/>
  <c r="G31" i="49" s="1"/>
  <c r="F30" i="49"/>
  <c r="G30" i="49" s="1"/>
  <c r="F29" i="49"/>
  <c r="G29" i="49" s="1"/>
  <c r="F28" i="49"/>
  <c r="G28" i="49" s="1"/>
  <c r="F27" i="49"/>
  <c r="G27" i="49" s="1"/>
  <c r="F26" i="49"/>
  <c r="G26" i="49" s="1"/>
  <c r="F25" i="49"/>
  <c r="G25" i="49" s="1"/>
  <c r="F24" i="49"/>
  <c r="G24" i="49" s="1"/>
  <c r="F23" i="49"/>
  <c r="G23" i="49" s="1"/>
  <c r="F22" i="49"/>
  <c r="G22" i="49" s="1"/>
  <c r="F21" i="49"/>
  <c r="G21" i="49" s="1"/>
  <c r="F20" i="49"/>
  <c r="G20" i="49" s="1"/>
  <c r="F19" i="49"/>
  <c r="G19" i="49" s="1"/>
  <c r="F18" i="49"/>
  <c r="G18" i="49" s="1"/>
  <c r="F17" i="49"/>
  <c r="G17" i="49" s="1"/>
  <c r="F16" i="49"/>
  <c r="G16" i="49" s="1"/>
  <c r="F15" i="49"/>
  <c r="G15" i="49" s="1"/>
  <c r="F14" i="49"/>
  <c r="G14" i="49" s="1"/>
  <c r="F13" i="49"/>
  <c r="G13" i="49" s="1"/>
  <c r="F12" i="49"/>
  <c r="G12" i="49" s="1"/>
  <c r="F11" i="49"/>
  <c r="G11" i="49" s="1"/>
  <c r="F10" i="49"/>
  <c r="G10" i="49" s="1"/>
  <c r="F9" i="49"/>
  <c r="G9" i="49" s="1"/>
  <c r="F8" i="49"/>
  <c r="G8" i="49" s="1"/>
  <c r="F7" i="49"/>
  <c r="G7" i="49" s="1"/>
  <c r="F6" i="49"/>
  <c r="G6" i="49" s="1"/>
  <c r="F5" i="49"/>
  <c r="G5" i="49" s="1"/>
  <c r="F55" i="41"/>
  <c r="G55" i="41" s="1"/>
  <c r="F54" i="41"/>
  <c r="G54" i="41" s="1"/>
  <c r="F53" i="41"/>
  <c r="G53" i="41" s="1"/>
  <c r="F52" i="41"/>
  <c r="G52" i="41" s="1"/>
  <c r="F51" i="41"/>
  <c r="G51" i="41" s="1"/>
  <c r="F50" i="41"/>
  <c r="G50" i="41" s="1"/>
  <c r="F49" i="41"/>
  <c r="G49" i="41" s="1"/>
  <c r="F48" i="41"/>
  <c r="G48" i="41" s="1"/>
  <c r="F47" i="41"/>
  <c r="G47" i="41" s="1"/>
  <c r="F46" i="41"/>
  <c r="G46" i="41" s="1"/>
  <c r="F45" i="41"/>
  <c r="G45" i="41" s="1"/>
  <c r="F44" i="41"/>
  <c r="G44" i="41" s="1"/>
  <c r="F82" i="41"/>
  <c r="G82" i="41" s="1"/>
  <c r="F81" i="41"/>
  <c r="G81" i="41" s="1"/>
  <c r="F80" i="41"/>
  <c r="G80" i="41" s="1"/>
  <c r="F79" i="41"/>
  <c r="G79" i="41" s="1"/>
  <c r="F78" i="41"/>
  <c r="G78" i="41" s="1"/>
  <c r="F77" i="41"/>
  <c r="G77" i="41" s="1"/>
  <c r="F76" i="41"/>
  <c r="G76" i="41" s="1"/>
  <c r="F75" i="41"/>
  <c r="G75" i="41" s="1"/>
  <c r="F74" i="41"/>
  <c r="G74" i="41" s="1"/>
  <c r="F73" i="41"/>
  <c r="G73" i="41" s="1"/>
  <c r="F72" i="41"/>
  <c r="G72" i="41" s="1"/>
  <c r="F71" i="41"/>
  <c r="G71" i="41" s="1"/>
  <c r="F28" i="41"/>
  <c r="G28" i="41" s="1"/>
  <c r="F27" i="41"/>
  <c r="G27" i="41" s="1"/>
  <c r="F26" i="41"/>
  <c r="G26" i="41" s="1"/>
  <c r="F25" i="41"/>
  <c r="G25" i="41" s="1"/>
  <c r="F24" i="41"/>
  <c r="G24" i="41" s="1"/>
  <c r="F23" i="41"/>
  <c r="G23" i="41" s="1"/>
  <c r="F22" i="41"/>
  <c r="G22" i="41" s="1"/>
  <c r="F21" i="41"/>
  <c r="G21" i="41" s="1"/>
  <c r="F20" i="41"/>
  <c r="G20" i="41" s="1"/>
  <c r="F19" i="41"/>
  <c r="G19" i="41" s="1"/>
  <c r="F18" i="41"/>
  <c r="G18" i="41" s="1"/>
  <c r="F17" i="41"/>
  <c r="G17" i="41" s="1"/>
  <c r="F43" i="41"/>
  <c r="G43" i="41" s="1"/>
  <c r="F42" i="41"/>
  <c r="G42" i="41" s="1"/>
  <c r="F41" i="41"/>
  <c r="G41" i="41" s="1"/>
  <c r="F40" i="41"/>
  <c r="G40" i="41" s="1"/>
  <c r="F39" i="41"/>
  <c r="G39" i="41" s="1"/>
  <c r="F38" i="41"/>
  <c r="G38" i="41" s="1"/>
  <c r="F35" i="41"/>
  <c r="G35" i="41" s="1"/>
  <c r="F37" i="41"/>
  <c r="G37" i="41" s="1"/>
  <c r="F36" i="41"/>
  <c r="G36" i="41" s="1"/>
  <c r="F34" i="41"/>
  <c r="G34" i="41" s="1"/>
  <c r="F33" i="41"/>
  <c r="G33" i="41" s="1"/>
  <c r="F32" i="41"/>
  <c r="G32" i="41" s="1"/>
  <c r="F70" i="41"/>
  <c r="G70" i="41" s="1"/>
  <c r="F69" i="41"/>
  <c r="G69" i="41" s="1"/>
  <c r="F68" i="41"/>
  <c r="G68" i="41" s="1"/>
  <c r="F67" i="41"/>
  <c r="G67" i="41" s="1"/>
  <c r="F66" i="41"/>
  <c r="G66" i="41" s="1"/>
  <c r="F65" i="41"/>
  <c r="G65" i="41" s="1"/>
  <c r="F64" i="41"/>
  <c r="G64" i="41" s="1"/>
  <c r="F63" i="41"/>
  <c r="G63" i="41" s="1"/>
  <c r="F62" i="41"/>
  <c r="G62" i="41" s="1"/>
  <c r="F61" i="41"/>
  <c r="G61" i="41" s="1"/>
  <c r="F60" i="41"/>
  <c r="G60" i="41" s="1"/>
  <c r="F59" i="41"/>
  <c r="G59" i="41" s="1"/>
  <c r="F16" i="41"/>
  <c r="G16" i="41" s="1"/>
  <c r="F15" i="41"/>
  <c r="G15" i="41" s="1"/>
  <c r="F14" i="41"/>
  <c r="G14" i="41" s="1"/>
  <c r="F13" i="41"/>
  <c r="G13" i="41" s="1"/>
  <c r="F12" i="41"/>
  <c r="G12" i="41" s="1"/>
  <c r="F11" i="41"/>
  <c r="G11" i="41" s="1"/>
  <c r="F10" i="41"/>
  <c r="G10" i="41" s="1"/>
  <c r="F9" i="41"/>
  <c r="G9" i="41" s="1"/>
  <c r="F8" i="41"/>
  <c r="G8" i="41" s="1"/>
  <c r="I8" i="41" s="1"/>
  <c r="F7" i="41"/>
  <c r="G7" i="41" s="1"/>
  <c r="F6" i="41"/>
  <c r="G6" i="41" s="1"/>
  <c r="F5" i="41"/>
  <c r="G5" i="41" s="1"/>
  <c r="I80" i="41" l="1"/>
  <c r="H80" i="41"/>
  <c r="I77" i="41"/>
  <c r="H77" i="41"/>
  <c r="I74" i="41"/>
  <c r="H74" i="41"/>
  <c r="I71" i="41"/>
  <c r="H71" i="41"/>
  <c r="I68" i="41"/>
  <c r="H68" i="41"/>
  <c r="H65" i="41"/>
  <c r="I65" i="41"/>
  <c r="H62" i="41"/>
  <c r="I62" i="41"/>
  <c r="H59" i="41"/>
  <c r="I59" i="41"/>
  <c r="H53" i="41"/>
  <c r="I53" i="41"/>
  <c r="I50" i="41"/>
  <c r="H50" i="41"/>
  <c r="H47" i="41"/>
  <c r="I47" i="41"/>
  <c r="I44" i="41"/>
  <c r="H44" i="41"/>
  <c r="H41" i="41"/>
  <c r="I41" i="41"/>
  <c r="I38" i="41"/>
  <c r="H38" i="41"/>
  <c r="I35" i="41"/>
  <c r="H35" i="41"/>
  <c r="H5" i="49"/>
  <c r="I5" i="49"/>
  <c r="I29" i="49"/>
  <c r="H29" i="49"/>
  <c r="I20" i="49"/>
  <c r="H20" i="49"/>
  <c r="I44" i="49"/>
  <c r="H44" i="49"/>
  <c r="I26" i="49"/>
  <c r="H26" i="49"/>
  <c r="I50" i="49"/>
  <c r="H50" i="49"/>
  <c r="I17" i="49"/>
  <c r="H17" i="49"/>
  <c r="I41" i="49"/>
  <c r="H41" i="49"/>
  <c r="I8" i="49"/>
  <c r="H8" i="49"/>
  <c r="I32" i="49"/>
  <c r="H32" i="49"/>
  <c r="I35" i="49"/>
  <c r="H35" i="49"/>
  <c r="H23" i="49"/>
  <c r="I23" i="49"/>
  <c r="H47" i="49"/>
  <c r="I47" i="49"/>
  <c r="H11" i="49"/>
  <c r="I11" i="49"/>
  <c r="H14" i="49"/>
  <c r="I14" i="49"/>
  <c r="I38" i="49"/>
  <c r="H38" i="49"/>
  <c r="I23" i="41"/>
  <c r="H23" i="41"/>
  <c r="I17" i="41"/>
  <c r="H17" i="41"/>
  <c r="I26" i="41"/>
  <c r="H26" i="41"/>
  <c r="I20" i="41"/>
  <c r="H20" i="41"/>
  <c r="H14" i="41"/>
  <c r="I14" i="41"/>
  <c r="H8" i="41"/>
  <c r="I11" i="41"/>
  <c r="H11" i="41"/>
  <c r="H5" i="41"/>
  <c r="H32" i="41"/>
  <c r="I32" i="41"/>
  <c r="I5" i="41"/>
  <c r="E37" i="40" l="1"/>
  <c r="F37" i="40" s="1"/>
  <c r="E36" i="40"/>
  <c r="F36" i="40" s="1"/>
  <c r="E35" i="40"/>
  <c r="F35" i="40" s="1"/>
  <c r="E34" i="40"/>
  <c r="F34" i="40" s="1"/>
  <c r="E33" i="40"/>
  <c r="F33" i="40" s="1"/>
  <c r="E32" i="40"/>
  <c r="F32" i="40" s="1"/>
  <c r="E28" i="40"/>
  <c r="F28" i="40" s="1"/>
  <c r="E27" i="40"/>
  <c r="F27" i="40" s="1"/>
  <c r="E26" i="40"/>
  <c r="F26" i="40" s="1"/>
  <c r="E25" i="40"/>
  <c r="F25" i="40" s="1"/>
  <c r="E24" i="40"/>
  <c r="F24" i="40" s="1"/>
  <c r="E23" i="40"/>
  <c r="F23" i="40" s="1"/>
  <c r="E64" i="40"/>
  <c r="F64" i="40" s="1"/>
  <c r="E63" i="40"/>
  <c r="F63" i="40" s="1"/>
  <c r="E62" i="40"/>
  <c r="F62" i="40" s="1"/>
  <c r="E61" i="40"/>
  <c r="F61" i="40" s="1"/>
  <c r="E60" i="40"/>
  <c r="F60" i="40" s="1"/>
  <c r="E59" i="40"/>
  <c r="F59" i="40" s="1"/>
  <c r="E58" i="40"/>
  <c r="F58" i="40" s="1"/>
  <c r="E57" i="40"/>
  <c r="F57" i="40" s="1"/>
  <c r="E56" i="40"/>
  <c r="F56" i="40" s="1"/>
  <c r="E51" i="40"/>
  <c r="F51" i="40" s="1"/>
  <c r="E50" i="40"/>
  <c r="F50" i="40" s="1"/>
  <c r="E49" i="40"/>
  <c r="F49" i="40" s="1"/>
  <c r="E48" i="40"/>
  <c r="F48" i="40" s="1"/>
  <c r="E47" i="40"/>
  <c r="F47" i="40" s="1"/>
  <c r="E46" i="40"/>
  <c r="F46" i="40" s="1"/>
  <c r="E45" i="40"/>
  <c r="F45" i="40" s="1"/>
  <c r="E44" i="40"/>
  <c r="F44" i="40" s="1"/>
  <c r="E43" i="40"/>
  <c r="F43" i="40" s="1"/>
  <c r="E19" i="40"/>
  <c r="F19" i="40" s="1"/>
  <c r="E18" i="40"/>
  <c r="F18" i="40" s="1"/>
  <c r="E17" i="40"/>
  <c r="F17" i="40" s="1"/>
  <c r="E16" i="40"/>
  <c r="F16" i="40" s="1"/>
  <c r="E15" i="40"/>
  <c r="F15" i="40" s="1"/>
  <c r="E14" i="40"/>
  <c r="F14" i="40" s="1"/>
  <c r="E10" i="40"/>
  <c r="F10" i="40" s="1"/>
  <c r="E9" i="40"/>
  <c r="F9" i="40" s="1"/>
  <c r="E8" i="40"/>
  <c r="F8" i="40" s="1"/>
  <c r="E7" i="40"/>
  <c r="F7" i="40" s="1"/>
  <c r="E6" i="40"/>
  <c r="F6" i="40" s="1"/>
  <c r="H5" i="40" s="1"/>
  <c r="F5" i="40"/>
  <c r="E5" i="40"/>
  <c r="H32" i="40" l="1"/>
  <c r="G32" i="40"/>
  <c r="H35" i="40"/>
  <c r="G35" i="40"/>
  <c r="H23" i="40"/>
  <c r="G23" i="40"/>
  <c r="H26" i="40"/>
  <c r="G26" i="40"/>
  <c r="G62" i="40"/>
  <c r="H62" i="40"/>
  <c r="G59" i="40"/>
  <c r="H59" i="40"/>
  <c r="G56" i="40"/>
  <c r="H56" i="40"/>
  <c r="H49" i="40"/>
  <c r="G49" i="40"/>
  <c r="H46" i="40"/>
  <c r="G46" i="40"/>
  <c r="H43" i="40"/>
  <c r="G43" i="40"/>
  <c r="H17" i="40"/>
  <c r="G17" i="40"/>
  <c r="H14" i="40"/>
  <c r="G14" i="40"/>
  <c r="H8" i="40"/>
  <c r="G8" i="40"/>
  <c r="G5" i="40"/>
  <c r="F60" i="50" l="1"/>
  <c r="G60" i="50" s="1"/>
  <c r="E60" i="50"/>
  <c r="F59" i="50"/>
  <c r="G59" i="50" s="1"/>
  <c r="E59" i="50"/>
  <c r="F53" i="50"/>
  <c r="F52" i="50"/>
  <c r="F44" i="50"/>
  <c r="F43" i="50"/>
  <c r="D35" i="50"/>
  <c r="D36" i="50" s="1"/>
  <c r="C35" i="50"/>
  <c r="C36" i="50" s="1"/>
  <c r="D34" i="50"/>
  <c r="C34" i="50"/>
  <c r="D12" i="50"/>
  <c r="D8" i="50"/>
  <c r="G72" i="43"/>
  <c r="G71" i="43"/>
  <c r="G70" i="43"/>
  <c r="G69" i="43"/>
  <c r="G68" i="43"/>
  <c r="G67" i="43"/>
  <c r="E61" i="43"/>
  <c r="E60" i="43"/>
  <c r="E59" i="43"/>
  <c r="E58" i="43"/>
  <c r="E57" i="43"/>
  <c r="E56" i="43"/>
  <c r="E55" i="43"/>
  <c r="E54" i="43"/>
  <c r="E49" i="43"/>
  <c r="E48" i="43"/>
  <c r="E47" i="43"/>
  <c r="E46" i="43"/>
  <c r="E45" i="43"/>
  <c r="E44" i="43"/>
  <c r="E43" i="43"/>
  <c r="E42" i="43"/>
  <c r="E37" i="43"/>
  <c r="E36" i="43"/>
  <c r="E35" i="43"/>
  <c r="E34" i="43"/>
  <c r="E33" i="43"/>
  <c r="E32" i="43"/>
  <c r="E31" i="43"/>
  <c r="E30" i="43"/>
  <c r="E25" i="43"/>
  <c r="E24" i="43"/>
  <c r="E23" i="43"/>
  <c r="E22" i="43"/>
  <c r="E21" i="43"/>
  <c r="E20" i="43"/>
  <c r="E19" i="43"/>
  <c r="E18" i="43"/>
  <c r="E12" i="43"/>
  <c r="E11" i="43"/>
  <c r="E10" i="43"/>
  <c r="E9" i="43"/>
  <c r="E8" i="43"/>
  <c r="E7" i="43"/>
  <c r="E6" i="43"/>
  <c r="E5" i="43"/>
  <c r="E25" i="39"/>
  <c r="F25" i="39" s="1"/>
  <c r="E24" i="39"/>
  <c r="F24" i="39" s="1"/>
  <c r="E23" i="39"/>
  <c r="F23" i="39" s="1"/>
  <c r="E22" i="39"/>
  <c r="F22" i="39" s="1"/>
  <c r="E21" i="39"/>
  <c r="F21" i="39" s="1"/>
  <c r="E20" i="39"/>
  <c r="F20" i="39" s="1"/>
  <c r="E19" i="39"/>
  <c r="F19" i="39" s="1"/>
  <c r="E18" i="39"/>
  <c r="F18" i="39" s="1"/>
  <c r="E17" i="39"/>
  <c r="F17" i="39" s="1"/>
  <c r="E13" i="39"/>
  <c r="F13" i="39" s="1"/>
  <c r="E12" i="39"/>
  <c r="F12" i="39" s="1"/>
  <c r="E11" i="39"/>
  <c r="F11" i="39" s="1"/>
  <c r="E10" i="39"/>
  <c r="F10" i="39" s="1"/>
  <c r="E9" i="39"/>
  <c r="F9" i="39" s="1"/>
  <c r="E8" i="39"/>
  <c r="F8" i="39" s="1"/>
  <c r="E7" i="39"/>
  <c r="F7" i="39" s="1"/>
  <c r="E6" i="39"/>
  <c r="F6" i="39" s="1"/>
  <c r="E5" i="39"/>
  <c r="F5" i="39" s="1"/>
  <c r="E37" i="39"/>
  <c r="F37" i="39" s="1"/>
  <c r="E36" i="39"/>
  <c r="F36" i="39" s="1"/>
  <c r="E35" i="39"/>
  <c r="F35" i="39" s="1"/>
  <c r="E34" i="39"/>
  <c r="F34" i="39" s="1"/>
  <c r="E33" i="39"/>
  <c r="F33" i="39" s="1"/>
  <c r="E32" i="39"/>
  <c r="F32" i="39" s="1"/>
  <c r="E31" i="39"/>
  <c r="F31" i="39" s="1"/>
  <c r="E30" i="39"/>
  <c r="F30" i="39" s="1"/>
  <c r="E29" i="39"/>
  <c r="F29" i="39" s="1"/>
  <c r="E49" i="39"/>
  <c r="F49" i="39" s="1"/>
  <c r="E48" i="39"/>
  <c r="F48" i="39" s="1"/>
  <c r="E47" i="39"/>
  <c r="F47" i="39" s="1"/>
  <c r="E46" i="39"/>
  <c r="F46" i="39" s="1"/>
  <c r="E45" i="39"/>
  <c r="F45" i="39" s="1"/>
  <c r="E44" i="39"/>
  <c r="F44" i="39" s="1"/>
  <c r="E43" i="39"/>
  <c r="F43" i="39" s="1"/>
  <c r="E42" i="39"/>
  <c r="F42" i="39" s="1"/>
  <c r="E41" i="39"/>
  <c r="F41" i="39" s="1"/>
  <c r="H47" i="39" l="1"/>
  <c r="G6" i="43"/>
  <c r="H6" i="43" s="1"/>
  <c r="G22" i="43"/>
  <c r="H22" i="43" s="1"/>
  <c r="G12" i="43"/>
  <c r="H12" i="43" s="1"/>
  <c r="G30" i="43"/>
  <c r="H30" i="43" s="1"/>
  <c r="G43" i="43"/>
  <c r="H43" i="43" s="1"/>
  <c r="G24" i="43"/>
  <c r="H24" i="43" s="1"/>
  <c r="G36" i="43"/>
  <c r="H36" i="43" s="1"/>
  <c r="G48" i="43"/>
  <c r="H48" i="43" s="1"/>
  <c r="G9" i="43"/>
  <c r="H9" i="43" s="1"/>
  <c r="G25" i="43"/>
  <c r="H25" i="43" s="1"/>
  <c r="G37" i="43"/>
  <c r="H37" i="43" s="1"/>
  <c r="F8" i="43"/>
  <c r="G10" i="43" s="1"/>
  <c r="H10" i="43" s="1"/>
  <c r="F21" i="43"/>
  <c r="G23" i="43" s="1"/>
  <c r="H23" i="43" s="1"/>
  <c r="F33" i="43"/>
  <c r="G35" i="43" s="1"/>
  <c r="H35" i="43" s="1"/>
  <c r="F45" i="43"/>
  <c r="G47" i="43" s="1"/>
  <c r="H47" i="43" s="1"/>
  <c r="F57" i="43"/>
  <c r="H20" i="39"/>
  <c r="G20" i="39"/>
  <c r="H17" i="39"/>
  <c r="G17" i="39"/>
  <c r="H23" i="39"/>
  <c r="G23" i="39"/>
  <c r="G47" i="39"/>
  <c r="H44" i="39"/>
  <c r="H5" i="39"/>
  <c r="G5" i="39"/>
  <c r="H11" i="39"/>
  <c r="G11" i="39"/>
  <c r="H8" i="39"/>
  <c r="G8" i="39"/>
  <c r="G35" i="39"/>
  <c r="H35" i="39"/>
  <c r="H32" i="39"/>
  <c r="G32" i="39"/>
  <c r="G29" i="39"/>
  <c r="H29" i="39"/>
  <c r="H41" i="39"/>
  <c r="G41" i="39"/>
  <c r="G44" i="39"/>
  <c r="G60" i="43" l="1"/>
  <c r="H60" i="43" s="1"/>
  <c r="G59" i="43"/>
  <c r="H59" i="43" s="1"/>
  <c r="G45" i="43"/>
  <c r="H45" i="43" s="1"/>
  <c r="G44" i="43"/>
  <c r="H44" i="43" s="1"/>
  <c r="G32" i="43"/>
  <c r="H32" i="43" s="1"/>
  <c r="G56" i="43"/>
  <c r="H56" i="43" s="1"/>
  <c r="G57" i="43"/>
  <c r="H57" i="43" s="1"/>
  <c r="G8" i="43"/>
  <c r="H8" i="43" s="1"/>
  <c r="G5" i="43"/>
  <c r="H5" i="43" s="1"/>
  <c r="G61" i="43"/>
  <c r="H61" i="43" s="1"/>
  <c r="G20" i="43"/>
  <c r="H20" i="43" s="1"/>
  <c r="G33" i="43"/>
  <c r="H33" i="43" s="1"/>
  <c r="I33" i="43" s="1"/>
  <c r="G46" i="43"/>
  <c r="H46" i="43" s="1"/>
  <c r="G54" i="43"/>
  <c r="H54" i="43" s="1"/>
  <c r="G21" i="43"/>
  <c r="H21" i="43" s="1"/>
  <c r="G18" i="43"/>
  <c r="H18" i="43" s="1"/>
  <c r="G7" i="43"/>
  <c r="H7" i="43" s="1"/>
  <c r="G31" i="43"/>
  <c r="H31" i="43" s="1"/>
  <c r="G55" i="43"/>
  <c r="H55" i="43" s="1"/>
  <c r="G58" i="43"/>
  <c r="H58" i="43" s="1"/>
  <c r="G49" i="43"/>
  <c r="H49" i="43" s="1"/>
  <c r="G42" i="43"/>
  <c r="H42" i="43" s="1"/>
  <c r="G11" i="43"/>
  <c r="H11" i="43" s="1"/>
  <c r="G34" i="43"/>
  <c r="H34" i="43" s="1"/>
  <c r="G19" i="43"/>
  <c r="H19" i="43" s="1"/>
  <c r="E326" i="36"/>
  <c r="E325" i="36"/>
  <c r="E324" i="36"/>
  <c r="E323" i="36"/>
  <c r="E322" i="36"/>
  <c r="E321" i="36"/>
  <c r="E320" i="36"/>
  <c r="E319" i="36"/>
  <c r="E313" i="36"/>
  <c r="E312" i="36"/>
  <c r="E311" i="36"/>
  <c r="E310" i="36"/>
  <c r="E309" i="36"/>
  <c r="E308" i="36"/>
  <c r="E307" i="36"/>
  <c r="E306" i="36"/>
  <c r="F309" i="36" l="1"/>
  <c r="G307" i="36" s="1"/>
  <c r="H307" i="36" s="1"/>
  <c r="F322" i="36"/>
  <c r="G320" i="36" s="1"/>
  <c r="H320" i="36" s="1"/>
  <c r="J37" i="43"/>
  <c r="J35" i="43"/>
  <c r="J30" i="43"/>
  <c r="J36" i="43"/>
  <c r="I21" i="43"/>
  <c r="J18" i="43" s="1"/>
  <c r="J8" i="43"/>
  <c r="J34" i="43"/>
  <c r="J55" i="43"/>
  <c r="J57" i="43"/>
  <c r="J61" i="43"/>
  <c r="J31" i="43"/>
  <c r="I57" i="43"/>
  <c r="J60" i="43" s="1"/>
  <c r="J54" i="43"/>
  <c r="J59" i="43"/>
  <c r="J33" i="43"/>
  <c r="I45" i="43"/>
  <c r="J49" i="43" s="1"/>
  <c r="I8" i="43"/>
  <c r="J5" i="43" s="1"/>
  <c r="J7" i="43"/>
  <c r="J32" i="43"/>
  <c r="E301" i="36"/>
  <c r="E300" i="36"/>
  <c r="E299" i="36"/>
  <c r="E298" i="36"/>
  <c r="E297" i="36"/>
  <c r="E296" i="36"/>
  <c r="E295" i="36"/>
  <c r="E294" i="36"/>
  <c r="E289" i="36"/>
  <c r="E288" i="36"/>
  <c r="E287" i="36"/>
  <c r="E286" i="36"/>
  <c r="E285" i="36"/>
  <c r="E284" i="36"/>
  <c r="E283" i="36"/>
  <c r="E282" i="36"/>
  <c r="E277" i="36"/>
  <c r="E276" i="36"/>
  <c r="E275" i="36"/>
  <c r="E274" i="36"/>
  <c r="E273" i="36"/>
  <c r="E272" i="36"/>
  <c r="E271" i="36"/>
  <c r="E270" i="36"/>
  <c r="E265" i="36"/>
  <c r="E264" i="36"/>
  <c r="E263" i="36"/>
  <c r="E262" i="36"/>
  <c r="E261" i="36"/>
  <c r="E260" i="36"/>
  <c r="E259" i="36"/>
  <c r="E258" i="36"/>
  <c r="E253" i="36"/>
  <c r="E252" i="36"/>
  <c r="E251" i="36"/>
  <c r="E250" i="36"/>
  <c r="E249" i="36"/>
  <c r="E248" i="36"/>
  <c r="E247" i="36"/>
  <c r="E246" i="36"/>
  <c r="F249" i="36" l="1"/>
  <c r="G250" i="36" s="1"/>
  <c r="H250" i="36" s="1"/>
  <c r="G310" i="36"/>
  <c r="H310" i="36" s="1"/>
  <c r="G326" i="36"/>
  <c r="H326" i="36" s="1"/>
  <c r="G312" i="36"/>
  <c r="H312" i="36" s="1"/>
  <c r="G322" i="36"/>
  <c r="H322" i="36" s="1"/>
  <c r="G325" i="36"/>
  <c r="H325" i="36" s="1"/>
  <c r="G309" i="36"/>
  <c r="H309" i="36" s="1"/>
  <c r="G324" i="36"/>
  <c r="H324" i="36" s="1"/>
  <c r="G319" i="36"/>
  <c r="H319" i="36" s="1"/>
  <c r="F261" i="36"/>
  <c r="G260" i="36" s="1"/>
  <c r="H260" i="36" s="1"/>
  <c r="F273" i="36"/>
  <c r="G272" i="36" s="1"/>
  <c r="H272" i="36" s="1"/>
  <c r="F285" i="36"/>
  <c r="G284" i="36" s="1"/>
  <c r="H284" i="36" s="1"/>
  <c r="F297" i="36"/>
  <c r="G299" i="36" s="1"/>
  <c r="H299" i="36" s="1"/>
  <c r="G308" i="36"/>
  <c r="H308" i="36" s="1"/>
  <c r="G311" i="36"/>
  <c r="H311" i="36" s="1"/>
  <c r="G306" i="36"/>
  <c r="H306" i="36" s="1"/>
  <c r="G323" i="36"/>
  <c r="H323" i="36" s="1"/>
  <c r="G313" i="36"/>
  <c r="H313" i="36" s="1"/>
  <c r="G321" i="36"/>
  <c r="H321" i="36" s="1"/>
  <c r="J20" i="43"/>
  <c r="J46" i="43"/>
  <c r="J56" i="43"/>
  <c r="J58" i="43"/>
  <c r="J19" i="43"/>
  <c r="L19" i="43" s="1"/>
  <c r="M19" i="43" s="1"/>
  <c r="J44" i="43"/>
  <c r="J24" i="43"/>
  <c r="J25" i="43"/>
  <c r="J23" i="43"/>
  <c r="J22" i="43"/>
  <c r="L55" i="43"/>
  <c r="M55" i="43" s="1"/>
  <c r="K55" i="43"/>
  <c r="J12" i="43"/>
  <c r="J6" i="43"/>
  <c r="L6" i="43" s="1"/>
  <c r="M6" i="43" s="1"/>
  <c r="J9" i="43"/>
  <c r="J10" i="43"/>
  <c r="J11" i="43"/>
  <c r="L31" i="43"/>
  <c r="M31" i="43" s="1"/>
  <c r="K31" i="43"/>
  <c r="J47" i="43"/>
  <c r="J43" i="43"/>
  <c r="J48" i="43"/>
  <c r="K35" i="43"/>
  <c r="L35" i="43"/>
  <c r="M35" i="43" s="1"/>
  <c r="J42" i="43"/>
  <c r="J21" i="43"/>
  <c r="J45" i="43"/>
  <c r="E241" i="36"/>
  <c r="E240" i="36"/>
  <c r="E239" i="36"/>
  <c r="E238" i="36"/>
  <c r="E237" i="36"/>
  <c r="E236" i="36"/>
  <c r="E235" i="36"/>
  <c r="E234" i="36"/>
  <c r="E229" i="36"/>
  <c r="E228" i="36"/>
  <c r="E227" i="36"/>
  <c r="E226" i="36"/>
  <c r="E225" i="36"/>
  <c r="E224" i="36"/>
  <c r="E223" i="36"/>
  <c r="E222" i="36"/>
  <c r="G246" i="36" l="1"/>
  <c r="H246" i="36" s="1"/>
  <c r="G253" i="36"/>
  <c r="H253" i="36" s="1"/>
  <c r="G252" i="36"/>
  <c r="H252" i="36" s="1"/>
  <c r="G247" i="36"/>
  <c r="H247" i="36" s="1"/>
  <c r="G251" i="36"/>
  <c r="H251" i="36" s="1"/>
  <c r="G249" i="36"/>
  <c r="H249" i="36" s="1"/>
  <c r="G248" i="36"/>
  <c r="H248" i="36" s="1"/>
  <c r="F237" i="36"/>
  <c r="G237" i="36" s="1"/>
  <c r="H237" i="36" s="1"/>
  <c r="G277" i="36"/>
  <c r="H277" i="36" s="1"/>
  <c r="G274" i="36"/>
  <c r="H274" i="36" s="1"/>
  <c r="G263" i="36"/>
  <c r="H263" i="36" s="1"/>
  <c r="G262" i="36"/>
  <c r="H262" i="36" s="1"/>
  <c r="G259" i="36"/>
  <c r="H259" i="36" s="1"/>
  <c r="G297" i="36"/>
  <c r="H297" i="36" s="1"/>
  <c r="G294" i="36"/>
  <c r="H294" i="36" s="1"/>
  <c r="G289" i="36"/>
  <c r="H289" i="36" s="1"/>
  <c r="G273" i="36"/>
  <c r="H273" i="36" s="1"/>
  <c r="G270" i="36"/>
  <c r="H270" i="36" s="1"/>
  <c r="F225" i="36"/>
  <c r="G229" i="36" s="1"/>
  <c r="H229" i="36" s="1"/>
  <c r="G282" i="36"/>
  <c r="H282" i="36" s="1"/>
  <c r="I322" i="36"/>
  <c r="J320" i="36" s="1"/>
  <c r="G264" i="36"/>
  <c r="H264" i="36" s="1"/>
  <c r="G265" i="36"/>
  <c r="H265" i="36" s="1"/>
  <c r="G261" i="36"/>
  <c r="H261" i="36" s="1"/>
  <c r="G258" i="36"/>
  <c r="H258" i="36" s="1"/>
  <c r="G295" i="36"/>
  <c r="H295" i="36" s="1"/>
  <c r="G296" i="36"/>
  <c r="H296" i="36" s="1"/>
  <c r="G301" i="36"/>
  <c r="H301" i="36" s="1"/>
  <c r="G288" i="36"/>
  <c r="H288" i="36" s="1"/>
  <c r="G285" i="36"/>
  <c r="H285" i="36" s="1"/>
  <c r="I309" i="36"/>
  <c r="J306" i="36" s="1"/>
  <c r="G287" i="36"/>
  <c r="H287" i="36" s="1"/>
  <c r="G298" i="36"/>
  <c r="H298" i="36" s="1"/>
  <c r="G300" i="36"/>
  <c r="H300" i="36" s="1"/>
  <c r="G283" i="36"/>
  <c r="H283" i="36" s="1"/>
  <c r="G275" i="36"/>
  <c r="H275" i="36" s="1"/>
  <c r="G286" i="36"/>
  <c r="H286" i="36" s="1"/>
  <c r="G276" i="36"/>
  <c r="H276" i="36" s="1"/>
  <c r="G271" i="36"/>
  <c r="H271" i="36" s="1"/>
  <c r="L59" i="43"/>
  <c r="M59" i="43" s="1"/>
  <c r="K59" i="43"/>
  <c r="K6" i="43"/>
  <c r="K23" i="43"/>
  <c r="L23" i="43"/>
  <c r="M23" i="43" s="1"/>
  <c r="K10" i="43"/>
  <c r="L10" i="43"/>
  <c r="M10" i="43" s="1"/>
  <c r="K47" i="43"/>
  <c r="L47" i="43"/>
  <c r="M47" i="43" s="1"/>
  <c r="K19" i="43"/>
  <c r="L43" i="43"/>
  <c r="M43" i="43" s="1"/>
  <c r="K43" i="43"/>
  <c r="G241" i="36" l="1"/>
  <c r="H241" i="36" s="1"/>
  <c r="G236" i="36"/>
  <c r="H236" i="36" s="1"/>
  <c r="G240" i="36"/>
  <c r="H240" i="36" s="1"/>
  <c r="G235" i="36"/>
  <c r="H235" i="36" s="1"/>
  <c r="I249" i="36"/>
  <c r="J253" i="36" s="1"/>
  <c r="G238" i="36"/>
  <c r="H238" i="36" s="1"/>
  <c r="J248" i="36"/>
  <c r="G234" i="36"/>
  <c r="H234" i="36" s="1"/>
  <c r="G239" i="36"/>
  <c r="H239" i="36" s="1"/>
  <c r="J321" i="36"/>
  <c r="J311" i="36"/>
  <c r="J312" i="36"/>
  <c r="J319" i="36"/>
  <c r="J324" i="36"/>
  <c r="J325" i="36"/>
  <c r="G224" i="36"/>
  <c r="H224" i="36" s="1"/>
  <c r="G226" i="36"/>
  <c r="H226" i="36" s="1"/>
  <c r="I273" i="36"/>
  <c r="J270" i="36" s="1"/>
  <c r="J310" i="36"/>
  <c r="J307" i="36"/>
  <c r="I297" i="36"/>
  <c r="J299" i="36" s="1"/>
  <c r="G222" i="36"/>
  <c r="H222" i="36" s="1"/>
  <c r="G227" i="36"/>
  <c r="H227" i="36" s="1"/>
  <c r="J309" i="36"/>
  <c r="I261" i="36"/>
  <c r="J261" i="36" s="1"/>
  <c r="J326" i="36"/>
  <c r="J313" i="36"/>
  <c r="G228" i="36"/>
  <c r="H228" i="36" s="1"/>
  <c r="J308" i="36"/>
  <c r="J322" i="36"/>
  <c r="G223" i="36"/>
  <c r="H223" i="36" s="1"/>
  <c r="I285" i="36"/>
  <c r="J284" i="36" s="1"/>
  <c r="J323" i="36"/>
  <c r="G225" i="36"/>
  <c r="H225" i="36" s="1"/>
  <c r="J252" i="36" l="1"/>
  <c r="J250" i="36"/>
  <c r="J276" i="36"/>
  <c r="J249" i="36"/>
  <c r="J251" i="36"/>
  <c r="L251" i="36" s="1"/>
  <c r="M251" i="36" s="1"/>
  <c r="J246" i="36"/>
  <c r="J247" i="36"/>
  <c r="I237" i="36"/>
  <c r="J234" i="36" s="1"/>
  <c r="L307" i="36"/>
  <c r="M307" i="36" s="1"/>
  <c r="J295" i="36"/>
  <c r="J275" i="36"/>
  <c r="J286" i="36"/>
  <c r="K307" i="36"/>
  <c r="J265" i="36"/>
  <c r="J300" i="36"/>
  <c r="J259" i="36"/>
  <c r="J298" i="36"/>
  <c r="K320" i="36"/>
  <c r="J258" i="36"/>
  <c r="J287" i="36"/>
  <c r="J273" i="36"/>
  <c r="J282" i="36"/>
  <c r="J301" i="36"/>
  <c r="J296" i="36"/>
  <c r="J288" i="36"/>
  <c r="J263" i="36"/>
  <c r="J262" i="36"/>
  <c r="J260" i="36"/>
  <c r="I225" i="36"/>
  <c r="J228" i="36" s="1"/>
  <c r="J285" i="36"/>
  <c r="L320" i="36"/>
  <c r="M320" i="36" s="1"/>
  <c r="J289" i="36"/>
  <c r="J283" i="36"/>
  <c r="J297" i="36"/>
  <c r="J274" i="36"/>
  <c r="J277" i="36"/>
  <c r="J272" i="36"/>
  <c r="L324" i="36"/>
  <c r="M324" i="36" s="1"/>
  <c r="K324" i="36"/>
  <c r="K311" i="36"/>
  <c r="L311" i="36"/>
  <c r="M311" i="36" s="1"/>
  <c r="J271" i="36"/>
  <c r="J294" i="36"/>
  <c r="J264" i="36"/>
  <c r="E217" i="36"/>
  <c r="E216" i="36"/>
  <c r="E215" i="36"/>
  <c r="E214" i="36"/>
  <c r="E213" i="36"/>
  <c r="E212" i="36"/>
  <c r="E211" i="36"/>
  <c r="E210" i="36"/>
  <c r="E205" i="36"/>
  <c r="E204" i="36"/>
  <c r="E203" i="36"/>
  <c r="E202" i="36"/>
  <c r="E201" i="36"/>
  <c r="E200" i="36"/>
  <c r="E199" i="36"/>
  <c r="E198" i="36"/>
  <c r="K251" i="36" l="1"/>
  <c r="J236" i="36"/>
  <c r="J237" i="36"/>
  <c r="L247" i="36"/>
  <c r="M247" i="36" s="1"/>
  <c r="J238" i="36"/>
  <c r="K247" i="36"/>
  <c r="J239" i="36"/>
  <c r="J241" i="36"/>
  <c r="J240" i="36"/>
  <c r="L287" i="36"/>
  <c r="M287" i="36" s="1"/>
  <c r="J235" i="36"/>
  <c r="K287" i="36"/>
  <c r="L299" i="36"/>
  <c r="M299" i="36" s="1"/>
  <c r="K283" i="36"/>
  <c r="K259" i="36"/>
  <c r="F201" i="36"/>
  <c r="G198" i="36" s="1"/>
  <c r="H198" i="36" s="1"/>
  <c r="K299" i="36"/>
  <c r="K271" i="36"/>
  <c r="J222" i="36"/>
  <c r="L271" i="36"/>
  <c r="M271" i="36" s="1"/>
  <c r="K263" i="36"/>
  <c r="L263" i="36"/>
  <c r="M263" i="36" s="1"/>
  <c r="F213" i="36"/>
  <c r="G211" i="36" s="1"/>
  <c r="H211" i="36" s="1"/>
  <c r="J226" i="36"/>
  <c r="L283" i="36"/>
  <c r="M283" i="36" s="1"/>
  <c r="K295" i="36"/>
  <c r="L295" i="36"/>
  <c r="M295" i="36" s="1"/>
  <c r="L275" i="36"/>
  <c r="M275" i="36" s="1"/>
  <c r="K275" i="36"/>
  <c r="J223" i="36"/>
  <c r="L259" i="36"/>
  <c r="M259" i="36" s="1"/>
  <c r="J229" i="36"/>
  <c r="J224" i="36"/>
  <c r="J227" i="36"/>
  <c r="J225" i="36"/>
  <c r="E192" i="36"/>
  <c r="E191" i="36"/>
  <c r="E190" i="36"/>
  <c r="E189" i="36"/>
  <c r="E188" i="36"/>
  <c r="E187" i="36"/>
  <c r="E186" i="36"/>
  <c r="E185" i="36"/>
  <c r="E180" i="36"/>
  <c r="E179" i="36"/>
  <c r="E178" i="36"/>
  <c r="E177" i="36"/>
  <c r="E176" i="36"/>
  <c r="E175" i="36"/>
  <c r="E174" i="36"/>
  <c r="E173" i="36"/>
  <c r="L235" i="36" l="1"/>
  <c r="M235" i="36" s="1"/>
  <c r="G217" i="36"/>
  <c r="H217" i="36" s="1"/>
  <c r="L239" i="36"/>
  <c r="M239" i="36" s="1"/>
  <c r="L227" i="36"/>
  <c r="M227" i="36" s="1"/>
  <c r="K239" i="36"/>
  <c r="K235" i="36"/>
  <c r="G201" i="36"/>
  <c r="H201" i="36" s="1"/>
  <c r="G212" i="36"/>
  <c r="H212" i="36" s="1"/>
  <c r="G200" i="36"/>
  <c r="H200" i="36" s="1"/>
  <c r="G199" i="36"/>
  <c r="H199" i="36" s="1"/>
  <c r="G202" i="36"/>
  <c r="H202" i="36" s="1"/>
  <c r="G205" i="36"/>
  <c r="H205" i="36" s="1"/>
  <c r="G203" i="36"/>
  <c r="H203" i="36" s="1"/>
  <c r="G204" i="36"/>
  <c r="H204" i="36" s="1"/>
  <c r="K223" i="36"/>
  <c r="F176" i="36"/>
  <c r="G178" i="36" s="1"/>
  <c r="H178" i="36" s="1"/>
  <c r="G215" i="36"/>
  <c r="H215" i="36" s="1"/>
  <c r="F188" i="36"/>
  <c r="G188" i="36" s="1"/>
  <c r="H188" i="36" s="1"/>
  <c r="K227" i="36"/>
  <c r="G213" i="36"/>
  <c r="H213" i="36" s="1"/>
  <c r="G216" i="36"/>
  <c r="H216" i="36" s="1"/>
  <c r="G210" i="36"/>
  <c r="H210" i="36" s="1"/>
  <c r="G214" i="36"/>
  <c r="H214" i="36" s="1"/>
  <c r="L223" i="36"/>
  <c r="M223" i="36" s="1"/>
  <c r="I201" i="36" l="1"/>
  <c r="J199" i="36" s="1"/>
  <c r="G187" i="36"/>
  <c r="H187" i="36" s="1"/>
  <c r="G185" i="36"/>
  <c r="H185" i="36" s="1"/>
  <c r="G190" i="36"/>
  <c r="H190" i="36" s="1"/>
  <c r="J200" i="36"/>
  <c r="G179" i="36"/>
  <c r="H179" i="36" s="1"/>
  <c r="G180" i="36"/>
  <c r="H180" i="36" s="1"/>
  <c r="G186" i="36"/>
  <c r="H186" i="36" s="1"/>
  <c r="G189" i="36"/>
  <c r="H189" i="36" s="1"/>
  <c r="G174" i="36"/>
  <c r="H174" i="36" s="1"/>
  <c r="G177" i="36"/>
  <c r="H177" i="36" s="1"/>
  <c r="G175" i="36"/>
  <c r="H175" i="36" s="1"/>
  <c r="J204" i="36"/>
  <c r="J202" i="36"/>
  <c r="J198" i="36"/>
  <c r="J203" i="36"/>
  <c r="J205" i="36"/>
  <c r="J201" i="36"/>
  <c r="G173" i="36"/>
  <c r="H173" i="36" s="1"/>
  <c r="G176" i="36"/>
  <c r="H176" i="36" s="1"/>
  <c r="I213" i="36"/>
  <c r="J216" i="36" s="1"/>
  <c r="G191" i="36"/>
  <c r="H191" i="36" s="1"/>
  <c r="G192" i="36"/>
  <c r="H192" i="36" s="1"/>
  <c r="K199" i="36" l="1"/>
  <c r="I188" i="36"/>
  <c r="J185" i="36" s="1"/>
  <c r="L199" i="36"/>
  <c r="M199" i="36" s="1"/>
  <c r="L203" i="36"/>
  <c r="M203" i="36" s="1"/>
  <c r="K203" i="36"/>
  <c r="J214" i="36"/>
  <c r="J213" i="36"/>
  <c r="I176" i="36"/>
  <c r="J176" i="36" s="1"/>
  <c r="J215" i="36"/>
  <c r="J211" i="36"/>
  <c r="J212" i="36"/>
  <c r="J217" i="36"/>
  <c r="J189" i="36"/>
  <c r="J210" i="36"/>
  <c r="E168" i="36"/>
  <c r="E167" i="36"/>
  <c r="E166" i="36"/>
  <c r="E165" i="36"/>
  <c r="E164" i="36"/>
  <c r="E163" i="36"/>
  <c r="E162" i="36"/>
  <c r="E161" i="36"/>
  <c r="E156" i="36"/>
  <c r="E155" i="36"/>
  <c r="E154" i="36"/>
  <c r="E153" i="36"/>
  <c r="E152" i="36"/>
  <c r="E151" i="36"/>
  <c r="E150" i="36"/>
  <c r="E149" i="36"/>
  <c r="E144" i="36"/>
  <c r="E143" i="36"/>
  <c r="E142" i="36"/>
  <c r="E141" i="36"/>
  <c r="E140" i="36"/>
  <c r="E139" i="36"/>
  <c r="E138" i="36"/>
  <c r="E137" i="36"/>
  <c r="J190" i="36" l="1"/>
  <c r="J188" i="36"/>
  <c r="J186" i="36"/>
  <c r="J192" i="36"/>
  <c r="J191" i="36"/>
  <c r="J187" i="36"/>
  <c r="J174" i="36"/>
  <c r="K186" i="36"/>
  <c r="F152" i="36"/>
  <c r="G155" i="36" s="1"/>
  <c r="H155" i="36" s="1"/>
  <c r="J177" i="36"/>
  <c r="J175" i="36"/>
  <c r="J173" i="36"/>
  <c r="F164" i="36"/>
  <c r="G164" i="36" s="1"/>
  <c r="H164" i="36" s="1"/>
  <c r="K215" i="36"/>
  <c r="L215" i="36"/>
  <c r="M215" i="36" s="1"/>
  <c r="F140" i="36"/>
  <c r="J178" i="36"/>
  <c r="J180" i="36"/>
  <c r="J179" i="36"/>
  <c r="K211" i="36"/>
  <c r="L211" i="36"/>
  <c r="M211" i="36" s="1"/>
  <c r="L186" i="36"/>
  <c r="M186" i="36" s="1"/>
  <c r="L190" i="36"/>
  <c r="M190" i="36" s="1"/>
  <c r="K190" i="36"/>
  <c r="G150" i="36" l="1"/>
  <c r="H150" i="36" s="1"/>
  <c r="G156" i="36"/>
  <c r="H156" i="36" s="1"/>
  <c r="G152" i="36"/>
  <c r="H152" i="36" s="1"/>
  <c r="G151" i="36"/>
  <c r="H151" i="36" s="1"/>
  <c r="L174" i="36"/>
  <c r="M174" i="36" s="1"/>
  <c r="G153" i="36"/>
  <c r="H153" i="36" s="1"/>
  <c r="G154" i="36"/>
  <c r="H154" i="36" s="1"/>
  <c r="K174" i="36"/>
  <c r="K178" i="36"/>
  <c r="G149" i="36"/>
  <c r="H149" i="36" s="1"/>
  <c r="G165" i="36"/>
  <c r="H165" i="36" s="1"/>
  <c r="L178" i="36"/>
  <c r="M178" i="36" s="1"/>
  <c r="G143" i="36"/>
  <c r="H143" i="36" s="1"/>
  <c r="G139" i="36"/>
  <c r="H139" i="36" s="1"/>
  <c r="G142" i="36"/>
  <c r="H142" i="36" s="1"/>
  <c r="G161" i="36"/>
  <c r="H161" i="36" s="1"/>
  <c r="G167" i="36"/>
  <c r="H167" i="36" s="1"/>
  <c r="G162" i="36"/>
  <c r="H162" i="36" s="1"/>
  <c r="G168" i="36"/>
  <c r="H168" i="36" s="1"/>
  <c r="G144" i="36"/>
  <c r="H144" i="36" s="1"/>
  <c r="G140" i="36"/>
  <c r="H140" i="36" s="1"/>
  <c r="G137" i="36"/>
  <c r="H137" i="36" s="1"/>
  <c r="G163" i="36"/>
  <c r="H163" i="36" s="1"/>
  <c r="G141" i="36"/>
  <c r="H141" i="36" s="1"/>
  <c r="G166" i="36"/>
  <c r="H166" i="36" s="1"/>
  <c r="G138" i="36"/>
  <c r="H138" i="36" s="1"/>
  <c r="I152" i="36" l="1"/>
  <c r="J152" i="36" s="1"/>
  <c r="I140" i="36"/>
  <c r="J137" i="36" s="1"/>
  <c r="I164" i="36"/>
  <c r="J166" i="36" s="1"/>
  <c r="J149" i="36" l="1"/>
  <c r="J154" i="36"/>
  <c r="J156" i="36"/>
  <c r="J155" i="36"/>
  <c r="J150" i="36"/>
  <c r="J153" i="36"/>
  <c r="L154" i="36" s="1"/>
  <c r="M154" i="36" s="1"/>
  <c r="J151" i="36"/>
  <c r="J142" i="36"/>
  <c r="J163" i="36"/>
  <c r="J143" i="36"/>
  <c r="J141" i="36"/>
  <c r="J139" i="36"/>
  <c r="J144" i="36"/>
  <c r="J161" i="36"/>
  <c r="J168" i="36"/>
  <c r="J140" i="36"/>
  <c r="J138" i="36"/>
  <c r="J164" i="36"/>
  <c r="J165" i="36"/>
  <c r="J167" i="36"/>
  <c r="J162" i="36"/>
  <c r="E132" i="36"/>
  <c r="E131" i="36"/>
  <c r="E130" i="36"/>
  <c r="E129" i="36"/>
  <c r="E128" i="36"/>
  <c r="E127" i="36"/>
  <c r="E126" i="36"/>
  <c r="E125" i="36"/>
  <c r="E120" i="36"/>
  <c r="E119" i="36"/>
  <c r="E118" i="36"/>
  <c r="E117" i="36"/>
  <c r="E116" i="36"/>
  <c r="E115" i="36"/>
  <c r="E114" i="36"/>
  <c r="E113" i="36"/>
  <c r="K154" i="36" l="1"/>
  <c r="K150" i="36"/>
  <c r="L150" i="36"/>
  <c r="M150" i="36" s="1"/>
  <c r="L162" i="36"/>
  <c r="M162" i="36" s="1"/>
  <c r="F128" i="36"/>
  <c r="G129" i="36" s="1"/>
  <c r="H129" i="36" s="1"/>
  <c r="K162" i="36"/>
  <c r="L166" i="36"/>
  <c r="M166" i="36" s="1"/>
  <c r="K166" i="36"/>
  <c r="F116" i="36"/>
  <c r="G113" i="36" s="1"/>
  <c r="H113" i="36" s="1"/>
  <c r="L142" i="36"/>
  <c r="M142" i="36" s="1"/>
  <c r="K142" i="36"/>
  <c r="G132" i="36" l="1"/>
  <c r="H132" i="36" s="1"/>
  <c r="G128" i="36"/>
  <c r="H128" i="36" s="1"/>
  <c r="G126" i="36"/>
  <c r="H126" i="36" s="1"/>
  <c r="G127" i="36"/>
  <c r="H127" i="36" s="1"/>
  <c r="G130" i="36"/>
  <c r="H130" i="36" s="1"/>
  <c r="G125" i="36"/>
  <c r="H125" i="36" s="1"/>
  <c r="G131" i="36"/>
  <c r="H131" i="36" s="1"/>
  <c r="G119" i="36"/>
  <c r="H119" i="36" s="1"/>
  <c r="G115" i="36"/>
  <c r="H115" i="36" s="1"/>
  <c r="G114" i="36"/>
  <c r="H114" i="36" s="1"/>
  <c r="G116" i="36"/>
  <c r="H116" i="36" s="1"/>
  <c r="G118" i="36"/>
  <c r="H118" i="36" s="1"/>
  <c r="G120" i="36"/>
  <c r="H120" i="36" s="1"/>
  <c r="G117" i="36"/>
  <c r="H117" i="36" s="1"/>
  <c r="K138" i="36"/>
  <c r="L138" i="36"/>
  <c r="M138" i="36" s="1"/>
  <c r="I128" i="36" l="1"/>
  <c r="J129" i="36" s="1"/>
  <c r="I116" i="36"/>
  <c r="J113" i="36" s="1"/>
  <c r="E108" i="36"/>
  <c r="E107" i="36"/>
  <c r="E106" i="36"/>
  <c r="E105" i="36"/>
  <c r="E104" i="36"/>
  <c r="E103" i="36"/>
  <c r="E102" i="36"/>
  <c r="E101" i="36"/>
  <c r="E96" i="36"/>
  <c r="E95" i="36"/>
  <c r="E94" i="36"/>
  <c r="E93" i="36"/>
  <c r="E92" i="36"/>
  <c r="E91" i="36"/>
  <c r="E90" i="36"/>
  <c r="E89" i="36"/>
  <c r="J128" i="36" l="1"/>
  <c r="J126" i="36"/>
  <c r="J132" i="36"/>
  <c r="J131" i="36"/>
  <c r="J127" i="36"/>
  <c r="F104" i="36"/>
  <c r="G101" i="36" s="1"/>
  <c r="H101" i="36" s="1"/>
  <c r="J125" i="36"/>
  <c r="J130" i="36"/>
  <c r="K130" i="36" s="1"/>
  <c r="J118" i="36"/>
  <c r="J117" i="36"/>
  <c r="J116" i="36"/>
  <c r="J115" i="36"/>
  <c r="J114" i="36"/>
  <c r="J120" i="36"/>
  <c r="J119" i="36"/>
  <c r="G102" i="36"/>
  <c r="H102" i="36" s="1"/>
  <c r="F92" i="36"/>
  <c r="G91" i="36" s="1"/>
  <c r="H91" i="36" s="1"/>
  <c r="K126" i="36" l="1"/>
  <c r="G108" i="36"/>
  <c r="H108" i="36" s="1"/>
  <c r="L130" i="36"/>
  <c r="M130" i="36" s="1"/>
  <c r="L126" i="36"/>
  <c r="M126" i="36" s="1"/>
  <c r="G107" i="36"/>
  <c r="H107" i="36" s="1"/>
  <c r="G105" i="36"/>
  <c r="H105" i="36" s="1"/>
  <c r="G104" i="36"/>
  <c r="H104" i="36" s="1"/>
  <c r="G103" i="36"/>
  <c r="H103" i="36" s="1"/>
  <c r="G106" i="36"/>
  <c r="H106" i="36" s="1"/>
  <c r="L118" i="36"/>
  <c r="M118" i="36" s="1"/>
  <c r="K118" i="36"/>
  <c r="G93" i="36"/>
  <c r="H93" i="36" s="1"/>
  <c r="G95" i="36"/>
  <c r="H95" i="36" s="1"/>
  <c r="G89" i="36"/>
  <c r="H89" i="36" s="1"/>
  <c r="G96" i="36"/>
  <c r="H96" i="36" s="1"/>
  <c r="G92" i="36"/>
  <c r="H92" i="36" s="1"/>
  <c r="G94" i="36"/>
  <c r="H94" i="36" s="1"/>
  <c r="G90" i="36"/>
  <c r="H90" i="36" s="1"/>
  <c r="I104" i="36" l="1"/>
  <c r="J101" i="36" s="1"/>
  <c r="I92" i="36"/>
  <c r="J96" i="36" s="1"/>
  <c r="L114" i="36"/>
  <c r="M114" i="36" s="1"/>
  <c r="K114" i="36"/>
  <c r="J106" i="36" l="1"/>
  <c r="J107" i="36"/>
  <c r="J103" i="36"/>
  <c r="J108" i="36"/>
  <c r="J102" i="36"/>
  <c r="J105" i="36"/>
  <c r="J104" i="36"/>
  <c r="J93" i="36"/>
  <c r="J94" i="36"/>
  <c r="J92" i="36"/>
  <c r="J95" i="36"/>
  <c r="J90" i="36"/>
  <c r="J91" i="36"/>
  <c r="J89" i="36"/>
  <c r="E84" i="36"/>
  <c r="E83" i="36"/>
  <c r="E82" i="36"/>
  <c r="E81" i="36"/>
  <c r="E80" i="36"/>
  <c r="E79" i="36"/>
  <c r="E78" i="36"/>
  <c r="E77" i="36"/>
  <c r="L106" i="36" l="1"/>
  <c r="M106" i="36" s="1"/>
  <c r="L102" i="36"/>
  <c r="M102" i="36" s="1"/>
  <c r="K106" i="36"/>
  <c r="K102" i="36"/>
  <c r="F80" i="36"/>
  <c r="G81" i="36" s="1"/>
  <c r="H81" i="36" s="1"/>
  <c r="L94" i="36"/>
  <c r="M94" i="36" s="1"/>
  <c r="K94" i="36"/>
  <c r="G78" i="36" l="1"/>
  <c r="H78" i="36" s="1"/>
  <c r="G83" i="36"/>
  <c r="H83" i="36" s="1"/>
  <c r="G84" i="36"/>
  <c r="H84" i="36" s="1"/>
  <c r="G79" i="36"/>
  <c r="H79" i="36" s="1"/>
  <c r="G82" i="36"/>
  <c r="H82" i="36" s="1"/>
  <c r="G80" i="36"/>
  <c r="H80" i="36" s="1"/>
  <c r="G77" i="36"/>
  <c r="H77" i="36" s="1"/>
  <c r="L90" i="36"/>
  <c r="M90" i="36" s="1"/>
  <c r="K90" i="36"/>
  <c r="I80" i="36" l="1"/>
  <c r="J81" i="36" s="1"/>
  <c r="E72" i="36"/>
  <c r="E71" i="36"/>
  <c r="E70" i="36"/>
  <c r="E69" i="36"/>
  <c r="E68" i="36"/>
  <c r="E67" i="36"/>
  <c r="E66" i="36"/>
  <c r="E65" i="36"/>
  <c r="E60" i="36"/>
  <c r="E59" i="36"/>
  <c r="E58" i="36"/>
  <c r="E57" i="36"/>
  <c r="E56" i="36"/>
  <c r="E55" i="36"/>
  <c r="E54" i="36"/>
  <c r="E53" i="36"/>
  <c r="J82" i="36" l="1"/>
  <c r="J78" i="36"/>
  <c r="F68" i="36"/>
  <c r="G71" i="36" s="1"/>
  <c r="H71" i="36" s="1"/>
  <c r="J83" i="36"/>
  <c r="J79" i="36"/>
  <c r="F56" i="36"/>
  <c r="G60" i="36" s="1"/>
  <c r="H60" i="36" s="1"/>
  <c r="J84" i="36"/>
  <c r="J80" i="36"/>
  <c r="J77" i="36"/>
  <c r="L82" i="36" l="1"/>
  <c r="M82" i="36" s="1"/>
  <c r="G66" i="36"/>
  <c r="H66" i="36" s="1"/>
  <c r="G69" i="36"/>
  <c r="H69" i="36" s="1"/>
  <c r="G65" i="36"/>
  <c r="H65" i="36" s="1"/>
  <c r="G72" i="36"/>
  <c r="H72" i="36" s="1"/>
  <c r="G68" i="36"/>
  <c r="H68" i="36" s="1"/>
  <c r="G70" i="36"/>
  <c r="H70" i="36" s="1"/>
  <c r="G67" i="36"/>
  <c r="H67" i="36" s="1"/>
  <c r="G58" i="36"/>
  <c r="H58" i="36" s="1"/>
  <c r="G53" i="36"/>
  <c r="H53" i="36" s="1"/>
  <c r="K82" i="36"/>
  <c r="G57" i="36"/>
  <c r="H57" i="36" s="1"/>
  <c r="G54" i="36"/>
  <c r="H54" i="36" s="1"/>
  <c r="G55" i="36"/>
  <c r="H55" i="36" s="1"/>
  <c r="G59" i="36"/>
  <c r="H59" i="36" s="1"/>
  <c r="G56" i="36"/>
  <c r="H56" i="36" s="1"/>
  <c r="L78" i="36"/>
  <c r="M78" i="36" s="1"/>
  <c r="K78" i="36"/>
  <c r="I68" i="36" l="1"/>
  <c r="J65" i="36" s="1"/>
  <c r="I56" i="36"/>
  <c r="J60" i="36" s="1"/>
  <c r="E48" i="36"/>
  <c r="E47" i="36"/>
  <c r="E46" i="36"/>
  <c r="E45" i="36"/>
  <c r="E44" i="36"/>
  <c r="E43" i="36"/>
  <c r="E42" i="36"/>
  <c r="E41" i="36"/>
  <c r="J66" i="36" l="1"/>
  <c r="J69" i="36"/>
  <c r="J70" i="36"/>
  <c r="J67" i="36"/>
  <c r="J68" i="36"/>
  <c r="J72" i="36"/>
  <c r="J71" i="36"/>
  <c r="J57" i="36"/>
  <c r="J55" i="36"/>
  <c r="J58" i="36"/>
  <c r="F44" i="36"/>
  <c r="G47" i="36" s="1"/>
  <c r="H47" i="36" s="1"/>
  <c r="J54" i="36"/>
  <c r="J56" i="36"/>
  <c r="J59" i="36"/>
  <c r="J53" i="36"/>
  <c r="L70" i="36" l="1"/>
  <c r="M70" i="36" s="1"/>
  <c r="K66" i="36"/>
  <c r="K70" i="36"/>
  <c r="L66" i="36"/>
  <c r="M66" i="36" s="1"/>
  <c r="K58" i="36"/>
  <c r="L58" i="36"/>
  <c r="M58" i="36" s="1"/>
  <c r="G46" i="36"/>
  <c r="H46" i="36" s="1"/>
  <c r="G42" i="36"/>
  <c r="H42" i="36" s="1"/>
  <c r="G44" i="36"/>
  <c r="H44" i="36" s="1"/>
  <c r="G41" i="36"/>
  <c r="H41" i="36" s="1"/>
  <c r="G43" i="36"/>
  <c r="H43" i="36" s="1"/>
  <c r="G48" i="36"/>
  <c r="H48" i="36" s="1"/>
  <c r="G45" i="36"/>
  <c r="H45" i="36" s="1"/>
  <c r="L54" i="36"/>
  <c r="M54" i="36" s="1"/>
  <c r="K54" i="36"/>
  <c r="I44" i="36" l="1"/>
  <c r="J42" i="36" s="1"/>
  <c r="E36" i="36"/>
  <c r="E35" i="36"/>
  <c r="E34" i="36"/>
  <c r="E33" i="36"/>
  <c r="E32" i="36"/>
  <c r="E31" i="36"/>
  <c r="E30" i="36"/>
  <c r="E29" i="36"/>
  <c r="J41" i="36" l="1"/>
  <c r="J45" i="36"/>
  <c r="J47" i="36"/>
  <c r="J46" i="36"/>
  <c r="J44" i="36"/>
  <c r="J48" i="36"/>
  <c r="J43" i="36"/>
  <c r="F32" i="36"/>
  <c r="G29" i="36" s="1"/>
  <c r="H29" i="36" s="1"/>
  <c r="K46" i="36" l="1"/>
  <c r="L46" i="36"/>
  <c r="M46" i="36" s="1"/>
  <c r="G34" i="36"/>
  <c r="H34" i="36" s="1"/>
  <c r="G36" i="36"/>
  <c r="H36" i="36" s="1"/>
  <c r="G32" i="36"/>
  <c r="H32" i="36" s="1"/>
  <c r="G31" i="36"/>
  <c r="H31" i="36" s="1"/>
  <c r="I32" i="36" s="1"/>
  <c r="J29" i="36" s="1"/>
  <c r="G35" i="36"/>
  <c r="H35" i="36" s="1"/>
  <c r="G33" i="36"/>
  <c r="H33" i="36" s="1"/>
  <c r="G30" i="36"/>
  <c r="H30" i="36" s="1"/>
  <c r="L42" i="36"/>
  <c r="M42" i="36" s="1"/>
  <c r="K42" i="36"/>
  <c r="J33" i="36" l="1"/>
  <c r="J35" i="36"/>
  <c r="J30" i="36"/>
  <c r="J31" i="36"/>
  <c r="J36" i="36"/>
  <c r="J34" i="36"/>
  <c r="J32" i="36"/>
  <c r="E24" i="36"/>
  <c r="E23" i="36"/>
  <c r="E22" i="36"/>
  <c r="E21" i="36"/>
  <c r="E20" i="36"/>
  <c r="E19" i="36"/>
  <c r="E18" i="36"/>
  <c r="E17" i="36"/>
  <c r="E12" i="36"/>
  <c r="E11" i="36"/>
  <c r="E10" i="36"/>
  <c r="E9" i="36"/>
  <c r="E8" i="36"/>
  <c r="E7" i="36"/>
  <c r="E6" i="36"/>
  <c r="E5" i="36"/>
  <c r="F20" i="36" l="1"/>
  <c r="G23" i="36" s="1"/>
  <c r="H23" i="36" s="1"/>
  <c r="F8" i="36"/>
  <c r="G7" i="36" s="1"/>
  <c r="H7" i="36" s="1"/>
  <c r="L34" i="36"/>
  <c r="M34" i="36" s="1"/>
  <c r="K34" i="36"/>
  <c r="G22" i="36" l="1"/>
  <c r="H22" i="36" s="1"/>
  <c r="G17" i="36"/>
  <c r="H17" i="36" s="1"/>
  <c r="G18" i="36"/>
  <c r="H18" i="36" s="1"/>
  <c r="G24" i="36"/>
  <c r="H24" i="36" s="1"/>
  <c r="G20" i="36"/>
  <c r="H20" i="36" s="1"/>
  <c r="G21" i="36"/>
  <c r="H21" i="36" s="1"/>
  <c r="G19" i="36"/>
  <c r="H19" i="36" s="1"/>
  <c r="G5" i="36"/>
  <c r="H5" i="36" s="1"/>
  <c r="G10" i="36"/>
  <c r="H10" i="36" s="1"/>
  <c r="G11" i="36"/>
  <c r="H11" i="36" s="1"/>
  <c r="G6" i="36"/>
  <c r="H6" i="36" s="1"/>
  <c r="G8" i="36"/>
  <c r="H8" i="36" s="1"/>
  <c r="G12" i="36"/>
  <c r="H12" i="36" s="1"/>
  <c r="G9" i="36"/>
  <c r="H9" i="36" s="1"/>
  <c r="L30" i="36"/>
  <c r="M30" i="36" s="1"/>
  <c r="K30" i="36"/>
  <c r="I20" i="36" l="1"/>
  <c r="J17" i="36" s="1"/>
  <c r="I8" i="36"/>
  <c r="J5" i="36" s="1"/>
  <c r="J18" i="36" l="1"/>
  <c r="J8" i="36"/>
  <c r="J6" i="36"/>
  <c r="J7" i="36"/>
  <c r="J10" i="36"/>
  <c r="J12" i="36"/>
  <c r="J9" i="36"/>
  <c r="J11" i="36"/>
  <c r="J22" i="36"/>
  <c r="J20" i="36"/>
  <c r="J21" i="36"/>
  <c r="J24" i="36"/>
  <c r="J19" i="36"/>
  <c r="J23" i="36"/>
  <c r="L18" i="36" l="1"/>
  <c r="M18" i="36" s="1"/>
  <c r="L6" i="36"/>
  <c r="M6" i="36" s="1"/>
  <c r="K22" i="36"/>
  <c r="K10" i="36"/>
  <c r="K6" i="36"/>
  <c r="L10" i="36"/>
  <c r="M10" i="36" s="1"/>
  <c r="K18" i="36"/>
  <c r="L22" i="36"/>
  <c r="M22" i="36" s="1"/>
</calcChain>
</file>

<file path=xl/sharedStrings.xml><?xml version="1.0" encoding="utf-8"?>
<sst xmlns="http://schemas.openxmlformats.org/spreadsheetml/2006/main" count="2542" uniqueCount="382">
  <si>
    <t>C3</t>
  </si>
  <si>
    <t>C2</t>
  </si>
  <si>
    <t>C1</t>
  </si>
  <si>
    <t>Average</t>
  </si>
  <si>
    <t>2^(-delta Ct)</t>
  </si>
  <si>
    <t>Delta Ct</t>
  </si>
  <si>
    <t>Reference gene</t>
  </si>
  <si>
    <t>Target gene</t>
  </si>
  <si>
    <t>Treatment</t>
  </si>
  <si>
    <t>Replicates</t>
  </si>
  <si>
    <t>C4</t>
  </si>
  <si>
    <t>dsmalE</t>
  </si>
  <si>
    <t>Average Delta Ct</t>
  </si>
  <si>
    <t>delta delta Ct</t>
  </si>
  <si>
    <t>Normailzed</t>
  </si>
  <si>
    <t>STDEV</t>
  </si>
  <si>
    <t>STDE</t>
  </si>
  <si>
    <t>ESCO1/2</t>
  </si>
  <si>
    <t>dsESCO1/2</t>
  </si>
  <si>
    <t>KAT2A</t>
  </si>
  <si>
    <t>dsKAT2A</t>
  </si>
  <si>
    <t>ELP3</t>
  </si>
  <si>
    <t>dsELP3</t>
  </si>
  <si>
    <t>ATAT1</t>
  </si>
  <si>
    <t>dsATAT1</t>
  </si>
  <si>
    <t>HAT1</t>
  </si>
  <si>
    <t>dsHAT1</t>
  </si>
  <si>
    <t>TAF1</t>
  </si>
  <si>
    <t>dsTAF1</t>
  </si>
  <si>
    <t>KAT14</t>
  </si>
  <si>
    <t>dsKAT14</t>
  </si>
  <si>
    <t>MCM3AP</t>
  </si>
  <si>
    <t>dsMCM3AP</t>
  </si>
  <si>
    <t>KAT6A</t>
  </si>
  <si>
    <t>dsKAT6A</t>
  </si>
  <si>
    <t>KAT7</t>
  </si>
  <si>
    <t>dsKAT7</t>
  </si>
  <si>
    <t>KAT5</t>
  </si>
  <si>
    <t>dsKAT5</t>
  </si>
  <si>
    <t>GNPNAT1</t>
  </si>
  <si>
    <t>dsGNPNAT1</t>
  </si>
  <si>
    <t>NAA10</t>
  </si>
  <si>
    <t>dsNAA10</t>
  </si>
  <si>
    <t>NAA20</t>
  </si>
  <si>
    <t>dsNAA20</t>
  </si>
  <si>
    <t>NAA30</t>
  </si>
  <si>
    <t>dsNAA30</t>
  </si>
  <si>
    <t>NAA40</t>
  </si>
  <si>
    <t>dsNAA40</t>
  </si>
  <si>
    <t>NAA50</t>
  </si>
  <si>
    <t>dsNAA50</t>
  </si>
  <si>
    <t>NAA60</t>
  </si>
  <si>
    <t>dsNAA60</t>
  </si>
  <si>
    <t>NAA80</t>
  </si>
  <si>
    <t>dsNAA80</t>
  </si>
  <si>
    <t>NAT9</t>
  </si>
  <si>
    <t>dsNAT9</t>
  </si>
  <si>
    <t>NAT10</t>
  </si>
  <si>
    <t>dsNAT10</t>
  </si>
  <si>
    <t>SATL1</t>
  </si>
  <si>
    <t>dsSATL1</t>
  </si>
  <si>
    <t>NAA16</t>
  </si>
  <si>
    <t>dsNAA16</t>
  </si>
  <si>
    <t>NAA25</t>
  </si>
  <si>
    <t>dsNAA25</t>
  </si>
  <si>
    <t>NAA35</t>
  </si>
  <si>
    <t>dsNAA35</t>
  </si>
  <si>
    <t>NAA38</t>
  </si>
  <si>
    <t>dsNAA38</t>
  </si>
  <si>
    <t>KAT8</t>
  </si>
  <si>
    <t>dsKAT8</t>
  </si>
  <si>
    <t>Fig. 1A</t>
  </si>
  <si>
    <t>SE</t>
  </si>
  <si>
    <t>VC</t>
  </si>
  <si>
    <t>T1</t>
  </si>
  <si>
    <t>T2</t>
  </si>
  <si>
    <t>T3</t>
  </si>
  <si>
    <t>Fig. 5A</t>
  </si>
  <si>
    <t>E75</t>
  </si>
  <si>
    <t>NAA40 expression</t>
  </si>
  <si>
    <t>Mutant</t>
  </si>
  <si>
    <t>Wildtype</t>
  </si>
  <si>
    <t>E74 expression</t>
  </si>
  <si>
    <t>HR3</t>
  </si>
  <si>
    <t>NAA40-50ng</t>
  </si>
  <si>
    <t>dsNAA40-50ng</t>
  </si>
  <si>
    <t>NAA40-100ng</t>
  </si>
  <si>
    <t>dsNAA40-100ng</t>
  </si>
  <si>
    <t>NAA40-250ng</t>
  </si>
  <si>
    <t>dsNAA40-250ng</t>
  </si>
  <si>
    <t>NAA40-500ng</t>
  </si>
  <si>
    <t>dsNAA40-500ng</t>
  </si>
  <si>
    <t>NAA40-1000ng</t>
  </si>
  <si>
    <t>dsNAA40-1000ng</t>
  </si>
  <si>
    <t>Treatments</t>
  </si>
  <si>
    <t>No. of Larvae injected</t>
  </si>
  <si>
    <t>No. of larvae dead</t>
  </si>
  <si>
    <t>No. of pupae formed</t>
  </si>
  <si>
    <t>No. of pupae dead</t>
  </si>
  <si>
    <t>% Larval mortality</t>
  </si>
  <si>
    <t>% Pupal mortality</t>
  </si>
  <si>
    <t>DAPI Intenisty Per Cell</t>
  </si>
  <si>
    <t>Area</t>
  </si>
  <si>
    <t>Intensity</t>
  </si>
  <si>
    <t>Min</t>
  </si>
  <si>
    <t>Max</t>
  </si>
  <si>
    <t>Nuber of Cells</t>
  </si>
  <si>
    <t>STDEVA</t>
  </si>
  <si>
    <t>No SP</t>
  </si>
  <si>
    <t>SP</t>
  </si>
  <si>
    <t>Mean RFU of EGFP per Cell</t>
  </si>
  <si>
    <t>Number of Cells</t>
  </si>
  <si>
    <t>Total</t>
  </si>
  <si>
    <t xml:space="preserve">eGFP Intensity (Folds) </t>
  </si>
  <si>
    <t>A (Blue)</t>
  </si>
  <si>
    <t xml:space="preserve"> Mean Value</t>
  </si>
  <si>
    <t>B (Green)</t>
  </si>
  <si>
    <t>NAA40 W/O SP</t>
  </si>
  <si>
    <t>NAA40 with SP</t>
  </si>
  <si>
    <t>Mean</t>
  </si>
  <si>
    <t>Normalised</t>
  </si>
  <si>
    <t>NO SP</t>
  </si>
  <si>
    <t>BETA ACTIN</t>
  </si>
  <si>
    <t>NAA 40 GFP Western Blot Analysis (Second Time)</t>
  </si>
  <si>
    <t>Second Time)</t>
  </si>
  <si>
    <t>NAA40_EGFP Western Blot Analysis</t>
  </si>
  <si>
    <t>Supplementary Fig. 3</t>
  </si>
  <si>
    <t>Supplementary Fig. 1A</t>
  </si>
  <si>
    <t>Supplementary Fig. 1C</t>
  </si>
  <si>
    <t>HSP90</t>
  </si>
  <si>
    <t>EcR</t>
  </si>
  <si>
    <t>E74</t>
  </si>
  <si>
    <t>EcR-A</t>
  </si>
  <si>
    <t>NAA_OE</t>
  </si>
  <si>
    <t>EcR-B</t>
  </si>
  <si>
    <t>Mutant_NAA_OE</t>
  </si>
  <si>
    <t>USP-A</t>
  </si>
  <si>
    <t>USP-B</t>
  </si>
  <si>
    <t>Fig. 6A</t>
  </si>
  <si>
    <t>Fig. 6B</t>
  </si>
  <si>
    <t>Fig. 7A</t>
  </si>
  <si>
    <t>dsSRC</t>
  </si>
  <si>
    <t>dsSRC+dsNAA</t>
  </si>
  <si>
    <t>DMSO</t>
  </si>
  <si>
    <t>20E</t>
  </si>
  <si>
    <t>Art-1 expression</t>
  </si>
  <si>
    <t>Pen - 0h</t>
  </si>
  <si>
    <t>Pen - 24h</t>
  </si>
  <si>
    <t>Pen - 48h</t>
  </si>
  <si>
    <t>Pen - 72h</t>
  </si>
  <si>
    <t>L5 - 0h</t>
  </si>
  <si>
    <t>L5 - 24h</t>
  </si>
  <si>
    <t>L5 - 48h</t>
  </si>
  <si>
    <t>L5 - 72h</t>
  </si>
  <si>
    <t>L5 - 96h</t>
  </si>
  <si>
    <t>L5 - 120h</t>
  </si>
  <si>
    <t>P - 0h</t>
  </si>
  <si>
    <t>P - 24h</t>
  </si>
  <si>
    <t>P - 48h</t>
  </si>
  <si>
    <t>P - 72h</t>
  </si>
  <si>
    <t>P - 96h</t>
  </si>
  <si>
    <t>P - 120h</t>
  </si>
  <si>
    <t>Supplementary Fig. 7A</t>
  </si>
  <si>
    <t>Supplementary Fig. 7B-D</t>
  </si>
  <si>
    <t>Supplementary Fig. 8</t>
  </si>
  <si>
    <t>Supplementary Fig. 9</t>
  </si>
  <si>
    <t>Fig. 2A</t>
  </si>
  <si>
    <t>NAA40 expression profile</t>
  </si>
  <si>
    <t>stages</t>
  </si>
  <si>
    <t>0h-1</t>
  </si>
  <si>
    <t>0h-2</t>
  </si>
  <si>
    <t>0h-3</t>
  </si>
  <si>
    <t>0h-4</t>
  </si>
  <si>
    <t>24h-1</t>
  </si>
  <si>
    <t>24h-2</t>
  </si>
  <si>
    <t>24h-3</t>
  </si>
  <si>
    <t>24h-4</t>
  </si>
  <si>
    <t>48h-1</t>
  </si>
  <si>
    <t>48h-2</t>
  </si>
  <si>
    <t>48h-3</t>
  </si>
  <si>
    <t>48h-4</t>
  </si>
  <si>
    <t>72h-1</t>
  </si>
  <si>
    <t>72h-2</t>
  </si>
  <si>
    <t>72h-3</t>
  </si>
  <si>
    <t>72h-4</t>
  </si>
  <si>
    <t>96h-1</t>
  </si>
  <si>
    <t>96h-2</t>
  </si>
  <si>
    <t>96h-3</t>
  </si>
  <si>
    <t>96h-4</t>
  </si>
  <si>
    <t>120h-1</t>
  </si>
  <si>
    <t>120h-2</t>
  </si>
  <si>
    <t>120h-3</t>
  </si>
  <si>
    <t>120h-4</t>
  </si>
  <si>
    <t>Pupal Stage</t>
  </si>
  <si>
    <t>Fig. 2B</t>
  </si>
  <si>
    <t>JHIII</t>
  </si>
  <si>
    <t>Kr-h1 expression</t>
  </si>
  <si>
    <t>JH III</t>
  </si>
  <si>
    <t>Fig. 2C</t>
  </si>
  <si>
    <t>dsMalE</t>
  </si>
  <si>
    <t>dsEcR</t>
  </si>
  <si>
    <t>Solvent</t>
  </si>
  <si>
    <t>EcR expression</t>
  </si>
  <si>
    <t>E75 expression</t>
  </si>
  <si>
    <t>Fig. 1B</t>
  </si>
  <si>
    <t>First Trial</t>
  </si>
  <si>
    <t>Second Trial</t>
  </si>
  <si>
    <t>Larval Mortality</t>
  </si>
  <si>
    <t>Pupal Mortality</t>
  </si>
  <si>
    <t>Total Injected</t>
  </si>
  <si>
    <t>Larval mortality %</t>
  </si>
  <si>
    <t>Pupal Mortality %</t>
  </si>
  <si>
    <t>SEM</t>
  </si>
  <si>
    <t>Avgerage</t>
  </si>
  <si>
    <t>R1</t>
  </si>
  <si>
    <t>R2</t>
  </si>
  <si>
    <t>R3</t>
  </si>
  <si>
    <t>No. of live larvae</t>
  </si>
  <si>
    <t>No. of dead larvae</t>
  </si>
  <si>
    <t>No. of live pupae</t>
  </si>
  <si>
    <t>No. of dead pupa</t>
  </si>
  <si>
    <t>No. of adults emerged</t>
  </si>
  <si>
    <t>No. of malformed adults</t>
  </si>
  <si>
    <t>No. of dead pupae</t>
  </si>
  <si>
    <t>Supplementary Fig. 4D</t>
  </si>
  <si>
    <t>H4K5</t>
  </si>
  <si>
    <t>Mean Intensity</t>
  </si>
  <si>
    <t>H4</t>
  </si>
  <si>
    <t>H4K8</t>
  </si>
  <si>
    <t>H4K12</t>
  </si>
  <si>
    <r>
      <rPr>
        <b/>
        <sz val="11"/>
        <color theme="1"/>
        <rFont val="Aptos Narrow"/>
        <family val="2"/>
      </rPr>
      <t>β</t>
    </r>
    <r>
      <rPr>
        <b/>
        <sz val="7.7"/>
        <color theme="1"/>
        <rFont val="Calibri"/>
        <family val="2"/>
      </rPr>
      <t>-ACTIN</t>
    </r>
  </si>
  <si>
    <t>Fold change</t>
  </si>
  <si>
    <t>Shadow</t>
  </si>
  <si>
    <t>Phantom</t>
  </si>
  <si>
    <t>Last instar larval stage</t>
  </si>
  <si>
    <t>Penultimate larval instar stage</t>
  </si>
  <si>
    <t>H2A</t>
  </si>
  <si>
    <t>H2B</t>
  </si>
  <si>
    <t>Histone H4</t>
  </si>
  <si>
    <t>Hostone H4 protein levels</t>
  </si>
  <si>
    <t xml:space="preserve">H4 </t>
  </si>
  <si>
    <t>H4 acetylation in larvae</t>
  </si>
  <si>
    <t>Supplementary Fig. 5B</t>
  </si>
  <si>
    <t>Supplementary Fig. 5A</t>
  </si>
  <si>
    <t>Supplementary Fig. 5C</t>
  </si>
  <si>
    <t>Supplementary Fig. 5D</t>
  </si>
  <si>
    <t>Supplementary Fig. 5E</t>
  </si>
  <si>
    <t>dsNAA40+20E</t>
  </si>
  <si>
    <t>H4 methylation</t>
  </si>
  <si>
    <t>H4 acetylation</t>
  </si>
  <si>
    <t>Supplementary Fig. 5F</t>
  </si>
  <si>
    <t>dsART1</t>
  </si>
  <si>
    <t>NAA40_OE</t>
  </si>
  <si>
    <t>dsART1+NAA40_OE</t>
  </si>
  <si>
    <t>Supplementary Fig. 5G</t>
  </si>
  <si>
    <t>H4 acetylation in cells</t>
  </si>
  <si>
    <t>dsmalE+DMSO</t>
  </si>
  <si>
    <t>dsmalE+20E</t>
  </si>
  <si>
    <t>#</t>
  </si>
  <si>
    <t>Sample ID</t>
  </si>
  <si>
    <t>Protein</t>
  </si>
  <si>
    <t>O.D</t>
  </si>
  <si>
    <t>Normalized Value</t>
  </si>
  <si>
    <t>E75M-1</t>
  </si>
  <si>
    <t>E75M-2</t>
  </si>
  <si>
    <t>E75M-3</t>
  </si>
  <si>
    <t>E75M-E1</t>
  </si>
  <si>
    <t>E75M-E2</t>
  </si>
  <si>
    <t>E75M-E3</t>
  </si>
  <si>
    <t>VC_M-1</t>
  </si>
  <si>
    <t>VC_M-2</t>
  </si>
  <si>
    <t>VC_M-3</t>
  </si>
  <si>
    <t>VC_M-4</t>
  </si>
  <si>
    <t>VC_N-E1</t>
  </si>
  <si>
    <t>VC_N-E2</t>
  </si>
  <si>
    <t>VC_N-E3</t>
  </si>
  <si>
    <t>VC_N-E4</t>
  </si>
  <si>
    <t>VC_M-E4</t>
  </si>
  <si>
    <t>VC_M-E3</t>
  </si>
  <si>
    <t>VC_M-E2</t>
  </si>
  <si>
    <t>VC_M-E1</t>
  </si>
  <si>
    <t>VC_N-1</t>
  </si>
  <si>
    <t>VC_N-2</t>
  </si>
  <si>
    <t>VC_N-3</t>
  </si>
  <si>
    <t>VC_N-4</t>
  </si>
  <si>
    <t>E75M-4</t>
  </si>
  <si>
    <t>E75_N-1</t>
  </si>
  <si>
    <t>E75_N-2</t>
  </si>
  <si>
    <t>E75_N-3</t>
  </si>
  <si>
    <t>E75_N-4</t>
  </si>
  <si>
    <t>E75M-E4</t>
  </si>
  <si>
    <t>E75_N-E1</t>
  </si>
  <si>
    <t>E75_N-E2</t>
  </si>
  <si>
    <t>E75_N-E3</t>
  </si>
  <si>
    <t>E75_N-E4</t>
  </si>
  <si>
    <t>Hr3_M-1</t>
  </si>
  <si>
    <t>Hr3_M-2</t>
  </si>
  <si>
    <t>Hr3_M-3</t>
  </si>
  <si>
    <t>Hr3_M-4</t>
  </si>
  <si>
    <t>Hr3_N-1</t>
  </si>
  <si>
    <t>Hr3_N-2</t>
  </si>
  <si>
    <t>Hr3_N-3</t>
  </si>
  <si>
    <t>Hr3_N-4</t>
  </si>
  <si>
    <t>Hr3_M-E1</t>
  </si>
  <si>
    <t>Hr3_M-E2</t>
  </si>
  <si>
    <t>Hr3_M-E3</t>
  </si>
  <si>
    <t>Hr3_M-E4</t>
  </si>
  <si>
    <t>Hr3__N-E1</t>
  </si>
  <si>
    <t>Hr3__N-E2</t>
  </si>
  <si>
    <t>Hr3__N-E3</t>
  </si>
  <si>
    <t>Fig. 7B</t>
  </si>
  <si>
    <t>SRC_OE</t>
  </si>
  <si>
    <t>SRC_OE+dsNAA40</t>
  </si>
  <si>
    <t>NAA40_OE+dsSRC</t>
  </si>
  <si>
    <t>SRC_OE+NAA40_OE</t>
  </si>
  <si>
    <t>Hr3</t>
  </si>
  <si>
    <t>Fig. 8A</t>
  </si>
  <si>
    <t>Hr3 expression</t>
  </si>
  <si>
    <t>EcR-A expression</t>
  </si>
  <si>
    <t>Fig. 8B</t>
  </si>
  <si>
    <t>MD-H4K12</t>
  </si>
  <si>
    <t>Raw Ct Values</t>
  </si>
  <si>
    <t xml:space="preserve">AVERAGE Triplicate Ct </t>
  </si>
  <si>
    <t>Adjusted Input</t>
  </si>
  <si>
    <t>Final Normalized Input 100*2^((Adjusted Input) - (Ct IP))</t>
  </si>
  <si>
    <t>Background Subtraction (Ct IP- Ct IgG)</t>
  </si>
  <si>
    <r>
      <t>Final Fold Enrichment (2</t>
    </r>
    <r>
      <rPr>
        <b/>
        <vertAlign val="superscript"/>
        <sz val="10"/>
        <rFont val="Calibri Light"/>
        <family val="2"/>
      </rPr>
      <t>-ΔΔ</t>
    </r>
    <r>
      <rPr>
        <b/>
        <sz val="10"/>
        <rFont val="Arial"/>
        <family val="2"/>
      </rPr>
      <t>Ct)</t>
    </r>
  </si>
  <si>
    <t>MD_Input 1</t>
  </si>
  <si>
    <t>MD_Input 2</t>
  </si>
  <si>
    <t>MD_Input 3</t>
  </si>
  <si>
    <t>MD_IgG 1</t>
  </si>
  <si>
    <t>MD_IgG 2</t>
  </si>
  <si>
    <t>MD_IgG 3</t>
  </si>
  <si>
    <t>NA_Input 1</t>
  </si>
  <si>
    <t>NA_Input 2</t>
  </si>
  <si>
    <t>NA_Input 3</t>
  </si>
  <si>
    <t>NA_IgG 1</t>
  </si>
  <si>
    <t>NA_IgG 2</t>
  </si>
  <si>
    <t>NA_IgG 3</t>
  </si>
  <si>
    <t>NA-H4K12</t>
  </si>
  <si>
    <t>ART_Input 1</t>
  </si>
  <si>
    <t>ART_Input 2</t>
  </si>
  <si>
    <t>ART_Input 3</t>
  </si>
  <si>
    <t>ART_IgG 1</t>
  </si>
  <si>
    <t>ART_IgG 2</t>
  </si>
  <si>
    <t>ART_IgG 3</t>
  </si>
  <si>
    <t>dsNA_Input 1</t>
  </si>
  <si>
    <t>dsNA_Input 2</t>
  </si>
  <si>
    <t>dsNA_Input 3</t>
  </si>
  <si>
    <t>dsNA_IgG 1</t>
  </si>
  <si>
    <t>dsNA_IgG 2</t>
  </si>
  <si>
    <t>dsNA_IgG 3</t>
  </si>
  <si>
    <t>NE_OE_Input 1</t>
  </si>
  <si>
    <t>NE_OE_Input 2</t>
  </si>
  <si>
    <t>NE_OE_Input 3</t>
  </si>
  <si>
    <t>NE_OE_IgG 1</t>
  </si>
  <si>
    <t>NE_OE_IgG 2</t>
  </si>
  <si>
    <t>NE_OE_IgG 3</t>
  </si>
  <si>
    <t>dsART+NA_OE_Input 1</t>
  </si>
  <si>
    <t>dsART+NA_OE_Input 2</t>
  </si>
  <si>
    <t>dsART+NA_OE_Input 3</t>
  </si>
  <si>
    <t>dsART+NA_OE_IgG 1</t>
  </si>
  <si>
    <t>dsART+NA_OE_IgG 2</t>
  </si>
  <si>
    <t>dsART+NA_OE_IgG 3</t>
  </si>
  <si>
    <t>MD-Arg3_1</t>
  </si>
  <si>
    <t>MD-Arg3_2</t>
  </si>
  <si>
    <t>MD-Arg_3</t>
  </si>
  <si>
    <t>dsNA-Arg_1</t>
  </si>
  <si>
    <t>dsNA-Arg_2</t>
  </si>
  <si>
    <t>NA-Arg_3</t>
  </si>
  <si>
    <t>ART-Arg_1</t>
  </si>
  <si>
    <t>ART-Arg3_2</t>
  </si>
  <si>
    <t>ART-Arg3_3</t>
  </si>
  <si>
    <t>NE_OE-Arg3_1</t>
  </si>
  <si>
    <t>NE_OE-Arg3_2</t>
  </si>
  <si>
    <t>NE_OE-Arg3_3</t>
  </si>
  <si>
    <t>dsART+NA_OE-Arg3_1</t>
  </si>
  <si>
    <t>dsART+NA_OE-Arg3_2</t>
  </si>
  <si>
    <t>dsART+NA_OE-Arg3_3</t>
  </si>
  <si>
    <t>dsNA-Arg_3</t>
  </si>
  <si>
    <t>Fig. 4E (ChiP assay)</t>
  </si>
  <si>
    <t>Fig. 8D (ChiP assay)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</si>
</sst>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##0.00;\-###0.00"/>
    <numFmt numFmtId="165" formatCode="0.0000000000000_);\(0.0000000000000\)"/>
    <numFmt numFmtId="166" formatCode="0.0000000000000000_);\(0.0000000000000000\)"/>
    <numFmt numFmtId="167" formatCode="0.000000000000000_);\(0.000000000000000\)"/>
    <numFmt numFmtId="168" formatCode="0.00000000000000_);\(0.00000000000000\)"/>
    <numFmt numFmtId="169" formatCode="0.00000000000_);\(0.00000000000\)"/>
    <numFmt numFmtId="170" formatCode="0.0000"/>
    <numFmt numFmtId="171" formatCode="0.00000"/>
    <numFmt numFmtId="172" formatCode="0.0000000"/>
    <numFmt numFmtId="173" formatCode="0.000"/>
    <numFmt numFmtId="174" formatCode="0.0"/>
  </numFmts>
  <fonts count="27" x14ac:knownFonts="1">
    <font>
      <sz val="11"/>
      <color theme="1"/>
      <name val="Calibri"/>
      <family val="2"/>
      <scheme val="minor"/>
    </font>
    <font>
      <sz val="8.25"/>
      <name val="Microsoft Sans Serif"/>
      <family val="2"/>
    </font>
    <font>
      <b/>
      <sz val="8.25"/>
      <color rgb="FFFF0000"/>
      <name val="Microsoft Sans Serif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8.25"/>
      <name val="Microsoft Sans Serif"/>
      <charset val="1"/>
    </font>
    <font>
      <b/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0"/>
      <name val="Arial"/>
      <family val="2"/>
    </font>
    <font>
      <b/>
      <sz val="26"/>
      <color theme="1"/>
      <name val="Calibri"/>
      <family val="2"/>
      <scheme val="minor"/>
    </font>
    <font>
      <b/>
      <sz val="10"/>
      <color theme="1"/>
      <name val="Arial "/>
    </font>
    <font>
      <b/>
      <sz val="11"/>
      <color theme="1"/>
      <name val="Aptos Narrow"/>
      <family val="2"/>
    </font>
    <font>
      <b/>
      <sz val="7.7"/>
      <color theme="1"/>
      <name val="Calibri"/>
      <family val="2"/>
    </font>
    <font>
      <b/>
      <sz val="11"/>
      <color theme="1"/>
      <name val="Calibri"/>
      <family val="2"/>
    </font>
    <font>
      <sz val="10"/>
      <name val="Arial"/>
    </font>
    <font>
      <sz val="8"/>
      <name val="Calibri"/>
      <family val="2"/>
      <scheme val="minor"/>
    </font>
    <font>
      <sz val="11"/>
      <name val="Arial"/>
      <family val="2"/>
    </font>
    <font>
      <b/>
      <vertAlign val="superscript"/>
      <sz val="10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CDCFF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4" fillId="0" borderId="0">
      <alignment vertical="top"/>
      <protection locked="0"/>
    </xf>
    <xf numFmtId="0" fontId="13" fillId="0" borderId="0"/>
    <xf numFmtId="0" fontId="23" fillId="0" borderId="0"/>
  </cellStyleXfs>
  <cellXfs count="211">
    <xf numFmtId="0" fontId="0" fillId="0" borderId="0" xfId="0"/>
    <xf numFmtId="164" fontId="1" fillId="0" borderId="0" xfId="0" applyNumberFormat="1" applyFont="1" applyAlignment="1">
      <alignment vertical="center"/>
    </xf>
    <xf numFmtId="0" fontId="0" fillId="0" borderId="0" xfId="0" applyAlignment="1" applyProtection="1">
      <alignment vertical="top"/>
      <protection locked="0"/>
    </xf>
    <xf numFmtId="164" fontId="2" fillId="0" borderId="0" xfId="0" applyNumberFormat="1" applyFont="1" applyAlignment="1">
      <alignment vertical="center"/>
    </xf>
    <xf numFmtId="165" fontId="0" fillId="0" borderId="0" xfId="0" applyNumberFormat="1" applyAlignment="1" applyProtection="1">
      <alignment vertical="top"/>
      <protection locked="0"/>
    </xf>
    <xf numFmtId="166" fontId="0" fillId="0" borderId="0" xfId="0" applyNumberFormat="1" applyAlignment="1" applyProtection="1">
      <alignment vertical="top"/>
      <protection locked="0"/>
    </xf>
    <xf numFmtId="167" fontId="0" fillId="0" borderId="0" xfId="0" applyNumberFormat="1" applyAlignment="1" applyProtection="1">
      <alignment vertical="top"/>
      <protection locked="0"/>
    </xf>
    <xf numFmtId="168" fontId="0" fillId="0" borderId="0" xfId="0" applyNumberFormat="1" applyAlignment="1" applyProtection="1">
      <alignment vertical="top"/>
      <protection locked="0"/>
    </xf>
    <xf numFmtId="165" fontId="0" fillId="0" borderId="0" xfId="0" applyNumberFormat="1"/>
    <xf numFmtId="0" fontId="3" fillId="0" borderId="1" xfId="0" applyFont="1" applyBorder="1"/>
    <xf numFmtId="165" fontId="3" fillId="0" borderId="1" xfId="0" applyNumberFormat="1" applyFont="1" applyBorder="1"/>
    <xf numFmtId="166" fontId="3" fillId="0" borderId="1" xfId="0" applyNumberFormat="1" applyFont="1" applyBorder="1"/>
    <xf numFmtId="166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164" fontId="3" fillId="0" borderId="0" xfId="0" applyNumberFormat="1" applyFont="1" applyAlignment="1">
      <alignment vertical="center"/>
    </xf>
    <xf numFmtId="165" fontId="3" fillId="0" borderId="0" xfId="0" applyNumberFormat="1" applyFont="1"/>
    <xf numFmtId="0" fontId="3" fillId="0" borderId="0" xfId="0" applyFont="1"/>
    <xf numFmtId="0" fontId="3" fillId="0" borderId="6" xfId="0" applyFont="1" applyBorder="1"/>
    <xf numFmtId="0" fontId="3" fillId="0" borderId="5" xfId="0" applyFont="1" applyBorder="1"/>
    <xf numFmtId="164" fontId="3" fillId="0" borderId="2" xfId="0" applyNumberFormat="1" applyFont="1" applyBorder="1" applyAlignment="1">
      <alignment vertical="center"/>
    </xf>
    <xf numFmtId="165" fontId="3" fillId="0" borderId="2" xfId="0" applyNumberFormat="1" applyFont="1" applyBorder="1"/>
    <xf numFmtId="0" fontId="3" fillId="0" borderId="2" xfId="0" applyFont="1" applyBorder="1"/>
    <xf numFmtId="0" fontId="3" fillId="0" borderId="7" xfId="0" applyFont="1" applyBorder="1"/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3" xfId="0" applyFont="1" applyBorder="1" applyAlignment="1">
      <alignment horizontal="center"/>
    </xf>
    <xf numFmtId="0" fontId="0" fillId="0" borderId="6" xfId="0" applyBorder="1"/>
    <xf numFmtId="0" fontId="0" fillId="0" borderId="2" xfId="0" applyBorder="1"/>
    <xf numFmtId="164" fontId="6" fillId="0" borderId="0" xfId="0" applyNumberFormat="1" applyFont="1" applyAlignment="1">
      <alignment vertical="center"/>
    </xf>
    <xf numFmtId="0" fontId="8" fillId="0" borderId="0" xfId="0" applyFont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13" fillId="0" borderId="1" xfId="0" applyFont="1" applyBorder="1"/>
    <xf numFmtId="0" fontId="12" fillId="0" borderId="0" xfId="0" applyFont="1"/>
    <xf numFmtId="0" fontId="0" fillId="0" borderId="1" xfId="0" applyBorder="1"/>
    <xf numFmtId="0" fontId="8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9" fontId="3" fillId="0" borderId="0" xfId="0" applyNumberFormat="1" applyFont="1"/>
    <xf numFmtId="169" fontId="3" fillId="0" borderId="2" xfId="0" applyNumberFormat="1" applyFont="1" applyBorder="1"/>
    <xf numFmtId="0" fontId="10" fillId="0" borderId="0" xfId="0" applyFont="1"/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center"/>
    </xf>
    <xf numFmtId="0" fontId="7" fillId="0" borderId="1" xfId="0" applyFont="1" applyBorder="1"/>
    <xf numFmtId="164" fontId="14" fillId="0" borderId="0" xfId="0" applyNumberFormat="1" applyFont="1" applyAlignment="1">
      <alignment vertical="center"/>
    </xf>
    <xf numFmtId="0" fontId="11" fillId="0" borderId="1" xfId="0" applyFont="1" applyBorder="1"/>
    <xf numFmtId="0" fontId="13" fillId="0" borderId="0" xfId="2"/>
    <xf numFmtId="0" fontId="11" fillId="0" borderId="3" xfId="2" applyFont="1" applyBorder="1" applyAlignment="1">
      <alignment horizontal="center"/>
    </xf>
    <xf numFmtId="0" fontId="11" fillId="0" borderId="3" xfId="2" applyFont="1" applyBorder="1"/>
    <xf numFmtId="0" fontId="13" fillId="0" borderId="11" xfId="2" applyBorder="1"/>
    <xf numFmtId="170" fontId="13" fillId="0" borderId="11" xfId="2" applyNumberFormat="1" applyBorder="1"/>
    <xf numFmtId="170" fontId="12" fillId="0" borderId="11" xfId="2" applyNumberFormat="1" applyFont="1" applyBorder="1"/>
    <xf numFmtId="0" fontId="13" fillId="0" borderId="12" xfId="2" applyBorder="1"/>
    <xf numFmtId="0" fontId="13" fillId="0" borderId="1" xfId="2" applyBorder="1"/>
    <xf numFmtId="170" fontId="13" fillId="0" borderId="1" xfId="2" applyNumberFormat="1" applyBorder="1"/>
    <xf numFmtId="170" fontId="12" fillId="0" borderId="1" xfId="2" applyNumberFormat="1" applyFont="1" applyBorder="1"/>
    <xf numFmtId="0" fontId="12" fillId="0" borderId="1" xfId="2" applyFont="1" applyBorder="1" applyAlignment="1">
      <alignment horizontal="center" vertical="center"/>
    </xf>
    <xf numFmtId="0" fontId="12" fillId="0" borderId="14" xfId="2" applyFont="1" applyBorder="1" applyAlignment="1">
      <alignment horizontal="center" vertical="center"/>
    </xf>
    <xf numFmtId="0" fontId="13" fillId="0" borderId="14" xfId="2" applyBorder="1"/>
    <xf numFmtId="0" fontId="13" fillId="0" borderId="3" xfId="2" applyBorder="1"/>
    <xf numFmtId="170" fontId="13" fillId="0" borderId="3" xfId="2" applyNumberFormat="1" applyBorder="1"/>
    <xf numFmtId="0" fontId="12" fillId="0" borderId="3" xfId="2" applyFont="1" applyBorder="1" applyAlignment="1">
      <alignment horizontal="center" vertical="center"/>
    </xf>
    <xf numFmtId="0" fontId="12" fillId="0" borderId="16" xfId="2" applyFont="1" applyBorder="1" applyAlignment="1">
      <alignment horizontal="center" vertical="center"/>
    </xf>
    <xf numFmtId="0" fontId="13" fillId="0" borderId="10" xfId="2" applyBorder="1"/>
    <xf numFmtId="170" fontId="13" fillId="0" borderId="18" xfId="2" applyNumberFormat="1" applyBorder="1"/>
    <xf numFmtId="0" fontId="13" fillId="0" borderId="13" xfId="2" applyBorder="1"/>
    <xf numFmtId="170" fontId="13" fillId="0" borderId="20" xfId="2" applyNumberFormat="1" applyBorder="1"/>
    <xf numFmtId="0" fontId="12" fillId="0" borderId="20" xfId="2" applyFont="1" applyBorder="1" applyAlignment="1">
      <alignment horizontal="center" vertical="center"/>
    </xf>
    <xf numFmtId="0" fontId="12" fillId="0" borderId="21" xfId="2" applyFont="1" applyBorder="1" applyAlignment="1">
      <alignment horizontal="center" vertical="center"/>
    </xf>
    <xf numFmtId="0" fontId="13" fillId="0" borderId="23" xfId="2" applyBorder="1"/>
    <xf numFmtId="0" fontId="16" fillId="0" borderId="0" xfId="0" applyFont="1"/>
    <xf numFmtId="0" fontId="11" fillId="0" borderId="11" xfId="0" applyFont="1" applyBorder="1"/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170" fontId="0" fillId="0" borderId="1" xfId="0" applyNumberFormat="1" applyBorder="1"/>
    <xf numFmtId="170" fontId="0" fillId="0" borderId="20" xfId="0" applyNumberFormat="1" applyBorder="1"/>
    <xf numFmtId="0" fontId="15" fillId="0" borderId="0" xfId="0" applyFont="1" applyAlignment="1">
      <alignment horizontal="center"/>
    </xf>
    <xf numFmtId="0" fontId="17" fillId="0" borderId="11" xfId="0" applyFont="1" applyBorder="1"/>
    <xf numFmtId="0" fontId="0" fillId="0" borderId="11" xfId="0" applyBorder="1"/>
    <xf numFmtId="0" fontId="0" fillId="0" borderId="29" xfId="0" applyBorder="1"/>
    <xf numFmtId="172" fontId="0" fillId="0" borderId="1" xfId="0" applyNumberFormat="1" applyBorder="1"/>
    <xf numFmtId="172" fontId="0" fillId="0" borderId="20" xfId="0" applyNumberFormat="1" applyBorder="1"/>
    <xf numFmtId="0" fontId="0" fillId="0" borderId="20" xfId="0" applyBorder="1"/>
    <xf numFmtId="170" fontId="0" fillId="0" borderId="11" xfId="0" applyNumberFormat="1" applyBorder="1"/>
    <xf numFmtId="0" fontId="0" fillId="2" borderId="1" xfId="0" applyFill="1" applyBorder="1" applyAlignment="1">
      <alignment horizontal="center"/>
    </xf>
    <xf numFmtId="0" fontId="13" fillId="0" borderId="1" xfId="0" applyFont="1" applyBorder="1" applyAlignment="1">
      <alignment horizontal="left"/>
    </xf>
    <xf numFmtId="1" fontId="0" fillId="2" borderId="1" xfId="0" applyNumberFormat="1" applyFill="1" applyBorder="1" applyAlignment="1">
      <alignment horizontal="center"/>
    </xf>
    <xf numFmtId="2" fontId="0" fillId="0" borderId="1" xfId="0" applyNumberFormat="1" applyBorder="1"/>
    <xf numFmtId="0" fontId="17" fillId="2" borderId="1" xfId="0" applyFont="1" applyFill="1" applyBorder="1" applyAlignment="1">
      <alignment horizontal="center"/>
    </xf>
    <xf numFmtId="0" fontId="17" fillId="0" borderId="1" xfId="0" applyFont="1" applyBorder="1"/>
    <xf numFmtId="1" fontId="0" fillId="3" borderId="1" xfId="0" applyNumberFormat="1" applyFill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2" fontId="13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70" fontId="4" fillId="0" borderId="0" xfId="0" applyNumberFormat="1" applyFont="1"/>
    <xf numFmtId="170" fontId="6" fillId="0" borderId="1" xfId="0" applyNumberFormat="1" applyFont="1" applyBorder="1" applyAlignment="1">
      <alignment horizontal="center"/>
    </xf>
    <xf numFmtId="170" fontId="3" fillId="0" borderId="0" xfId="0" applyNumberFormat="1" applyFont="1"/>
    <xf numFmtId="170" fontId="3" fillId="0" borderId="2" xfId="0" applyNumberFormat="1" applyFont="1" applyBorder="1"/>
    <xf numFmtId="170" fontId="0" fillId="0" borderId="0" xfId="0" applyNumberFormat="1"/>
    <xf numFmtId="170" fontId="0" fillId="0" borderId="0" xfId="0" applyNumberFormat="1" applyAlignment="1" applyProtection="1">
      <alignment vertical="top"/>
      <protection locked="0"/>
    </xf>
    <xf numFmtId="170" fontId="18" fillId="0" borderId="0" xfId="0" applyNumberFormat="1" applyFont="1"/>
    <xf numFmtId="170" fontId="17" fillId="2" borderId="1" xfId="0" applyNumberFormat="1" applyFont="1" applyFill="1" applyBorder="1" applyAlignment="1">
      <alignment horizontal="center"/>
    </xf>
    <xf numFmtId="170" fontId="13" fillId="0" borderId="1" xfId="0" applyNumberFormat="1" applyFont="1" applyBorder="1" applyAlignment="1">
      <alignment horizontal="center"/>
    </xf>
    <xf numFmtId="170" fontId="6" fillId="0" borderId="3" xfId="0" applyNumberFormat="1" applyFont="1" applyBorder="1" applyAlignment="1">
      <alignment horizontal="center"/>
    </xf>
    <xf numFmtId="170" fontId="3" fillId="0" borderId="1" xfId="0" applyNumberFormat="1" applyFont="1" applyBorder="1"/>
    <xf numFmtId="170" fontId="16" fillId="0" borderId="0" xfId="0" applyNumberFormat="1" applyFont="1"/>
    <xf numFmtId="170" fontId="3" fillId="0" borderId="1" xfId="0" applyNumberFormat="1" applyFont="1" applyBorder="1" applyAlignment="1">
      <alignment vertical="center"/>
    </xf>
    <xf numFmtId="170" fontId="17" fillId="3" borderId="1" xfId="0" applyNumberFormat="1" applyFont="1" applyFill="1" applyBorder="1" applyAlignment="1">
      <alignment horizontal="center"/>
    </xf>
    <xf numFmtId="170" fontId="0" fillId="0" borderId="6" xfId="0" applyNumberFormat="1" applyBorder="1"/>
    <xf numFmtId="170" fontId="3" fillId="0" borderId="6" xfId="0" applyNumberFormat="1" applyFont="1" applyBorder="1"/>
    <xf numFmtId="170" fontId="3" fillId="0" borderId="7" xfId="0" applyNumberFormat="1" applyFont="1" applyBorder="1"/>
    <xf numFmtId="170" fontId="19" fillId="2" borderId="1" xfId="0" applyNumberFormat="1" applyFont="1" applyFill="1" applyBorder="1" applyAlignment="1">
      <alignment horizontal="center"/>
    </xf>
    <xf numFmtId="1" fontId="0" fillId="0" borderId="1" xfId="0" applyNumberFormat="1" applyBorder="1"/>
    <xf numFmtId="0" fontId="13" fillId="0" borderId="1" xfId="0" applyFont="1" applyBorder="1" applyAlignment="1">
      <alignment horizontal="center"/>
    </xf>
    <xf numFmtId="170" fontId="8" fillId="0" borderId="1" xfId="0" applyNumberFormat="1" applyFont="1" applyBorder="1"/>
    <xf numFmtId="0" fontId="15" fillId="0" borderId="1" xfId="0" applyFont="1" applyBorder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166" fontId="3" fillId="0" borderId="0" xfId="0" applyNumberFormat="1" applyFont="1"/>
    <xf numFmtId="164" fontId="4" fillId="0" borderId="0" xfId="0" applyNumberFormat="1" applyFont="1" applyAlignment="1">
      <alignment vertical="center"/>
    </xf>
    <xf numFmtId="164" fontId="4" fillId="0" borderId="2" xfId="0" applyNumberFormat="1" applyFont="1" applyBorder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/>
    <xf numFmtId="166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12" fillId="0" borderId="33" xfId="2" applyFont="1" applyBorder="1" applyAlignment="1">
      <alignment vertical="center"/>
    </xf>
    <xf numFmtId="0" fontId="12" fillId="0" borderId="0" xfId="2" applyFont="1" applyAlignment="1">
      <alignment vertical="center"/>
    </xf>
    <xf numFmtId="0" fontId="17" fillId="4" borderId="1" xfId="3" applyFont="1" applyFill="1" applyBorder="1"/>
    <xf numFmtId="0" fontId="23" fillId="0" borderId="0" xfId="3"/>
    <xf numFmtId="173" fontId="23" fillId="0" borderId="1" xfId="3" applyNumberFormat="1" applyBorder="1"/>
    <xf numFmtId="0" fontId="23" fillId="0" borderId="0" xfId="3" applyAlignment="1">
      <alignment horizontal="center"/>
    </xf>
    <xf numFmtId="173" fontId="0" fillId="0" borderId="1" xfId="0" applyNumberFormat="1" applyBorder="1"/>
    <xf numFmtId="173" fontId="0" fillId="0" borderId="0" xfId="0" applyNumberFormat="1"/>
    <xf numFmtId="173" fontId="23" fillId="0" borderId="0" xfId="3" applyNumberFormat="1"/>
    <xf numFmtId="0" fontId="23" fillId="0" borderId="1" xfId="3" applyBorder="1"/>
    <xf numFmtId="0" fontId="9" fillId="0" borderId="0" xfId="0" applyFont="1"/>
    <xf numFmtId="0" fontId="13" fillId="0" borderId="0" xfId="3" applyFont="1"/>
    <xf numFmtId="0" fontId="13" fillId="0" borderId="0" xfId="2" applyAlignment="1">
      <alignment wrapText="1"/>
    </xf>
    <xf numFmtId="0" fontId="17" fillId="0" borderId="0" xfId="2" applyFont="1" applyAlignment="1">
      <alignment wrapText="1"/>
    </xf>
    <xf numFmtId="0" fontId="13" fillId="0" borderId="0" xfId="2" applyAlignment="1">
      <alignment horizontal="center" wrapText="1"/>
    </xf>
    <xf numFmtId="0" fontId="17" fillId="0" borderId="0" xfId="2" applyFont="1" applyAlignment="1">
      <alignment horizontal="center" wrapText="1"/>
    </xf>
    <xf numFmtId="174" fontId="13" fillId="0" borderId="0" xfId="2" applyNumberFormat="1" applyAlignment="1">
      <alignment horizontal="center" wrapText="1"/>
    </xf>
    <xf numFmtId="0" fontId="25" fillId="0" borderId="0" xfId="2" applyFont="1" applyAlignment="1">
      <alignment horizontal="center" wrapText="1"/>
    </xf>
    <xf numFmtId="173" fontId="17" fillId="0" borderId="0" xfId="2" applyNumberFormat="1" applyFont="1" applyAlignment="1">
      <alignment horizontal="center" wrapText="1"/>
    </xf>
    <xf numFmtId="2" fontId="13" fillId="0" borderId="0" xfId="2" applyNumberFormat="1" applyAlignment="1">
      <alignment horizontal="right" wrapText="1"/>
    </xf>
    <xf numFmtId="173" fontId="13" fillId="0" borderId="0" xfId="2" applyNumberFormat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70" fontId="0" fillId="0" borderId="1" xfId="0" applyNumberFormat="1" applyBorder="1" applyAlignment="1">
      <alignment horizontal="center"/>
    </xf>
    <xf numFmtId="0" fontId="16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171" fontId="0" fillId="0" borderId="3" xfId="0" applyNumberFormat="1" applyBorder="1" applyAlignment="1">
      <alignment horizontal="center" vertical="center"/>
    </xf>
    <xf numFmtId="171" fontId="0" fillId="0" borderId="4" xfId="0" applyNumberFormat="1" applyBorder="1" applyAlignment="1">
      <alignment horizontal="center" vertical="center"/>
    </xf>
    <xf numFmtId="171" fontId="0" fillId="0" borderId="5" xfId="0" applyNumberFormat="1" applyBorder="1" applyAlignment="1">
      <alignment horizontal="center" vertical="center"/>
    </xf>
    <xf numFmtId="171" fontId="0" fillId="0" borderId="16" xfId="0" applyNumberFormat="1" applyBorder="1" applyAlignment="1">
      <alignment horizontal="center" vertical="center"/>
    </xf>
    <xf numFmtId="171" fontId="0" fillId="0" borderId="26" xfId="0" applyNumberFormat="1" applyBorder="1" applyAlignment="1">
      <alignment horizontal="center" vertical="center"/>
    </xf>
    <xf numFmtId="171" fontId="0" fillId="0" borderId="27" xfId="0" applyNumberFormat="1" applyBorder="1" applyAlignment="1">
      <alignment horizontal="center" vertical="center"/>
    </xf>
    <xf numFmtId="171" fontId="0" fillId="0" borderId="25" xfId="0" applyNumberFormat="1" applyBorder="1" applyAlignment="1">
      <alignment horizontal="center" vertical="center"/>
    </xf>
    <xf numFmtId="171" fontId="0" fillId="0" borderId="28" xfId="0" applyNumberForma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5" xfId="0" applyBorder="1" applyAlignment="1">
      <alignment horizontal="center"/>
    </xf>
    <xf numFmtId="0" fontId="11" fillId="0" borderId="2" xfId="2" applyFont="1" applyBorder="1" applyAlignment="1">
      <alignment horizontal="center"/>
    </xf>
    <xf numFmtId="0" fontId="12" fillId="0" borderId="10" xfId="2" applyFont="1" applyBorder="1" applyAlignment="1">
      <alignment horizontal="center" vertical="center"/>
    </xf>
    <xf numFmtId="0" fontId="12" fillId="0" borderId="13" xfId="2" applyFont="1" applyBorder="1" applyAlignment="1">
      <alignment horizontal="center" vertical="center"/>
    </xf>
    <xf numFmtId="0" fontId="12" fillId="0" borderId="15" xfId="2" applyFont="1" applyBorder="1" applyAlignment="1">
      <alignment horizontal="center" vertical="center"/>
    </xf>
    <xf numFmtId="0" fontId="13" fillId="0" borderId="0" xfId="2" applyAlignment="1">
      <alignment horizontal="center"/>
    </xf>
    <xf numFmtId="0" fontId="13" fillId="0" borderId="17" xfId="2" applyBorder="1" applyAlignment="1">
      <alignment horizontal="center" vertical="center"/>
    </xf>
    <xf numFmtId="0" fontId="13" fillId="0" borderId="19" xfId="2" applyBorder="1" applyAlignment="1">
      <alignment horizontal="center" vertical="center"/>
    </xf>
    <xf numFmtId="0" fontId="13" fillId="0" borderId="22" xfId="2" applyBorder="1" applyAlignment="1">
      <alignment horizontal="center" vertical="center"/>
    </xf>
    <xf numFmtId="0" fontId="17" fillId="0" borderId="0" xfId="3" applyFont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23" fillId="0" borderId="0" xfId="3" applyAlignment="1">
      <alignment horizontal="center"/>
    </xf>
    <xf numFmtId="173" fontId="23" fillId="0" borderId="1" xfId="3" applyNumberFormat="1" applyBorder="1" applyAlignment="1">
      <alignment horizontal="center" vertical="center"/>
    </xf>
    <xf numFmtId="173" fontId="23" fillId="0" borderId="0" xfId="3" applyNumberFormat="1" applyAlignment="1">
      <alignment horizontal="center" vertical="center"/>
    </xf>
    <xf numFmtId="173" fontId="0" fillId="0" borderId="1" xfId="0" applyNumberFormat="1" applyBorder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0" fontId="12" fillId="0" borderId="31" xfId="2" applyFont="1" applyBorder="1" applyAlignment="1">
      <alignment horizontal="center" vertical="center"/>
    </xf>
    <xf numFmtId="0" fontId="12" fillId="0" borderId="32" xfId="2" applyFont="1" applyBorder="1" applyAlignment="1">
      <alignment horizontal="center" vertical="center"/>
    </xf>
    <xf numFmtId="0" fontId="12" fillId="0" borderId="33" xfId="2" applyFont="1" applyBorder="1" applyAlignment="1">
      <alignment horizontal="center" vertical="center"/>
    </xf>
    <xf numFmtId="0" fontId="13" fillId="0" borderId="1" xfId="2" applyBorder="1" applyAlignment="1">
      <alignment horizontal="center" vertical="center"/>
    </xf>
  </cellXfs>
  <cellStyles count="4">
    <cellStyle name="Normal" xfId="0" builtinId="0"/>
    <cellStyle name="Normal 2" xfId="1" xr:uid="{091C9DEC-9E9F-4B93-A71C-315C32E3FDD7}"/>
    <cellStyle name="Normal 3" xfId="2" xr:uid="{4CD42069-EEE4-4863-818D-ECD2E2C2C17A}"/>
    <cellStyle name="Normal 4" xfId="3" xr:uid="{B0806F93-A040-48FB-B516-EBA822A8DD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D6005-B387-4C29-8D68-30BC78BFC6FB}">
  <dimension ref="A2:X361"/>
  <sheetViews>
    <sheetView topLeftCell="A315" zoomScale="40" zoomScaleNormal="40" workbookViewId="0">
      <selection activeCell="T331" sqref="T331"/>
    </sheetView>
  </sheetViews>
  <sheetFormatPr defaultRowHeight="14.5" x14ac:dyDescent="0.35"/>
  <cols>
    <col min="1" max="1" width="16.453125" customWidth="1"/>
    <col min="2" max="2" width="12.1796875" customWidth="1"/>
    <col min="3" max="4" width="18.1796875" customWidth="1"/>
    <col min="5" max="5" width="17.7265625" style="102" bestFit="1" customWidth="1"/>
    <col min="6" max="6" width="18.54296875" style="102" bestFit="1" customWidth="1"/>
    <col min="7" max="7" width="16.54296875" style="102" bestFit="1" customWidth="1"/>
    <col min="8" max="8" width="19.54296875" style="102" bestFit="1" customWidth="1"/>
    <col min="9" max="9" width="22.81640625" bestFit="1" customWidth="1"/>
    <col min="10" max="10" width="17.81640625" style="102" customWidth="1"/>
    <col min="11" max="11" width="15.54296875" customWidth="1"/>
    <col min="12" max="12" width="17.7265625" style="102" customWidth="1"/>
    <col min="13" max="13" width="16.54296875" style="102" customWidth="1"/>
    <col min="14" max="14" width="16.54296875" bestFit="1" customWidth="1"/>
    <col min="15" max="15" width="19.54296875" bestFit="1" customWidth="1"/>
    <col min="16" max="16" width="22.81640625" bestFit="1" customWidth="1"/>
  </cols>
  <sheetData>
    <row r="2" spans="1:13" ht="36" x14ac:dyDescent="0.8">
      <c r="A2" s="154" t="s">
        <v>71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</row>
    <row r="3" spans="1:13" ht="15.5" x14ac:dyDescent="0.35">
      <c r="A3" s="25" t="s">
        <v>17</v>
      </c>
      <c r="B3" s="24"/>
      <c r="C3" s="24"/>
      <c r="D3" s="24"/>
      <c r="E3" s="98"/>
      <c r="F3" s="98"/>
      <c r="G3" s="98"/>
      <c r="H3" s="98"/>
      <c r="I3" s="24"/>
      <c r="J3" s="98"/>
      <c r="K3" s="24"/>
      <c r="L3" s="98"/>
      <c r="M3" s="98"/>
    </row>
    <row r="4" spans="1:13" ht="15.5" x14ac:dyDescent="0.35">
      <c r="A4" s="26" t="s">
        <v>8</v>
      </c>
      <c r="B4" s="27" t="s">
        <v>9</v>
      </c>
      <c r="C4" s="26" t="s">
        <v>7</v>
      </c>
      <c r="D4" s="26" t="s">
        <v>6</v>
      </c>
      <c r="E4" s="99" t="s">
        <v>5</v>
      </c>
      <c r="F4" s="107" t="s">
        <v>12</v>
      </c>
      <c r="G4" s="107" t="s">
        <v>13</v>
      </c>
      <c r="H4" s="99" t="s">
        <v>4</v>
      </c>
      <c r="I4" s="26" t="s">
        <v>3</v>
      </c>
      <c r="J4" s="99" t="s">
        <v>14</v>
      </c>
      <c r="K4" s="28" t="s">
        <v>3</v>
      </c>
      <c r="L4" s="107" t="s">
        <v>15</v>
      </c>
      <c r="M4" s="107" t="s">
        <v>16</v>
      </c>
    </row>
    <row r="5" spans="1:13" ht="15.5" x14ac:dyDescent="0.35">
      <c r="A5" s="155" t="s">
        <v>11</v>
      </c>
      <c r="B5" s="9" t="s">
        <v>2</v>
      </c>
      <c r="C5" s="15">
        <v>25.1471500019878</v>
      </c>
      <c r="D5" s="15">
        <v>18.406363209252</v>
      </c>
      <c r="E5" s="100">
        <f t="shared" ref="E5:E12" si="0">C5-D5</f>
        <v>6.7407867927358005</v>
      </c>
      <c r="F5" s="108"/>
      <c r="G5" s="108">
        <f t="shared" ref="G5:G12" si="1">E5-$F$8</f>
        <v>0.28089954755512547</v>
      </c>
      <c r="H5" s="108">
        <f t="shared" ref="H5:H12" si="2">2^-G5</f>
        <v>0.82307765280512823</v>
      </c>
      <c r="I5" s="12"/>
      <c r="J5" s="110">
        <f t="shared" ref="J5:J12" si="3">H5/$I$8</f>
        <v>0.77005733997664627</v>
      </c>
      <c r="K5" s="17"/>
      <c r="M5" s="112"/>
    </row>
    <row r="6" spans="1:13" ht="15.5" x14ac:dyDescent="0.35">
      <c r="A6" s="155"/>
      <c r="B6" s="9" t="s">
        <v>1</v>
      </c>
      <c r="C6" s="15">
        <v>24.458013427555599</v>
      </c>
      <c r="D6" s="15">
        <v>17.9734816124652</v>
      </c>
      <c r="E6" s="100">
        <f t="shared" si="0"/>
        <v>6.4845318150903992</v>
      </c>
      <c r="F6" s="108"/>
      <c r="G6" s="108">
        <f t="shared" si="1"/>
        <v>2.464456990972419E-2</v>
      </c>
      <c r="H6" s="108">
        <f t="shared" si="2"/>
        <v>0.98306276132973913</v>
      </c>
      <c r="I6" s="14"/>
      <c r="J6" s="110">
        <f t="shared" si="3"/>
        <v>0.91973666450510017</v>
      </c>
      <c r="K6" s="17">
        <f>AVERAGE(J5:J8)</f>
        <v>1</v>
      </c>
      <c r="L6" s="100">
        <f>STDEVA(J5:J8)</f>
        <v>0.45180309814583619</v>
      </c>
      <c r="M6" s="113">
        <f>L6/SQRT(4)</f>
        <v>0.2259015490729181</v>
      </c>
    </row>
    <row r="7" spans="1:13" ht="15.5" x14ac:dyDescent="0.35">
      <c r="A7" s="155"/>
      <c r="B7" s="9" t="s">
        <v>0</v>
      </c>
      <c r="C7" s="15">
        <v>23.527195700423199</v>
      </c>
      <c r="D7" s="15">
        <v>17.892441890800999</v>
      </c>
      <c r="E7" s="100">
        <f t="shared" si="0"/>
        <v>5.6347538096222003</v>
      </c>
      <c r="F7" s="108"/>
      <c r="G7" s="108">
        <f t="shared" si="1"/>
        <v>-0.82513343555847474</v>
      </c>
      <c r="H7" s="108">
        <f t="shared" si="2"/>
        <v>1.7716988959102891</v>
      </c>
      <c r="I7" s="14"/>
      <c r="J7" s="110">
        <f t="shared" si="3"/>
        <v>1.6575711105441131</v>
      </c>
      <c r="K7" s="17"/>
      <c r="L7" s="100"/>
      <c r="M7" s="113"/>
    </row>
    <row r="8" spans="1:13" ht="15.5" x14ac:dyDescent="0.35">
      <c r="A8" s="155"/>
      <c r="B8" s="9" t="s">
        <v>10</v>
      </c>
      <c r="C8" s="15">
        <v>25.110292562722801</v>
      </c>
      <c r="D8" s="15">
        <v>18.130815999448501</v>
      </c>
      <c r="E8" s="100">
        <f t="shared" si="0"/>
        <v>6.9794765632743001</v>
      </c>
      <c r="F8" s="108">
        <f>AVERAGE(E5:E8)</f>
        <v>6.459887245180675</v>
      </c>
      <c r="G8" s="108">
        <f t="shared" si="1"/>
        <v>0.51958931809362507</v>
      </c>
      <c r="H8" s="108">
        <f t="shared" si="2"/>
        <v>0.69757037739494943</v>
      </c>
      <c r="I8" s="12">
        <f>AVERAGE(H5:H8)</f>
        <v>1.0688524218600266</v>
      </c>
      <c r="J8" s="110">
        <f t="shared" si="3"/>
        <v>0.65263488497414002</v>
      </c>
      <c r="L8" s="100"/>
      <c r="M8" s="113"/>
    </row>
    <row r="9" spans="1:13" ht="15.5" x14ac:dyDescent="0.35">
      <c r="A9" s="156" t="s">
        <v>18</v>
      </c>
      <c r="B9" s="9" t="s">
        <v>2</v>
      </c>
      <c r="C9" s="15">
        <v>27.166899227930699</v>
      </c>
      <c r="D9" s="15">
        <v>18.543863052878599</v>
      </c>
      <c r="E9" s="100">
        <f t="shared" si="0"/>
        <v>8.6230361750520998</v>
      </c>
      <c r="F9" s="108"/>
      <c r="G9" s="108">
        <f t="shared" si="1"/>
        <v>2.1631489298714248</v>
      </c>
      <c r="H9" s="108">
        <f t="shared" si="2"/>
        <v>0.22326841382860688</v>
      </c>
      <c r="I9" s="12"/>
      <c r="J9" s="110">
        <f t="shared" si="3"/>
        <v>0.20888609995388621</v>
      </c>
      <c r="K9" s="17"/>
      <c r="M9" s="112"/>
    </row>
    <row r="10" spans="1:13" ht="15.5" x14ac:dyDescent="0.35">
      <c r="A10" s="157"/>
      <c r="B10" s="9" t="s">
        <v>1</v>
      </c>
      <c r="C10" s="15">
        <v>28.296519599524999</v>
      </c>
      <c r="D10" s="15">
        <v>19.3552735254505</v>
      </c>
      <c r="E10" s="100">
        <f t="shared" si="0"/>
        <v>8.941246074074499</v>
      </c>
      <c r="F10" s="108"/>
      <c r="G10" s="108">
        <f t="shared" si="1"/>
        <v>2.481358828893824</v>
      </c>
      <c r="H10" s="108">
        <f t="shared" si="2"/>
        <v>0.17907566083745496</v>
      </c>
      <c r="I10" s="14"/>
      <c r="J10" s="110">
        <f t="shared" si="3"/>
        <v>0.16754011795737514</v>
      </c>
      <c r="K10" s="22">
        <f>AVERAGE(J9:J12)</f>
        <v>0.16718802629083893</v>
      </c>
      <c r="L10" s="100">
        <f>STDEVA(J9:J12)</f>
        <v>3.6914617116565074E-2</v>
      </c>
      <c r="M10" s="113">
        <f>L10/SQRT(4)</f>
        <v>1.8457308558282537E-2</v>
      </c>
    </row>
    <row r="11" spans="1:13" ht="15.5" x14ac:dyDescent="0.35">
      <c r="A11" s="157"/>
      <c r="B11" s="9" t="s">
        <v>0</v>
      </c>
      <c r="C11" s="15">
        <v>27.322572566890202</v>
      </c>
      <c r="D11" s="15">
        <v>17.888959797170699</v>
      </c>
      <c r="E11" s="100">
        <f t="shared" si="0"/>
        <v>9.4336127697195025</v>
      </c>
      <c r="F11" s="108"/>
      <c r="G11" s="108">
        <f t="shared" si="1"/>
        <v>2.9737255245388274</v>
      </c>
      <c r="H11" s="108">
        <f t="shared" si="2"/>
        <v>0.12729736623168769</v>
      </c>
      <c r="I11" s="14"/>
      <c r="J11" s="110">
        <f t="shared" si="3"/>
        <v>0.11909723328330367</v>
      </c>
      <c r="K11" s="17"/>
      <c r="L11" s="100"/>
      <c r="M11" s="113"/>
    </row>
    <row r="12" spans="1:13" ht="15.5" x14ac:dyDescent="0.35">
      <c r="A12" s="158"/>
      <c r="B12" s="19" t="s">
        <v>10</v>
      </c>
      <c r="C12" s="20">
        <v>27.322664101613999</v>
      </c>
      <c r="D12" s="20">
        <v>18.4295890209732</v>
      </c>
      <c r="E12" s="101">
        <f t="shared" si="0"/>
        <v>8.8930750806407985</v>
      </c>
      <c r="F12" s="101"/>
      <c r="G12" s="108">
        <f t="shared" si="1"/>
        <v>2.4331878354601235</v>
      </c>
      <c r="H12" s="108">
        <f t="shared" si="2"/>
        <v>0.18515586633009445</v>
      </c>
      <c r="I12" s="22"/>
      <c r="J12" s="110">
        <f t="shared" si="3"/>
        <v>0.1732286539687907</v>
      </c>
      <c r="K12" s="30"/>
      <c r="L12" s="101"/>
      <c r="M12" s="114"/>
    </row>
    <row r="15" spans="1:13" ht="15.5" x14ac:dyDescent="0.35">
      <c r="A15" s="25" t="s">
        <v>19</v>
      </c>
    </row>
    <row r="16" spans="1:13" ht="15.5" x14ac:dyDescent="0.35">
      <c r="A16" s="26" t="s">
        <v>8</v>
      </c>
      <c r="B16" s="27" t="s">
        <v>9</v>
      </c>
      <c r="C16" s="26" t="s">
        <v>7</v>
      </c>
      <c r="D16" s="26" t="s">
        <v>6</v>
      </c>
      <c r="E16" s="99" t="s">
        <v>5</v>
      </c>
      <c r="F16" s="107" t="s">
        <v>12</v>
      </c>
      <c r="G16" s="107" t="s">
        <v>13</v>
      </c>
      <c r="H16" s="99" t="s">
        <v>4</v>
      </c>
      <c r="I16" s="26" t="s">
        <v>3</v>
      </c>
      <c r="J16" s="99" t="s">
        <v>14</v>
      </c>
      <c r="K16" s="28" t="s">
        <v>3</v>
      </c>
      <c r="L16" s="107" t="s">
        <v>15</v>
      </c>
      <c r="M16" s="107" t="s">
        <v>16</v>
      </c>
    </row>
    <row r="17" spans="1:16" ht="15.5" x14ac:dyDescent="0.35">
      <c r="A17" s="155" t="s">
        <v>11</v>
      </c>
      <c r="B17" s="9" t="s">
        <v>2</v>
      </c>
      <c r="C17" s="15">
        <v>24.4749888665743</v>
      </c>
      <c r="D17" s="15">
        <v>18.406363209252</v>
      </c>
      <c r="E17" s="100">
        <f t="shared" ref="E17:E24" si="4">C17-D17</f>
        <v>6.0686256573223005</v>
      </c>
      <c r="F17" s="108"/>
      <c r="G17" s="108">
        <f t="shared" ref="G17:G24" si="5">E17-$F$20</f>
        <v>0.14902788754887553</v>
      </c>
      <c r="H17" s="108">
        <f t="shared" ref="H17:H24" si="6">2^-G17</f>
        <v>0.90185794514106177</v>
      </c>
      <c r="I17" s="12"/>
      <c r="J17" s="110">
        <f t="shared" ref="J17:J24" si="7">H17/$I$20</f>
        <v>0.87262115826281361</v>
      </c>
      <c r="K17" s="17"/>
      <c r="M17" s="112"/>
    </row>
    <row r="18" spans="1:16" ht="15.5" x14ac:dyDescent="0.35">
      <c r="A18" s="155"/>
      <c r="B18" s="9" t="s">
        <v>1</v>
      </c>
      <c r="C18" s="15">
        <v>23.970593102448799</v>
      </c>
      <c r="D18" s="15">
        <v>17.9734816124652</v>
      </c>
      <c r="E18" s="100">
        <f t="shared" si="4"/>
        <v>5.9971114899835989</v>
      </c>
      <c r="F18" s="108"/>
      <c r="G18" s="108">
        <f t="shared" si="5"/>
        <v>7.7513720210173886E-2</v>
      </c>
      <c r="H18" s="108">
        <f t="shared" si="6"/>
        <v>0.94768944826041457</v>
      </c>
      <c r="I18" s="14"/>
      <c r="J18" s="110">
        <f t="shared" si="7"/>
        <v>0.91696687762184192</v>
      </c>
      <c r="K18" s="17">
        <f>AVERAGE(J17:J20)</f>
        <v>1</v>
      </c>
      <c r="L18" s="100">
        <f>STDEVA(J17:J20)</f>
        <v>0.31486802578810646</v>
      </c>
      <c r="M18" s="113">
        <f>L18/SQRT(4)</f>
        <v>0.15743401289405323</v>
      </c>
    </row>
    <row r="19" spans="1:16" ht="15.5" x14ac:dyDescent="0.35">
      <c r="A19" s="155"/>
      <c r="B19" s="9" t="s">
        <v>0</v>
      </c>
      <c r="C19" s="15">
        <v>23.218240119270799</v>
      </c>
      <c r="D19" s="15">
        <v>17.892441890800999</v>
      </c>
      <c r="E19" s="100">
        <f t="shared" si="4"/>
        <v>5.3257982284698002</v>
      </c>
      <c r="F19" s="108"/>
      <c r="G19" s="108">
        <f t="shared" si="5"/>
        <v>-0.59379954130362478</v>
      </c>
      <c r="H19" s="108">
        <f t="shared" si="6"/>
        <v>1.5092162523067076</v>
      </c>
      <c r="I19" s="14"/>
      <c r="J19" s="110">
        <f t="shared" si="7"/>
        <v>1.4602898840692156</v>
      </c>
      <c r="K19" s="17"/>
      <c r="L19" s="100"/>
      <c r="M19" s="113"/>
    </row>
    <row r="20" spans="1:16" ht="15.5" x14ac:dyDescent="0.35">
      <c r="A20" s="155"/>
      <c r="B20" s="9" t="s">
        <v>10</v>
      </c>
      <c r="C20" s="15">
        <v>24.417671702766501</v>
      </c>
      <c r="D20" s="15">
        <v>18.130815999448501</v>
      </c>
      <c r="E20" s="100">
        <f t="shared" si="4"/>
        <v>6.2868557033180004</v>
      </c>
      <c r="F20" s="108">
        <f>AVERAGE(E17:E20)</f>
        <v>5.919597769773425</v>
      </c>
      <c r="G20" s="108">
        <f t="shared" si="5"/>
        <v>0.36725793354457537</v>
      </c>
      <c r="H20" s="108">
        <f t="shared" si="6"/>
        <v>0.7752545893593763</v>
      </c>
      <c r="I20" s="12">
        <f>AVERAGE(H17:H20)</f>
        <v>1.0335045587668901</v>
      </c>
      <c r="J20" s="110">
        <f t="shared" si="7"/>
        <v>0.7501220800461289</v>
      </c>
      <c r="L20" s="100"/>
      <c r="M20" s="113"/>
    </row>
    <row r="21" spans="1:16" ht="15.5" x14ac:dyDescent="0.35">
      <c r="A21" s="156" t="s">
        <v>20</v>
      </c>
      <c r="B21" s="9" t="s">
        <v>2</v>
      </c>
      <c r="C21" s="15">
        <v>28.278185200597999</v>
      </c>
      <c r="D21" s="15">
        <v>18.134836930532401</v>
      </c>
      <c r="E21" s="100">
        <f t="shared" si="4"/>
        <v>10.143348270065598</v>
      </c>
      <c r="F21" s="108"/>
      <c r="G21" s="108">
        <f t="shared" si="5"/>
        <v>4.2237505002921729</v>
      </c>
      <c r="H21" s="108">
        <f t="shared" si="6"/>
        <v>5.3521022910560316E-2</v>
      </c>
      <c r="I21" s="12"/>
      <c r="J21" s="110">
        <f t="shared" si="7"/>
        <v>5.1785957262170272E-2</v>
      </c>
      <c r="K21" s="17"/>
      <c r="M21" s="112"/>
    </row>
    <row r="22" spans="1:16" ht="15.5" x14ac:dyDescent="0.35">
      <c r="A22" s="157"/>
      <c r="B22" s="9" t="s">
        <v>1</v>
      </c>
      <c r="C22" s="15">
        <v>27.824613884406901</v>
      </c>
      <c r="D22" s="15">
        <v>19.5942110497915</v>
      </c>
      <c r="E22" s="100">
        <f t="shared" si="4"/>
        <v>8.2304028346154006</v>
      </c>
      <c r="F22" s="108"/>
      <c r="G22" s="108">
        <f t="shared" si="5"/>
        <v>2.3108050648419756</v>
      </c>
      <c r="H22" s="108">
        <f t="shared" si="6"/>
        <v>0.20154793894010453</v>
      </c>
      <c r="I22" s="14"/>
      <c r="J22" s="110">
        <f t="shared" si="7"/>
        <v>0.19501407829354747</v>
      </c>
      <c r="K22" s="22">
        <f>AVERAGE(J21:J24)</f>
        <v>0.1262757062824979</v>
      </c>
      <c r="L22" s="100">
        <f>STDEVA(J21:J24)</f>
        <v>6.1725051303737476E-2</v>
      </c>
      <c r="M22" s="113">
        <f>L22/SQRT(4)</f>
        <v>3.0862525651868738E-2</v>
      </c>
    </row>
    <row r="23" spans="1:16" ht="15.5" x14ac:dyDescent="0.35">
      <c r="A23" s="157"/>
      <c r="B23" s="9" t="s">
        <v>0</v>
      </c>
      <c r="C23" s="15">
        <v>27.0861946699249</v>
      </c>
      <c r="D23" s="15">
        <v>18.505963367459199</v>
      </c>
      <c r="E23" s="100">
        <f t="shared" si="4"/>
        <v>8.5802313024657018</v>
      </c>
      <c r="F23" s="108"/>
      <c r="G23" s="108">
        <f t="shared" si="5"/>
        <v>2.6606335326922768</v>
      </c>
      <c r="H23" s="108">
        <f t="shared" si="6"/>
        <v>0.15815011031623943</v>
      </c>
      <c r="I23" s="14"/>
      <c r="J23" s="110">
        <f t="shared" si="7"/>
        <v>0.15302313760950778</v>
      </c>
      <c r="K23" s="17"/>
      <c r="L23" s="100"/>
      <c r="M23" s="113"/>
    </row>
    <row r="24" spans="1:16" ht="15.5" x14ac:dyDescent="0.35">
      <c r="A24" s="158"/>
      <c r="B24" s="19" t="s">
        <v>10</v>
      </c>
      <c r="C24" s="20">
        <v>27.397674952785898</v>
      </c>
      <c r="D24" s="20">
        <v>18.277920465508299</v>
      </c>
      <c r="E24" s="101">
        <f t="shared" si="4"/>
        <v>9.1197544872776</v>
      </c>
      <c r="F24" s="101"/>
      <c r="G24" s="108">
        <f t="shared" si="5"/>
        <v>3.200156717504175</v>
      </c>
      <c r="H24" s="108">
        <f t="shared" si="6"/>
        <v>0.10880700025097725</v>
      </c>
      <c r="I24" s="22"/>
      <c r="J24" s="110">
        <f t="shared" si="7"/>
        <v>0.10527965196476602</v>
      </c>
      <c r="K24" s="30"/>
      <c r="L24" s="101"/>
      <c r="M24" s="114"/>
    </row>
    <row r="25" spans="1:16" x14ac:dyDescent="0.35">
      <c r="A25" s="1"/>
      <c r="B25" s="2"/>
      <c r="C25" s="3"/>
      <c r="D25" s="3"/>
      <c r="E25" s="103"/>
      <c r="F25" s="103"/>
      <c r="G25" s="103"/>
      <c r="H25" s="103"/>
      <c r="I25" s="5"/>
      <c r="J25" s="103"/>
      <c r="K25" s="2"/>
      <c r="L25" s="103"/>
      <c r="M25" s="103"/>
      <c r="N25" s="2"/>
      <c r="O25" s="2"/>
      <c r="P25" s="2"/>
    </row>
    <row r="26" spans="1:16" x14ac:dyDescent="0.35">
      <c r="A26" s="1"/>
      <c r="B26" s="2"/>
      <c r="C26" s="3"/>
      <c r="D26" s="3"/>
      <c r="E26" s="103"/>
      <c r="F26" s="103"/>
      <c r="G26" s="103"/>
      <c r="H26" s="103"/>
      <c r="I26" s="5"/>
      <c r="J26" s="103"/>
      <c r="K26" s="2"/>
      <c r="L26" s="103"/>
      <c r="M26" s="103"/>
      <c r="N26" s="2"/>
      <c r="O26" s="2"/>
      <c r="P26" s="2"/>
    </row>
    <row r="27" spans="1:16" ht="15.5" x14ac:dyDescent="0.35">
      <c r="A27" s="31" t="s">
        <v>21</v>
      </c>
      <c r="B27" s="2"/>
      <c r="C27" s="3"/>
      <c r="D27" s="3"/>
      <c r="E27" s="103"/>
      <c r="F27" s="103"/>
      <c r="G27" s="103"/>
      <c r="H27" s="103"/>
      <c r="I27" s="5"/>
      <c r="J27" s="103"/>
      <c r="K27" s="2"/>
      <c r="L27" s="103"/>
      <c r="M27" s="103"/>
      <c r="N27" s="2"/>
      <c r="O27" s="2"/>
      <c r="P27" s="2"/>
    </row>
    <row r="28" spans="1:16" ht="15.5" x14ac:dyDescent="0.35">
      <c r="A28" s="26" t="s">
        <v>8</v>
      </c>
      <c r="B28" s="27" t="s">
        <v>9</v>
      </c>
      <c r="C28" s="26" t="s">
        <v>7</v>
      </c>
      <c r="D28" s="26" t="s">
        <v>6</v>
      </c>
      <c r="E28" s="99" t="s">
        <v>5</v>
      </c>
      <c r="F28" s="107" t="s">
        <v>12</v>
      </c>
      <c r="G28" s="107" t="s">
        <v>13</v>
      </c>
      <c r="H28" s="99" t="s">
        <v>4</v>
      </c>
      <c r="I28" s="26" t="s">
        <v>3</v>
      </c>
      <c r="J28" s="99" t="s">
        <v>14</v>
      </c>
      <c r="K28" s="28" t="s">
        <v>3</v>
      </c>
      <c r="L28" s="107" t="s">
        <v>15</v>
      </c>
      <c r="M28" s="107" t="s">
        <v>16</v>
      </c>
      <c r="N28" s="2"/>
      <c r="O28" s="2"/>
      <c r="P28" s="2"/>
    </row>
    <row r="29" spans="1:16" ht="15.5" x14ac:dyDescent="0.35">
      <c r="A29" s="155" t="s">
        <v>11</v>
      </c>
      <c r="B29" s="9" t="s">
        <v>2</v>
      </c>
      <c r="C29" s="15">
        <v>23.900389831330902</v>
      </c>
      <c r="D29" s="15">
        <v>18.3755915893388</v>
      </c>
      <c r="E29" s="100">
        <f t="shared" ref="E29:E36" si="8">C29-D29</f>
        <v>5.5247982419921016</v>
      </c>
      <c r="F29" s="108"/>
      <c r="G29" s="108">
        <f t="shared" ref="G29:G36" si="9">E29-$F$32</f>
        <v>0.44057204397267657</v>
      </c>
      <c r="H29" s="108">
        <f t="shared" ref="H29:H36" si="10">2^-G29</f>
        <v>0.73684238484909736</v>
      </c>
      <c r="I29" s="12"/>
      <c r="J29" s="110">
        <f t="shared" ref="J29:J36" si="11">H29/$I$32</f>
        <v>0.7030994803265046</v>
      </c>
      <c r="K29" s="17"/>
      <c r="M29" s="112"/>
      <c r="N29" s="2"/>
      <c r="O29" s="2"/>
      <c r="P29" s="2"/>
    </row>
    <row r="30" spans="1:16" ht="15.5" x14ac:dyDescent="0.35">
      <c r="A30" s="155"/>
      <c r="B30" s="9" t="s">
        <v>1</v>
      </c>
      <c r="C30" s="15">
        <v>23.741243555768399</v>
      </c>
      <c r="D30" s="15">
        <v>18.374987329758302</v>
      </c>
      <c r="E30" s="100">
        <f t="shared" si="8"/>
        <v>5.3662562260100977</v>
      </c>
      <c r="F30" s="108"/>
      <c r="G30" s="108">
        <f t="shared" si="9"/>
        <v>0.28203002799067267</v>
      </c>
      <c r="H30" s="108">
        <f t="shared" si="10"/>
        <v>0.82243295056533039</v>
      </c>
      <c r="I30" s="14"/>
      <c r="J30" s="110">
        <f t="shared" si="11"/>
        <v>0.78477051814045895</v>
      </c>
      <c r="K30" s="17">
        <f>AVERAGE(J29:J32)</f>
        <v>1</v>
      </c>
      <c r="L30" s="100">
        <f>STDEVA(J29:J32)</f>
        <v>0.37240075114938609</v>
      </c>
      <c r="M30" s="113">
        <f>L30/SQRT(4)</f>
        <v>0.18620037557469304</v>
      </c>
      <c r="N30" s="2"/>
      <c r="O30" s="2"/>
      <c r="P30" s="2"/>
    </row>
    <row r="31" spans="1:16" ht="15.5" x14ac:dyDescent="0.35">
      <c r="A31" s="155"/>
      <c r="B31" s="9" t="s">
        <v>0</v>
      </c>
      <c r="C31" s="15">
        <v>23.047494746172401</v>
      </c>
      <c r="D31" s="15">
        <v>18.644731823484602</v>
      </c>
      <c r="E31" s="100">
        <f t="shared" si="8"/>
        <v>4.4027629226877991</v>
      </c>
      <c r="F31" s="108"/>
      <c r="G31" s="108">
        <f t="shared" si="9"/>
        <v>-0.68146327533162587</v>
      </c>
      <c r="H31" s="108">
        <f t="shared" si="10"/>
        <v>1.6037655740975683</v>
      </c>
      <c r="I31" s="14"/>
      <c r="J31" s="110">
        <f t="shared" si="11"/>
        <v>1.5303228545199232</v>
      </c>
      <c r="K31" s="17"/>
      <c r="L31" s="100"/>
      <c r="M31" s="113"/>
      <c r="N31" s="2"/>
      <c r="O31" s="2"/>
      <c r="P31" s="2"/>
    </row>
    <row r="32" spans="1:16" ht="15.5" x14ac:dyDescent="0.35">
      <c r="A32" s="155"/>
      <c r="B32" s="9" t="s">
        <v>10</v>
      </c>
      <c r="C32" s="15">
        <v>23.688329151666402</v>
      </c>
      <c r="D32" s="15">
        <v>18.6452417502787</v>
      </c>
      <c r="E32" s="100">
        <f t="shared" si="8"/>
        <v>5.0430874013877016</v>
      </c>
      <c r="F32" s="108">
        <f>AVERAGE(E29:E32)</f>
        <v>5.084226198019425</v>
      </c>
      <c r="G32" s="108">
        <f t="shared" si="9"/>
        <v>-4.1138796631723373E-2</v>
      </c>
      <c r="H32" s="108">
        <f t="shared" si="10"/>
        <v>1.0289256924654275</v>
      </c>
      <c r="I32" s="12">
        <f>AVERAGE(H29:H32)</f>
        <v>1.0479916504943558</v>
      </c>
      <c r="J32" s="110">
        <f t="shared" si="11"/>
        <v>0.98180714701311356</v>
      </c>
      <c r="L32" s="100"/>
      <c r="M32" s="113"/>
      <c r="N32" s="2"/>
      <c r="O32" s="2"/>
      <c r="P32" s="2"/>
    </row>
    <row r="33" spans="1:16" ht="15.5" x14ac:dyDescent="0.35">
      <c r="A33" s="156" t="s">
        <v>22</v>
      </c>
      <c r="B33" s="9" t="s">
        <v>2</v>
      </c>
      <c r="C33" s="15">
        <v>25.167263049263699</v>
      </c>
      <c r="D33" s="15">
        <v>17.52</v>
      </c>
      <c r="E33" s="100">
        <f t="shared" si="8"/>
        <v>7.6472630492636995</v>
      </c>
      <c r="F33" s="108"/>
      <c r="G33" s="108">
        <f t="shared" si="9"/>
        <v>2.5630368512442745</v>
      </c>
      <c r="H33" s="108">
        <f t="shared" si="10"/>
        <v>0.16921896240952639</v>
      </c>
      <c r="I33" s="12"/>
      <c r="J33" s="110">
        <f t="shared" si="11"/>
        <v>0.16146976202501506</v>
      </c>
      <c r="K33" s="17"/>
      <c r="M33" s="112"/>
      <c r="N33" s="2"/>
      <c r="O33" s="2"/>
      <c r="P33" s="2"/>
    </row>
    <row r="34" spans="1:16" ht="15.5" x14ac:dyDescent="0.35">
      <c r="A34" s="157"/>
      <c r="B34" s="9" t="s">
        <v>1</v>
      </c>
      <c r="C34" s="15">
        <v>23.6866072360651</v>
      </c>
      <c r="D34" s="15">
        <v>17.96</v>
      </c>
      <c r="E34" s="100">
        <f t="shared" si="8"/>
        <v>5.7266072360650995</v>
      </c>
      <c r="F34" s="108"/>
      <c r="G34" s="108">
        <f t="shared" si="9"/>
        <v>0.64238103804567448</v>
      </c>
      <c r="H34" s="108">
        <f t="shared" si="10"/>
        <v>0.64065473292187547</v>
      </c>
      <c r="I34" s="14"/>
      <c r="J34" s="110">
        <f t="shared" si="11"/>
        <v>0.61131663846717432</v>
      </c>
      <c r="K34" s="22">
        <f>AVERAGE(J33:J36)</f>
        <v>0.25786381040783557</v>
      </c>
      <c r="L34" s="100">
        <f>STDEVA(J33:J36)</f>
        <v>0.23659163036445371</v>
      </c>
      <c r="M34" s="113">
        <f>L34/SQRT(4)</f>
        <v>0.11829581518222686</v>
      </c>
      <c r="N34" s="2"/>
      <c r="O34" s="2"/>
      <c r="P34" s="2"/>
    </row>
    <row r="35" spans="1:16" ht="15.5" x14ac:dyDescent="0.35">
      <c r="A35" s="157"/>
      <c r="B35" s="9" t="s">
        <v>0</v>
      </c>
      <c r="C35" s="15">
        <v>24.126939594345199</v>
      </c>
      <c r="D35" s="15">
        <v>16.350000000000001</v>
      </c>
      <c r="E35" s="100">
        <f t="shared" si="8"/>
        <v>7.7769395943451975</v>
      </c>
      <c r="F35" s="108"/>
      <c r="G35" s="108">
        <f t="shared" si="9"/>
        <v>2.6927133963257726</v>
      </c>
      <c r="H35" s="108">
        <f t="shared" si="10"/>
        <v>0.15467228375233688</v>
      </c>
      <c r="I35" s="14"/>
      <c r="J35" s="110">
        <f t="shared" si="11"/>
        <v>0.14758923287163145</v>
      </c>
      <c r="K35" s="17"/>
      <c r="L35" s="100"/>
      <c r="M35" s="113"/>
      <c r="N35" s="2"/>
      <c r="O35" s="2"/>
      <c r="P35" s="2"/>
    </row>
    <row r="36" spans="1:16" ht="15.5" x14ac:dyDescent="0.35">
      <c r="A36" s="158"/>
      <c r="B36" s="19" t="s">
        <v>10</v>
      </c>
      <c r="C36" s="20">
        <v>25.966933075670699</v>
      </c>
      <c r="D36" s="20">
        <v>17.78</v>
      </c>
      <c r="E36" s="101">
        <f t="shared" si="8"/>
        <v>8.1869330756706979</v>
      </c>
      <c r="F36" s="101"/>
      <c r="G36" s="108">
        <f t="shared" si="9"/>
        <v>3.102706877651273</v>
      </c>
      <c r="H36" s="108">
        <f t="shared" si="10"/>
        <v>0.11641050200454629</v>
      </c>
      <c r="I36" s="22"/>
      <c r="J36" s="110">
        <f t="shared" si="11"/>
        <v>0.11107960826752145</v>
      </c>
      <c r="K36" s="30"/>
      <c r="L36" s="101"/>
      <c r="M36" s="114"/>
      <c r="N36" s="2"/>
      <c r="O36" s="2"/>
      <c r="P36" s="2"/>
    </row>
    <row r="39" spans="1:16" ht="15.5" x14ac:dyDescent="0.35">
      <c r="A39" s="25" t="s">
        <v>23</v>
      </c>
    </row>
    <row r="40" spans="1:16" ht="15.5" x14ac:dyDescent="0.35">
      <c r="A40" s="26" t="s">
        <v>8</v>
      </c>
      <c r="B40" s="27" t="s">
        <v>9</v>
      </c>
      <c r="C40" s="26" t="s">
        <v>7</v>
      </c>
      <c r="D40" s="26" t="s">
        <v>6</v>
      </c>
      <c r="E40" s="99" t="s">
        <v>5</v>
      </c>
      <c r="F40" s="107" t="s">
        <v>12</v>
      </c>
      <c r="G40" s="107" t="s">
        <v>13</v>
      </c>
      <c r="H40" s="99" t="s">
        <v>4</v>
      </c>
      <c r="I40" s="26" t="s">
        <v>3</v>
      </c>
      <c r="J40" s="99" t="s">
        <v>14</v>
      </c>
      <c r="K40" s="28" t="s">
        <v>3</v>
      </c>
      <c r="L40" s="107" t="s">
        <v>15</v>
      </c>
      <c r="M40" s="107" t="s">
        <v>16</v>
      </c>
    </row>
    <row r="41" spans="1:16" ht="15.5" x14ac:dyDescent="0.35">
      <c r="A41" s="155" t="s">
        <v>11</v>
      </c>
      <c r="B41" s="9" t="s">
        <v>2</v>
      </c>
      <c r="C41" s="15">
        <v>27.000011772817398</v>
      </c>
      <c r="D41" s="15">
        <v>18.406363209252</v>
      </c>
      <c r="E41" s="100">
        <f t="shared" ref="E41:E48" si="12">C41-D41</f>
        <v>8.5936485635653987</v>
      </c>
      <c r="F41" s="108"/>
      <c r="G41" s="108">
        <f t="shared" ref="G41:G48" si="13">E41-$F$44</f>
        <v>-0.18543160658107638</v>
      </c>
      <c r="H41" s="108">
        <f t="shared" ref="H41:H48" si="14">2^-G41</f>
        <v>1.1371571221065688</v>
      </c>
      <c r="I41" s="12"/>
      <c r="J41" s="110">
        <f t="shared" ref="J41:J48" si="15">H41/$I$44</f>
        <v>1.1329962948508527</v>
      </c>
      <c r="K41" s="17"/>
      <c r="M41" s="112"/>
    </row>
    <row r="42" spans="1:16" ht="15.5" x14ac:dyDescent="0.35">
      <c r="A42" s="155"/>
      <c r="B42" s="9" t="s">
        <v>1</v>
      </c>
      <c r="C42" s="15">
        <v>26.890714991123001</v>
      </c>
      <c r="D42" s="15">
        <v>17.9734816124652</v>
      </c>
      <c r="E42" s="100">
        <f t="shared" si="12"/>
        <v>8.9172333786578015</v>
      </c>
      <c r="F42" s="108"/>
      <c r="G42" s="108">
        <f t="shared" si="13"/>
        <v>0.1381532085113264</v>
      </c>
      <c r="H42" s="108">
        <f t="shared" si="14"/>
        <v>0.90868161292858696</v>
      </c>
      <c r="I42" s="14"/>
      <c r="J42" s="110">
        <f t="shared" si="15"/>
        <v>0.90535677140199355</v>
      </c>
      <c r="K42" s="17">
        <f>AVERAGE(J41:J44)</f>
        <v>1</v>
      </c>
      <c r="L42" s="100">
        <f>STDEVA(J41:J44)</f>
        <v>0.10004629513417919</v>
      </c>
      <c r="M42" s="113">
        <f>L42/SQRT(4)</f>
        <v>5.0023147567089594E-2</v>
      </c>
    </row>
    <row r="43" spans="1:16" ht="15.5" x14ac:dyDescent="0.35">
      <c r="A43" s="155"/>
      <c r="B43" s="9" t="s">
        <v>0</v>
      </c>
      <c r="C43" s="15">
        <v>26.748696628612201</v>
      </c>
      <c r="D43" s="15">
        <v>17.892441890800999</v>
      </c>
      <c r="E43" s="100">
        <f t="shared" si="12"/>
        <v>8.8562547378112022</v>
      </c>
      <c r="F43" s="108"/>
      <c r="G43" s="108">
        <f t="shared" si="13"/>
        <v>7.7174567664727078E-2</v>
      </c>
      <c r="H43" s="108">
        <f t="shared" si="14"/>
        <v>0.94791225977748939</v>
      </c>
      <c r="I43" s="14"/>
      <c r="J43" s="110">
        <f t="shared" si="15"/>
        <v>0.94444387437160693</v>
      </c>
      <c r="K43" s="17"/>
      <c r="L43" s="100"/>
      <c r="M43" s="113"/>
    </row>
    <row r="44" spans="1:16" ht="15.5" x14ac:dyDescent="0.35">
      <c r="A44" s="155"/>
      <c r="B44" s="9" t="s">
        <v>10</v>
      </c>
      <c r="C44" s="15">
        <v>26.88</v>
      </c>
      <c r="D44" s="15">
        <v>18.130815999448501</v>
      </c>
      <c r="E44" s="100">
        <f t="shared" si="12"/>
        <v>8.749184000551498</v>
      </c>
      <c r="F44" s="108">
        <f>AVERAGE(E41:E44)</f>
        <v>8.7790801701464751</v>
      </c>
      <c r="G44" s="108">
        <f t="shared" si="13"/>
        <v>-2.9896169594977096E-2</v>
      </c>
      <c r="H44" s="108">
        <f t="shared" si="14"/>
        <v>1.0209386463613854</v>
      </c>
      <c r="I44" s="12">
        <f>AVERAGE(H41:H44)</f>
        <v>1.0036724102935075</v>
      </c>
      <c r="J44" s="110">
        <f t="shared" si="15"/>
        <v>1.0172030593755472</v>
      </c>
      <c r="L44" s="100"/>
      <c r="M44" s="113"/>
    </row>
    <row r="45" spans="1:16" ht="15.5" x14ac:dyDescent="0.35">
      <c r="A45" s="156" t="s">
        <v>24</v>
      </c>
      <c r="B45" s="9" t="s">
        <v>2</v>
      </c>
      <c r="C45" s="15">
        <v>33.047075622833802</v>
      </c>
      <c r="D45" s="15">
        <v>18.6449648220973</v>
      </c>
      <c r="E45" s="100">
        <f t="shared" si="12"/>
        <v>14.402110800736502</v>
      </c>
      <c r="F45" s="108"/>
      <c r="G45" s="108">
        <f t="shared" si="13"/>
        <v>5.6230306305900264</v>
      </c>
      <c r="H45" s="108">
        <f t="shared" si="14"/>
        <v>2.0290797358872584E-2</v>
      </c>
      <c r="I45" s="12"/>
      <c r="J45" s="110">
        <f t="shared" si="15"/>
        <v>2.0216553878310627E-2</v>
      </c>
      <c r="K45" s="17"/>
      <c r="M45" s="112"/>
    </row>
    <row r="46" spans="1:16" ht="15.5" x14ac:dyDescent="0.35">
      <c r="A46" s="157"/>
      <c r="B46" s="9" t="s">
        <v>1</v>
      </c>
      <c r="C46" s="15">
        <v>32.893364372904301</v>
      </c>
      <c r="D46" s="15">
        <v>18.474932424713199</v>
      </c>
      <c r="E46" s="100">
        <f t="shared" si="12"/>
        <v>14.418431948191103</v>
      </c>
      <c r="F46" s="108"/>
      <c r="G46" s="108">
        <f t="shared" si="13"/>
        <v>5.6393517780446274</v>
      </c>
      <c r="H46" s="108">
        <f t="shared" si="14"/>
        <v>2.0062541989944699E-2</v>
      </c>
      <c r="I46" s="14"/>
      <c r="J46" s="110">
        <f t="shared" si="15"/>
        <v>1.9989133689624624E-2</v>
      </c>
      <c r="K46" s="22">
        <f>AVERAGE(J45:J48)</f>
        <v>0.15011472087439459</v>
      </c>
      <c r="L46" s="100">
        <f>STDEVA(J45:J48)</f>
        <v>0.25133594062807618</v>
      </c>
      <c r="M46" s="113">
        <f>L46/SQRT(4)</f>
        <v>0.12566797031403809</v>
      </c>
    </row>
    <row r="47" spans="1:16" ht="15.5" x14ac:dyDescent="0.35">
      <c r="A47" s="157"/>
      <c r="B47" s="9" t="s">
        <v>0</v>
      </c>
      <c r="C47" s="15">
        <v>32.285364529918297</v>
      </c>
      <c r="D47" s="15">
        <v>18.601036819926101</v>
      </c>
      <c r="E47" s="100">
        <f t="shared" si="12"/>
        <v>13.684327709992196</v>
      </c>
      <c r="F47" s="108"/>
      <c r="G47" s="108">
        <f t="shared" si="13"/>
        <v>4.9052475398457211</v>
      </c>
      <c r="H47" s="108">
        <f t="shared" si="14"/>
        <v>3.3371317607965849E-2</v>
      </c>
      <c r="I47" s="14"/>
      <c r="J47" s="110">
        <f t="shared" si="15"/>
        <v>3.3249212856420907E-2</v>
      </c>
      <c r="K47" s="17"/>
      <c r="L47" s="100"/>
      <c r="M47" s="113"/>
    </row>
    <row r="48" spans="1:16" ht="15.5" x14ac:dyDescent="0.35">
      <c r="A48" s="158"/>
      <c r="B48" s="19" t="s">
        <v>10</v>
      </c>
      <c r="C48" s="20">
        <v>28.1795282293923</v>
      </c>
      <c r="D48" s="20">
        <v>18.481622293436299</v>
      </c>
      <c r="E48" s="101">
        <f t="shared" si="12"/>
        <v>9.6979059359560011</v>
      </c>
      <c r="F48" s="101"/>
      <c r="G48" s="108">
        <f t="shared" si="13"/>
        <v>0.91882576580952602</v>
      </c>
      <c r="H48" s="108">
        <f t="shared" si="14"/>
        <v>0.52893935792537983</v>
      </c>
      <c r="I48" s="22"/>
      <c r="J48" s="110">
        <f t="shared" si="15"/>
        <v>0.52700398307322227</v>
      </c>
      <c r="K48" s="30"/>
      <c r="L48" s="101"/>
      <c r="M48" s="114"/>
    </row>
    <row r="51" spans="1:13" ht="15.5" x14ac:dyDescent="0.35">
      <c r="A51" s="25" t="s">
        <v>25</v>
      </c>
    </row>
    <row r="52" spans="1:13" ht="15.5" x14ac:dyDescent="0.35">
      <c r="A52" s="26" t="s">
        <v>8</v>
      </c>
      <c r="B52" s="27" t="s">
        <v>9</v>
      </c>
      <c r="C52" s="26" t="s">
        <v>7</v>
      </c>
      <c r="D52" s="26" t="s">
        <v>6</v>
      </c>
      <c r="E52" s="99" t="s">
        <v>5</v>
      </c>
      <c r="F52" s="107" t="s">
        <v>12</v>
      </c>
      <c r="G52" s="107" t="s">
        <v>13</v>
      </c>
      <c r="H52" s="99" t="s">
        <v>4</v>
      </c>
      <c r="I52" s="26" t="s">
        <v>3</v>
      </c>
      <c r="J52" s="99" t="s">
        <v>14</v>
      </c>
      <c r="K52" s="28" t="s">
        <v>3</v>
      </c>
      <c r="L52" s="107" t="s">
        <v>15</v>
      </c>
      <c r="M52" s="107" t="s">
        <v>16</v>
      </c>
    </row>
    <row r="53" spans="1:13" ht="15.5" x14ac:dyDescent="0.35">
      <c r="A53" s="155" t="s">
        <v>11</v>
      </c>
      <c r="B53" s="9" t="s">
        <v>2</v>
      </c>
      <c r="C53" s="15">
        <v>24.579040158591098</v>
      </c>
      <c r="D53" s="15">
        <v>19.151130067945001</v>
      </c>
      <c r="E53" s="100">
        <f t="shared" ref="E53:E60" si="16">C53-D53</f>
        <v>5.4279100906460975</v>
      </c>
      <c r="F53" s="108"/>
      <c r="G53" s="108">
        <f t="shared" ref="G53:G60" si="17">E53-$F$56</f>
        <v>0.40094743103884856</v>
      </c>
      <c r="H53" s="108">
        <f t="shared" ref="H53:H60" si="18">2^-G53</f>
        <v>0.75736075416747473</v>
      </c>
      <c r="I53" s="12"/>
      <c r="J53" s="110">
        <f t="shared" ref="J53:J60" si="19">H53/$I$56</f>
        <v>0.74002850372706186</v>
      </c>
      <c r="K53" s="17"/>
      <c r="M53" s="112"/>
    </row>
    <row r="54" spans="1:13" ht="15.5" x14ac:dyDescent="0.35">
      <c r="A54" s="155"/>
      <c r="B54" s="9" t="s">
        <v>1</v>
      </c>
      <c r="C54" s="15">
        <v>23.672576983263902</v>
      </c>
      <c r="D54" s="15">
        <v>18.641139562934701</v>
      </c>
      <c r="E54" s="100">
        <f t="shared" si="16"/>
        <v>5.0314374203292012</v>
      </c>
      <c r="F54" s="108"/>
      <c r="G54" s="108">
        <f t="shared" si="17"/>
        <v>4.4747607219521868E-3</v>
      </c>
      <c r="H54" s="108">
        <f t="shared" si="18"/>
        <v>0.99690313742407044</v>
      </c>
      <c r="I54" s="14"/>
      <c r="J54" s="110">
        <f t="shared" si="19"/>
        <v>0.97408894386097689</v>
      </c>
      <c r="K54" s="17">
        <f>AVERAGE(J53:J56)</f>
        <v>0.99999999999999989</v>
      </c>
      <c r="L54" s="100">
        <f>STDEVA(J53:J56)</f>
        <v>0.25341217780716974</v>
      </c>
      <c r="M54" s="113">
        <f>L54/SQRT(4)</f>
        <v>0.12670608890358487</v>
      </c>
    </row>
    <row r="55" spans="1:13" ht="15.5" x14ac:dyDescent="0.35">
      <c r="A55" s="155"/>
      <c r="B55" s="9" t="s">
        <v>0</v>
      </c>
      <c r="C55" s="15">
        <v>22.998881809637901</v>
      </c>
      <c r="D55" s="15">
        <v>18.4353995868133</v>
      </c>
      <c r="E55" s="100">
        <f t="shared" si="16"/>
        <v>4.5634822228246001</v>
      </c>
      <c r="F55" s="108"/>
      <c r="G55" s="108">
        <f t="shared" si="17"/>
        <v>-0.46348043678264883</v>
      </c>
      <c r="H55" s="108">
        <f t="shared" si="18"/>
        <v>1.3788642568036553</v>
      </c>
      <c r="I55" s="14"/>
      <c r="J55" s="110">
        <f t="shared" si="19"/>
        <v>1.3473088580181383</v>
      </c>
      <c r="K55" s="17"/>
      <c r="L55" s="100"/>
      <c r="M55" s="113"/>
    </row>
    <row r="56" spans="1:13" ht="15.5" x14ac:dyDescent="0.35">
      <c r="A56" s="155"/>
      <c r="B56" s="9" t="s">
        <v>10</v>
      </c>
      <c r="C56" s="15">
        <v>23.670798745820498</v>
      </c>
      <c r="D56" s="15">
        <v>18.585777841191401</v>
      </c>
      <c r="E56" s="100">
        <f t="shared" si="16"/>
        <v>5.0850209046290971</v>
      </c>
      <c r="F56" s="108">
        <f>AVERAGE(E53:E56)</f>
        <v>5.026962659607249</v>
      </c>
      <c r="G56" s="108">
        <f t="shared" si="17"/>
        <v>5.8058245021848087E-2</v>
      </c>
      <c r="H56" s="108">
        <f t="shared" si="18"/>
        <v>0.96055608324247876</v>
      </c>
      <c r="I56" s="12">
        <f>AVERAGE(H53:H56)</f>
        <v>1.0234210579094198</v>
      </c>
      <c r="J56" s="110">
        <f t="shared" si="19"/>
        <v>0.93857369439382288</v>
      </c>
      <c r="L56" s="100"/>
      <c r="M56" s="113"/>
    </row>
    <row r="57" spans="1:13" ht="15.5" x14ac:dyDescent="0.35">
      <c r="A57" s="156" t="s">
        <v>26</v>
      </c>
      <c r="B57" s="9" t="s">
        <v>2</v>
      </c>
      <c r="C57" s="15">
        <v>27.203817312994001</v>
      </c>
      <c r="D57" s="15">
        <v>19.05</v>
      </c>
      <c r="E57" s="100">
        <f t="shared" si="16"/>
        <v>8.1538173129940006</v>
      </c>
      <c r="F57" s="108"/>
      <c r="G57" s="108">
        <f t="shared" si="17"/>
        <v>3.1268546533867516</v>
      </c>
      <c r="H57" s="108">
        <f t="shared" si="18"/>
        <v>0.11447824351457124</v>
      </c>
      <c r="I57" s="12"/>
      <c r="J57" s="110">
        <f t="shared" si="19"/>
        <v>0.11185840141732104</v>
      </c>
      <c r="K57" s="17"/>
      <c r="M57" s="112"/>
    </row>
    <row r="58" spans="1:13" ht="15.5" x14ac:dyDescent="0.35">
      <c r="A58" s="157"/>
      <c r="B58" s="9" t="s">
        <v>1</v>
      </c>
      <c r="C58" s="15">
        <v>25.7250114395559</v>
      </c>
      <c r="D58" s="15">
        <v>19.16</v>
      </c>
      <c r="E58" s="100">
        <f t="shared" si="16"/>
        <v>6.5650114395558994</v>
      </c>
      <c r="F58" s="108"/>
      <c r="G58" s="108">
        <f t="shared" si="17"/>
        <v>1.5380487799486504</v>
      </c>
      <c r="H58" s="108">
        <f t="shared" si="18"/>
        <v>0.34435086831624451</v>
      </c>
      <c r="I58" s="14"/>
      <c r="J58" s="110">
        <f t="shared" si="19"/>
        <v>0.33647037615159375</v>
      </c>
      <c r="K58" s="22">
        <f>AVERAGE(J57:J60)</f>
        <v>0.28711623536828834</v>
      </c>
      <c r="L58" s="100">
        <f>STDEVA(J57:J60)</f>
        <v>0.11706746333963976</v>
      </c>
      <c r="M58" s="113">
        <f>L58/SQRT(4)</f>
        <v>5.8533731669819879E-2</v>
      </c>
    </row>
    <row r="59" spans="1:13" ht="15.5" x14ac:dyDescent="0.35">
      <c r="A59" s="157"/>
      <c r="B59" s="9" t="s">
        <v>0</v>
      </c>
      <c r="C59" s="15">
        <v>26.420151760102002</v>
      </c>
      <c r="D59" s="15">
        <v>19.93</v>
      </c>
      <c r="E59" s="100">
        <f t="shared" si="16"/>
        <v>6.4901517601020018</v>
      </c>
      <c r="F59" s="108"/>
      <c r="G59" s="108">
        <f t="shared" si="17"/>
        <v>1.4631891004947528</v>
      </c>
      <c r="H59" s="108">
        <f t="shared" si="18"/>
        <v>0.36269050937477898</v>
      </c>
      <c r="I59" s="14"/>
      <c r="J59" s="110">
        <f t="shared" si="19"/>
        <v>0.35439031332388288</v>
      </c>
      <c r="K59" s="17"/>
      <c r="L59" s="100"/>
      <c r="M59" s="113"/>
    </row>
    <row r="60" spans="1:13" ht="15.5" x14ac:dyDescent="0.35">
      <c r="A60" s="158"/>
      <c r="B60" s="19" t="s">
        <v>10</v>
      </c>
      <c r="C60" s="20">
        <v>27.055778993658301</v>
      </c>
      <c r="D60" s="20">
        <v>20.53</v>
      </c>
      <c r="E60" s="101">
        <f t="shared" si="16"/>
        <v>6.5257789936582995</v>
      </c>
      <c r="F60" s="101"/>
      <c r="G60" s="108">
        <f t="shared" si="17"/>
        <v>1.4988163340510505</v>
      </c>
      <c r="H60" s="108">
        <f t="shared" si="18"/>
        <v>0.3538435841687399</v>
      </c>
      <c r="I60" s="22"/>
      <c r="J60" s="110">
        <f t="shared" si="19"/>
        <v>0.34574585058035578</v>
      </c>
      <c r="K60" s="30"/>
      <c r="L60" s="101"/>
      <c r="M60" s="114"/>
    </row>
    <row r="63" spans="1:13" ht="15.5" x14ac:dyDescent="0.35">
      <c r="A63" s="25" t="s">
        <v>27</v>
      </c>
    </row>
    <row r="64" spans="1:13" ht="15.5" x14ac:dyDescent="0.35">
      <c r="A64" s="26" t="s">
        <v>8</v>
      </c>
      <c r="B64" s="27" t="s">
        <v>9</v>
      </c>
      <c r="C64" s="26" t="s">
        <v>7</v>
      </c>
      <c r="D64" s="26" t="s">
        <v>6</v>
      </c>
      <c r="E64" s="99" t="s">
        <v>5</v>
      </c>
      <c r="F64" s="107" t="s">
        <v>12</v>
      </c>
      <c r="G64" s="107" t="s">
        <v>13</v>
      </c>
      <c r="H64" s="99" t="s">
        <v>4</v>
      </c>
      <c r="I64" s="26" t="s">
        <v>3</v>
      </c>
      <c r="J64" s="99" t="s">
        <v>14</v>
      </c>
      <c r="K64" s="28" t="s">
        <v>3</v>
      </c>
      <c r="L64" s="107" t="s">
        <v>15</v>
      </c>
      <c r="M64" s="107" t="s">
        <v>16</v>
      </c>
    </row>
    <row r="65" spans="1:13" ht="15.5" x14ac:dyDescent="0.35">
      <c r="A65" s="155" t="s">
        <v>11</v>
      </c>
      <c r="B65" s="9" t="s">
        <v>2</v>
      </c>
      <c r="C65" s="15">
        <v>27</v>
      </c>
      <c r="D65" s="15">
        <v>19.151130067945001</v>
      </c>
      <c r="E65" s="100">
        <f t="shared" ref="E65:E72" si="20">C65-D65</f>
        <v>7.8488699320549991</v>
      </c>
      <c r="F65" s="108"/>
      <c r="G65" s="108">
        <f t="shared" ref="G65:G72" si="21">E65-$F$68</f>
        <v>0.94499502233454979</v>
      </c>
      <c r="H65" s="108">
        <f t="shared" ref="H65:H72" si="22">2^-G65</f>
        <v>0.51943134381621348</v>
      </c>
      <c r="I65" s="12"/>
      <c r="J65" s="110">
        <f t="shared" ref="J65:J72" si="23">H65/$I$68</f>
        <v>0.42052353800671421</v>
      </c>
      <c r="K65" s="17"/>
      <c r="M65" s="112"/>
    </row>
    <row r="66" spans="1:13" ht="15.5" x14ac:dyDescent="0.35">
      <c r="A66" s="155"/>
      <c r="B66" s="9" t="s">
        <v>1</v>
      </c>
      <c r="C66" s="15">
        <v>26.2925446593039</v>
      </c>
      <c r="D66" s="15">
        <v>18.641139562934701</v>
      </c>
      <c r="E66" s="100">
        <f t="shared" si="20"/>
        <v>7.6514050963691993</v>
      </c>
      <c r="F66" s="108"/>
      <c r="G66" s="108">
        <f t="shared" si="21"/>
        <v>0.74753018664875004</v>
      </c>
      <c r="H66" s="108">
        <f t="shared" si="22"/>
        <v>0.59562235740514458</v>
      </c>
      <c r="I66" s="14"/>
      <c r="J66" s="110">
        <f t="shared" si="23"/>
        <v>0.482206597722247</v>
      </c>
      <c r="K66" s="17">
        <f>AVERAGE(J65:J68)</f>
        <v>1</v>
      </c>
      <c r="L66" s="100">
        <f>STDEVA(J65:J68)</f>
        <v>0.76713232986703106</v>
      </c>
      <c r="M66" s="113">
        <f>L66/SQRT(4)</f>
        <v>0.38356616493351553</v>
      </c>
    </row>
    <row r="67" spans="1:13" ht="15.5" x14ac:dyDescent="0.35">
      <c r="A67" s="155"/>
      <c r="B67" s="9" t="s">
        <v>0</v>
      </c>
      <c r="C67" s="15">
        <v>25.006402038462301</v>
      </c>
      <c r="D67" s="15">
        <v>18.4353995868133</v>
      </c>
      <c r="E67" s="100">
        <f t="shared" si="20"/>
        <v>6.5710024516490009</v>
      </c>
      <c r="F67" s="108"/>
      <c r="G67" s="108">
        <f t="shared" si="21"/>
        <v>-0.33287245807144838</v>
      </c>
      <c r="H67" s="108">
        <f t="shared" si="22"/>
        <v>1.2595186268678136</v>
      </c>
      <c r="I67" s="14"/>
      <c r="J67" s="110">
        <f t="shared" si="23"/>
        <v>1.019686692883162</v>
      </c>
      <c r="K67" s="17"/>
      <c r="L67" s="100"/>
      <c r="M67" s="113"/>
    </row>
    <row r="68" spans="1:13" ht="15.5" x14ac:dyDescent="0.35">
      <c r="A68" s="155"/>
      <c r="B68" s="9" t="s">
        <v>10</v>
      </c>
      <c r="C68" s="15">
        <v>24.13</v>
      </c>
      <c r="D68" s="15">
        <v>18.585777841191401</v>
      </c>
      <c r="E68" s="100">
        <f t="shared" si="20"/>
        <v>5.5442221588085978</v>
      </c>
      <c r="F68" s="108">
        <f>AVERAGE(E65:E68)</f>
        <v>6.9038749097204493</v>
      </c>
      <c r="G68" s="108">
        <f t="shared" si="21"/>
        <v>-1.3596527509118514</v>
      </c>
      <c r="H68" s="108">
        <f t="shared" si="22"/>
        <v>2.5662340417832339</v>
      </c>
      <c r="I68" s="12">
        <f>AVERAGE(H65:H68)</f>
        <v>1.2352015924681012</v>
      </c>
      <c r="J68" s="110">
        <f t="shared" si="23"/>
        <v>2.077583171387877</v>
      </c>
      <c r="L68" s="100"/>
      <c r="M68" s="113"/>
    </row>
    <row r="69" spans="1:13" ht="15.5" x14ac:dyDescent="0.35">
      <c r="A69" s="156" t="s">
        <v>28</v>
      </c>
      <c r="B69" s="9" t="s">
        <v>2</v>
      </c>
      <c r="C69" s="15">
        <v>28.246395459366202</v>
      </c>
      <c r="D69" s="15">
        <v>19.420000000000002</v>
      </c>
      <c r="E69" s="100">
        <f t="shared" si="20"/>
        <v>8.8263954593662</v>
      </c>
      <c r="F69" s="108"/>
      <c r="G69" s="108">
        <f t="shared" si="21"/>
        <v>1.9225205496457507</v>
      </c>
      <c r="H69" s="108">
        <f t="shared" si="22"/>
        <v>0.26379323101667868</v>
      </c>
      <c r="I69" s="12"/>
      <c r="J69" s="110">
        <f t="shared" si="23"/>
        <v>0.21356289744541523</v>
      </c>
      <c r="K69" s="17"/>
      <c r="M69" s="112"/>
    </row>
    <row r="70" spans="1:13" ht="15.5" x14ac:dyDescent="0.35">
      <c r="A70" s="157"/>
      <c r="B70" s="9" t="s">
        <v>1</v>
      </c>
      <c r="C70" s="15">
        <v>28.001120574896198</v>
      </c>
      <c r="D70" s="15">
        <v>19.02</v>
      </c>
      <c r="E70" s="100">
        <f t="shared" si="20"/>
        <v>8.9811205748961989</v>
      </c>
      <c r="F70" s="108"/>
      <c r="G70" s="108">
        <f t="shared" si="21"/>
        <v>2.0772456651757496</v>
      </c>
      <c r="H70" s="108">
        <f t="shared" si="22"/>
        <v>0.2369663867067984</v>
      </c>
      <c r="I70" s="14"/>
      <c r="J70" s="110">
        <f t="shared" si="23"/>
        <v>0.19184430149033993</v>
      </c>
      <c r="K70" s="22">
        <f>AVERAGE(J69:J72)</f>
        <v>0.36282032032455996</v>
      </c>
      <c r="L70" s="100">
        <f>STDEVA(J69:J72)</f>
        <v>0.18824819672044674</v>
      </c>
      <c r="M70" s="113">
        <f>L70/SQRT(4)</f>
        <v>9.4124098360223368E-2</v>
      </c>
    </row>
    <row r="71" spans="1:13" ht="15.5" x14ac:dyDescent="0.35">
      <c r="A71" s="157"/>
      <c r="B71" s="9" t="s">
        <v>0</v>
      </c>
      <c r="C71" s="15">
        <v>27.0429839513932</v>
      </c>
      <c r="D71" s="15">
        <v>19.62</v>
      </c>
      <c r="E71" s="100">
        <f t="shared" si="20"/>
        <v>7.4229839513931992</v>
      </c>
      <c r="F71" s="108"/>
      <c r="G71" s="108">
        <f t="shared" si="21"/>
        <v>0.51910904167274996</v>
      </c>
      <c r="H71" s="108">
        <f t="shared" si="22"/>
        <v>0.69780263879906468</v>
      </c>
      <c r="I71" s="14"/>
      <c r="J71" s="110">
        <f t="shared" si="23"/>
        <v>0.56493016448008282</v>
      </c>
      <c r="K71" s="17"/>
      <c r="L71" s="100"/>
      <c r="M71" s="113"/>
    </row>
    <row r="72" spans="1:13" ht="15.5" x14ac:dyDescent="0.35">
      <c r="A72" s="158"/>
      <c r="B72" s="19" t="s">
        <v>10</v>
      </c>
      <c r="C72" s="20">
        <v>27.245187813519401</v>
      </c>
      <c r="D72" s="20">
        <v>19.59</v>
      </c>
      <c r="E72" s="101">
        <f t="shared" si="20"/>
        <v>7.6551878135194009</v>
      </c>
      <c r="F72" s="101"/>
      <c r="G72" s="108">
        <f t="shared" si="21"/>
        <v>0.75131290379895166</v>
      </c>
      <c r="H72" s="108">
        <f t="shared" si="22"/>
        <v>0.59406269325619043</v>
      </c>
      <c r="I72" s="22"/>
      <c r="J72" s="110">
        <f t="shared" si="23"/>
        <v>0.48094391788240182</v>
      </c>
      <c r="K72" s="30"/>
      <c r="L72" s="101"/>
      <c r="M72" s="114"/>
    </row>
    <row r="75" spans="1:13" ht="15.5" x14ac:dyDescent="0.35">
      <c r="A75" s="25" t="s">
        <v>29</v>
      </c>
    </row>
    <row r="76" spans="1:13" ht="15.5" x14ac:dyDescent="0.35">
      <c r="A76" s="26" t="s">
        <v>8</v>
      </c>
      <c r="B76" s="27" t="s">
        <v>9</v>
      </c>
      <c r="C76" s="26" t="s">
        <v>7</v>
      </c>
      <c r="D76" s="26" t="s">
        <v>6</v>
      </c>
      <c r="E76" s="99" t="s">
        <v>5</v>
      </c>
      <c r="F76" s="107" t="s">
        <v>12</v>
      </c>
      <c r="G76" s="107" t="s">
        <v>13</v>
      </c>
      <c r="H76" s="99" t="s">
        <v>4</v>
      </c>
      <c r="I76" s="26" t="s">
        <v>3</v>
      </c>
      <c r="J76" s="99" t="s">
        <v>14</v>
      </c>
      <c r="K76" s="28" t="s">
        <v>3</v>
      </c>
      <c r="L76" s="107" t="s">
        <v>15</v>
      </c>
      <c r="M76" s="107" t="s">
        <v>16</v>
      </c>
    </row>
    <row r="77" spans="1:13" ht="15.5" x14ac:dyDescent="0.35">
      <c r="A77" s="155" t="s">
        <v>11</v>
      </c>
      <c r="B77" s="9" t="s">
        <v>2</v>
      </c>
      <c r="C77" s="15">
        <v>24.829320364571199</v>
      </c>
      <c r="D77" s="15">
        <v>18.409160551142801</v>
      </c>
      <c r="E77" s="100">
        <f t="shared" ref="E77:E84" si="24">C77-D77</f>
        <v>6.4201598134283984</v>
      </c>
      <c r="F77" s="108"/>
      <c r="G77" s="108">
        <f t="shared" ref="G77:G84" si="25">E77-$F$80</f>
        <v>0.2573581011863233</v>
      </c>
      <c r="H77" s="108">
        <f t="shared" ref="H77:H84" si="26">2^-G77</f>
        <v>0.83661855410510033</v>
      </c>
      <c r="I77" s="12"/>
      <c r="J77" s="110">
        <f t="shared" ref="J77:J84" si="27">H77/$I$80</f>
        <v>0.7818529120518336</v>
      </c>
      <c r="K77" s="17"/>
      <c r="M77" s="112"/>
    </row>
    <row r="78" spans="1:13" ht="15.5" x14ac:dyDescent="0.35">
      <c r="A78" s="155"/>
      <c r="B78" s="9" t="s">
        <v>1</v>
      </c>
      <c r="C78" s="15">
        <v>23.747865612564901</v>
      </c>
      <c r="D78" s="15">
        <v>18.319967474456099</v>
      </c>
      <c r="E78" s="100">
        <f t="shared" si="24"/>
        <v>5.4278981381088016</v>
      </c>
      <c r="F78" s="108"/>
      <c r="G78" s="108">
        <f t="shared" si="25"/>
        <v>-0.73490357413327345</v>
      </c>
      <c r="H78" s="108">
        <f t="shared" si="26"/>
        <v>1.6642862292782197</v>
      </c>
      <c r="I78" s="14"/>
      <c r="J78" s="110">
        <f t="shared" si="27"/>
        <v>1.5553408760349758</v>
      </c>
      <c r="K78" s="17">
        <f>AVERAGE(J77:J80)</f>
        <v>0.99999999999999978</v>
      </c>
      <c r="L78" s="100">
        <f>STDEVA(J77:J80)</f>
        <v>0.42458087030401886</v>
      </c>
      <c r="M78" s="113">
        <f>L78/SQRT(4)</f>
        <v>0.21229043515200943</v>
      </c>
    </row>
    <row r="79" spans="1:13" ht="15.5" x14ac:dyDescent="0.35">
      <c r="A79" s="155"/>
      <c r="B79" s="9" t="s">
        <v>0</v>
      </c>
      <c r="C79" s="15">
        <v>24.483776167810099</v>
      </c>
      <c r="D79" s="15">
        <v>18.535479061539199</v>
      </c>
      <c r="E79" s="100">
        <f t="shared" si="24"/>
        <v>5.9482971062708998</v>
      </c>
      <c r="F79" s="108"/>
      <c r="G79" s="108">
        <f t="shared" si="25"/>
        <v>-0.21450460597117527</v>
      </c>
      <c r="H79" s="108">
        <f t="shared" si="26"/>
        <v>1.1603054191644255</v>
      </c>
      <c r="I79" s="14"/>
      <c r="J79" s="110">
        <f t="shared" si="27"/>
        <v>1.0843510060730304</v>
      </c>
      <c r="K79" s="17"/>
      <c r="L79" s="100"/>
      <c r="M79" s="113"/>
    </row>
    <row r="80" spans="1:13" ht="15.5" x14ac:dyDescent="0.35">
      <c r="A80" s="155"/>
      <c r="B80" s="9" t="s">
        <v>10</v>
      </c>
      <c r="C80" s="15">
        <v>24.6077418753915</v>
      </c>
      <c r="D80" s="15">
        <v>17.7528900842313</v>
      </c>
      <c r="E80" s="100">
        <f t="shared" si="24"/>
        <v>6.8548517911602005</v>
      </c>
      <c r="F80" s="108">
        <f>AVERAGE(E77:E80)</f>
        <v>6.1628017122420751</v>
      </c>
      <c r="G80" s="108">
        <f t="shared" si="25"/>
        <v>0.69205007891812542</v>
      </c>
      <c r="H80" s="108">
        <f t="shared" si="26"/>
        <v>0.61897365919445335</v>
      </c>
      <c r="I80" s="12">
        <f>AVERAGE(H77:H80)</f>
        <v>1.0700459654355499</v>
      </c>
      <c r="J80" s="110">
        <f t="shared" si="27"/>
        <v>0.57845520584015964</v>
      </c>
      <c r="L80" s="100"/>
      <c r="M80" s="113"/>
    </row>
    <row r="81" spans="1:13" ht="15.5" x14ac:dyDescent="0.35">
      <c r="A81" s="156" t="s">
        <v>30</v>
      </c>
      <c r="B81" s="9" t="s">
        <v>2</v>
      </c>
      <c r="C81" s="15">
        <v>26.561538087380601</v>
      </c>
      <c r="D81" s="15">
        <v>19.292685687358301</v>
      </c>
      <c r="E81" s="100">
        <f t="shared" si="24"/>
        <v>7.2688524000223005</v>
      </c>
      <c r="F81" s="108"/>
      <c r="G81" s="108">
        <f t="shared" si="25"/>
        <v>1.1060506877802254</v>
      </c>
      <c r="H81" s="108">
        <f t="shared" si="26"/>
        <v>0.46456401480390963</v>
      </c>
      <c r="I81" s="12"/>
      <c r="J81" s="110">
        <f t="shared" si="27"/>
        <v>0.43415332594129658</v>
      </c>
      <c r="K81" s="17"/>
      <c r="M81" s="112"/>
    </row>
    <row r="82" spans="1:13" ht="15.5" x14ac:dyDescent="0.35">
      <c r="A82" s="157"/>
      <c r="B82" s="9" t="s">
        <v>1</v>
      </c>
      <c r="C82" s="15">
        <v>27.077069603460401</v>
      </c>
      <c r="D82" s="15">
        <v>19.2273446770979</v>
      </c>
      <c r="E82" s="100">
        <f t="shared" si="24"/>
        <v>7.8497249263625015</v>
      </c>
      <c r="F82" s="108"/>
      <c r="G82" s="108">
        <f t="shared" si="25"/>
        <v>1.6869232141204265</v>
      </c>
      <c r="H82" s="108">
        <f t="shared" si="26"/>
        <v>0.31058860074777828</v>
      </c>
      <c r="I82" s="14"/>
      <c r="J82" s="110">
        <f t="shared" si="27"/>
        <v>0.29025725135214803</v>
      </c>
      <c r="K82" s="22">
        <f>AVERAGE(J81:J84)</f>
        <v>0.40587478609318473</v>
      </c>
      <c r="L82" s="100">
        <f>STDEVA(J81:J84)</f>
        <v>0.13637092570504505</v>
      </c>
      <c r="M82" s="113">
        <f>L82/SQRT(4)</f>
        <v>6.8185462852522527E-2</v>
      </c>
    </row>
    <row r="83" spans="1:13" ht="15.5" x14ac:dyDescent="0.35">
      <c r="A83" s="157"/>
      <c r="B83" s="9" t="s">
        <v>0</v>
      </c>
      <c r="C83" s="15">
        <v>26.2779785567405</v>
      </c>
      <c r="D83" s="15">
        <v>19.444379454019</v>
      </c>
      <c r="E83" s="100">
        <f t="shared" si="24"/>
        <v>6.8335991027215002</v>
      </c>
      <c r="F83" s="108"/>
      <c r="G83" s="108">
        <f t="shared" si="25"/>
        <v>0.6707973904794251</v>
      </c>
      <c r="H83" s="108">
        <f t="shared" si="26"/>
        <v>0.62815940196448805</v>
      </c>
      <c r="I83" s="14"/>
      <c r="J83" s="110">
        <f t="shared" si="27"/>
        <v>0.58703964339401349</v>
      </c>
      <c r="K83" s="17"/>
      <c r="L83" s="100"/>
      <c r="M83" s="113"/>
    </row>
    <row r="84" spans="1:13" ht="15.5" x14ac:dyDescent="0.35">
      <c r="A84" s="158"/>
      <c r="B84" s="19" t="s">
        <v>10</v>
      </c>
      <c r="C84" s="20">
        <v>26.1952848004568</v>
      </c>
      <c r="D84" s="20">
        <v>18.45</v>
      </c>
      <c r="E84" s="101">
        <f t="shared" si="24"/>
        <v>7.7452848004568011</v>
      </c>
      <c r="F84" s="101"/>
      <c r="G84" s="108">
        <f t="shared" si="25"/>
        <v>1.5824830882147261</v>
      </c>
      <c r="H84" s="108">
        <f t="shared" si="26"/>
        <v>0.33390669180794064</v>
      </c>
      <c r="I84" s="22"/>
      <c r="J84" s="110">
        <f t="shared" si="27"/>
        <v>0.31204892368528092</v>
      </c>
      <c r="K84" s="30"/>
      <c r="L84" s="101"/>
      <c r="M84" s="114"/>
    </row>
    <row r="87" spans="1:13" ht="15.5" x14ac:dyDescent="0.35">
      <c r="A87" s="25" t="s">
        <v>31</v>
      </c>
    </row>
    <row r="88" spans="1:13" ht="15.5" x14ac:dyDescent="0.35">
      <c r="A88" s="26" t="s">
        <v>8</v>
      </c>
      <c r="B88" s="27" t="s">
        <v>9</v>
      </c>
      <c r="C88" s="26" t="s">
        <v>7</v>
      </c>
      <c r="D88" s="26" t="s">
        <v>6</v>
      </c>
      <c r="E88" s="99" t="s">
        <v>5</v>
      </c>
      <c r="F88" s="107" t="s">
        <v>12</v>
      </c>
      <c r="G88" s="107" t="s">
        <v>13</v>
      </c>
      <c r="H88" s="99" t="s">
        <v>4</v>
      </c>
      <c r="I88" s="26" t="s">
        <v>3</v>
      </c>
      <c r="J88" s="99" t="s">
        <v>14</v>
      </c>
      <c r="K88" s="28" t="s">
        <v>3</v>
      </c>
      <c r="L88" s="107" t="s">
        <v>15</v>
      </c>
      <c r="M88" s="107" t="s">
        <v>16</v>
      </c>
    </row>
    <row r="89" spans="1:13" ht="15.5" x14ac:dyDescent="0.35">
      <c r="A89" s="155" t="s">
        <v>11</v>
      </c>
      <c r="B89" s="9" t="s">
        <v>2</v>
      </c>
      <c r="C89" s="15">
        <v>26.801513711666701</v>
      </c>
      <c r="D89" s="15">
        <v>19.151130067945001</v>
      </c>
      <c r="E89" s="100">
        <f t="shared" ref="E89:E96" si="28">C89-D89</f>
        <v>7.6503836437216997</v>
      </c>
      <c r="F89" s="108"/>
      <c r="G89" s="108">
        <f t="shared" ref="G89:G96" si="29">E89-$F$92</f>
        <v>0.85737686916012468</v>
      </c>
      <c r="H89" s="108">
        <f t="shared" ref="H89:H96" si="30">2^-G89</f>
        <v>0.55195521980596451</v>
      </c>
      <c r="I89" s="12"/>
      <c r="J89" s="110">
        <f>H89/$I$92</f>
        <v>0.50096285942549679</v>
      </c>
      <c r="K89" s="17"/>
      <c r="M89" s="112"/>
    </row>
    <row r="90" spans="1:13" ht="15.5" x14ac:dyDescent="0.35">
      <c r="A90" s="155"/>
      <c r="B90" s="9" t="s">
        <v>1</v>
      </c>
      <c r="C90" s="15">
        <v>25.6091495802496</v>
      </c>
      <c r="D90" s="15">
        <v>18.641139562934701</v>
      </c>
      <c r="E90" s="100">
        <f t="shared" si="28"/>
        <v>6.9680100173148993</v>
      </c>
      <c r="F90" s="108"/>
      <c r="G90" s="108">
        <f t="shared" si="29"/>
        <v>0.17500324275332435</v>
      </c>
      <c r="H90" s="108">
        <f t="shared" si="30"/>
        <v>0.88576552816022958</v>
      </c>
      <c r="I90" s="14"/>
      <c r="J90" s="110">
        <f t="shared" ref="J90:J96" si="31">H90/$I$92</f>
        <v>0.80393411611122312</v>
      </c>
      <c r="K90" s="17">
        <f>AVERAGE(J89:J92)</f>
        <v>1</v>
      </c>
      <c r="L90" s="100">
        <f>STDEVA(J89:J92)</f>
        <v>0.51348573578346457</v>
      </c>
      <c r="M90" s="113">
        <f>L90/SQRT(4)</f>
        <v>0.25674286789173228</v>
      </c>
    </row>
    <row r="91" spans="1:13" ht="15.5" x14ac:dyDescent="0.35">
      <c r="A91" s="155"/>
      <c r="B91" s="9" t="s">
        <v>0</v>
      </c>
      <c r="C91" s="15">
        <v>24.315027860728801</v>
      </c>
      <c r="D91" s="15">
        <v>18.4353995868133</v>
      </c>
      <c r="E91" s="100">
        <f t="shared" si="28"/>
        <v>5.8796282739155004</v>
      </c>
      <c r="F91" s="108"/>
      <c r="G91" s="108">
        <f t="shared" si="29"/>
        <v>-0.91337850064607462</v>
      </c>
      <c r="H91" s="108">
        <f t="shared" si="30"/>
        <v>1.8834510001736766</v>
      </c>
      <c r="I91" s="14"/>
      <c r="J91" s="110">
        <f t="shared" si="31"/>
        <v>1.7094484566456505</v>
      </c>
      <c r="K91" s="17"/>
      <c r="L91" s="100"/>
      <c r="M91" s="113"/>
    </row>
    <row r="92" spans="1:13" ht="15.5" x14ac:dyDescent="0.35">
      <c r="A92" s="155"/>
      <c r="B92" s="9" t="s">
        <v>10</v>
      </c>
      <c r="C92" s="15">
        <v>25.259783004485602</v>
      </c>
      <c r="D92" s="15">
        <v>18.585777841191401</v>
      </c>
      <c r="E92" s="100">
        <f t="shared" si="28"/>
        <v>6.6740051632942006</v>
      </c>
      <c r="F92" s="108">
        <f>AVERAGE(E89:E92)</f>
        <v>6.793006774561575</v>
      </c>
      <c r="G92" s="108">
        <f t="shared" si="29"/>
        <v>-0.11900161126737441</v>
      </c>
      <c r="H92" s="108">
        <f t="shared" si="30"/>
        <v>1.0859830691968531</v>
      </c>
      <c r="I92" s="12">
        <f>AVERAGE(H89:H92)</f>
        <v>1.101788704334181</v>
      </c>
      <c r="J92" s="110">
        <f t="shared" si="31"/>
        <v>0.9856545678176295</v>
      </c>
      <c r="L92" s="100"/>
      <c r="M92" s="113"/>
    </row>
    <row r="93" spans="1:13" ht="15.5" x14ac:dyDescent="0.35">
      <c r="A93" s="156" t="s">
        <v>32</v>
      </c>
      <c r="B93" s="9" t="s">
        <v>2</v>
      </c>
      <c r="C93" s="15">
        <v>28.29</v>
      </c>
      <c r="D93" s="15">
        <v>19.07</v>
      </c>
      <c r="E93" s="100">
        <f t="shared" si="28"/>
        <v>9.2199999999999989</v>
      </c>
      <c r="F93" s="108"/>
      <c r="G93" s="108">
        <f t="shared" si="29"/>
        <v>2.4269932254384239</v>
      </c>
      <c r="H93" s="108">
        <f t="shared" si="30"/>
        <v>0.18595259349254864</v>
      </c>
      <c r="I93" s="12"/>
      <c r="J93" s="110">
        <f t="shared" si="31"/>
        <v>0.16877337075707374</v>
      </c>
      <c r="K93" s="17"/>
      <c r="M93" s="112"/>
    </row>
    <row r="94" spans="1:13" ht="15.5" x14ac:dyDescent="0.35">
      <c r="A94" s="157"/>
      <c r="B94" s="9" t="s">
        <v>1</v>
      </c>
      <c r="C94" s="15">
        <v>28.1351391512428</v>
      </c>
      <c r="D94" s="15">
        <v>19.239999999999998</v>
      </c>
      <c r="E94" s="100">
        <f t="shared" si="28"/>
        <v>8.8951391512428017</v>
      </c>
      <c r="F94" s="108"/>
      <c r="G94" s="108">
        <f t="shared" si="29"/>
        <v>2.1021323766812268</v>
      </c>
      <c r="H94" s="108">
        <f t="shared" si="30"/>
        <v>0.23291373499111612</v>
      </c>
      <c r="I94" s="14"/>
      <c r="J94" s="110">
        <f t="shared" si="31"/>
        <v>0.21139600912124762</v>
      </c>
      <c r="K94" s="22">
        <f>AVERAGE(J93:J96)</f>
        <v>0.33573397133593119</v>
      </c>
      <c r="L94" s="100">
        <f>STDEVA(J93:J96)</f>
        <v>0.21754461565498845</v>
      </c>
      <c r="M94" s="113">
        <f>L94/SQRT(4)</f>
        <v>0.10877230782749422</v>
      </c>
    </row>
    <row r="95" spans="1:13" ht="15.5" x14ac:dyDescent="0.35">
      <c r="A95" s="157"/>
      <c r="B95" s="9" t="s">
        <v>0</v>
      </c>
      <c r="C95" s="15">
        <v>27.325553897072201</v>
      </c>
      <c r="D95" s="15">
        <v>19</v>
      </c>
      <c r="E95" s="100">
        <f t="shared" si="28"/>
        <v>8.3255538970722007</v>
      </c>
      <c r="F95" s="108"/>
      <c r="G95" s="108">
        <f t="shared" si="29"/>
        <v>1.5325471225106257</v>
      </c>
      <c r="H95" s="108">
        <f t="shared" si="30"/>
        <v>0.34566654304841521</v>
      </c>
      <c r="I95" s="14"/>
      <c r="J95" s="110">
        <f t="shared" si="31"/>
        <v>0.31373215362314322</v>
      </c>
      <c r="K95" s="17"/>
      <c r="L95" s="100"/>
      <c r="M95" s="113"/>
    </row>
    <row r="96" spans="1:13" ht="15.5" x14ac:dyDescent="0.35">
      <c r="A96" s="158"/>
      <c r="B96" s="19" t="s">
        <v>10</v>
      </c>
      <c r="C96" s="20">
        <v>27.106792453377398</v>
      </c>
      <c r="D96" s="20">
        <v>19.829999999999998</v>
      </c>
      <c r="E96" s="101">
        <f t="shared" si="28"/>
        <v>7.2767924533774</v>
      </c>
      <c r="F96" s="101"/>
      <c r="G96" s="108">
        <f t="shared" si="29"/>
        <v>0.48378567881582502</v>
      </c>
      <c r="H96" s="108">
        <f t="shared" si="30"/>
        <v>0.71509871758465871</v>
      </c>
      <c r="I96" s="22"/>
      <c r="J96" s="110">
        <f t="shared" si="31"/>
        <v>0.6490343518422601</v>
      </c>
      <c r="K96" s="30"/>
      <c r="L96" s="101"/>
      <c r="M96" s="114"/>
    </row>
    <row r="99" spans="1:13" ht="15.5" x14ac:dyDescent="0.35">
      <c r="A99" s="25" t="s">
        <v>69</v>
      </c>
    </row>
    <row r="100" spans="1:13" ht="15.5" x14ac:dyDescent="0.35">
      <c r="A100" s="26" t="s">
        <v>8</v>
      </c>
      <c r="B100" s="27" t="s">
        <v>9</v>
      </c>
      <c r="C100" s="26" t="s">
        <v>7</v>
      </c>
      <c r="D100" s="26" t="s">
        <v>6</v>
      </c>
      <c r="E100" s="99" t="s">
        <v>5</v>
      </c>
      <c r="F100" s="107" t="s">
        <v>12</v>
      </c>
      <c r="G100" s="107" t="s">
        <v>13</v>
      </c>
      <c r="H100" s="99" t="s">
        <v>4</v>
      </c>
      <c r="I100" s="26" t="s">
        <v>3</v>
      </c>
      <c r="J100" s="99" t="s">
        <v>14</v>
      </c>
      <c r="K100" s="28" t="s">
        <v>3</v>
      </c>
      <c r="L100" s="107" t="s">
        <v>15</v>
      </c>
      <c r="M100" s="107" t="s">
        <v>16</v>
      </c>
    </row>
    <row r="101" spans="1:13" ht="15.5" x14ac:dyDescent="0.35">
      <c r="A101" s="155" t="s">
        <v>11</v>
      </c>
      <c r="B101" s="9" t="s">
        <v>2</v>
      </c>
      <c r="C101" s="15">
        <v>25.509981549022999</v>
      </c>
      <c r="D101" s="15">
        <v>19.151130067945001</v>
      </c>
      <c r="E101" s="100">
        <f t="shared" ref="E101:E108" si="32">C101-D101</f>
        <v>6.3588514810779984</v>
      </c>
      <c r="F101" s="108"/>
      <c r="G101" s="108">
        <f t="shared" ref="G101:G108" si="33">E101-$F$104</f>
        <v>0.25928843078644892</v>
      </c>
      <c r="H101" s="108">
        <f t="shared" ref="H101:H108" si="34">2^-G101</f>
        <v>0.8354999049161359</v>
      </c>
      <c r="I101" s="12"/>
      <c r="J101" s="110">
        <f>H101/$I$104</f>
        <v>0.8098597564198069</v>
      </c>
      <c r="K101" s="17"/>
      <c r="M101" s="112"/>
    </row>
    <row r="102" spans="1:13" ht="15.5" x14ac:dyDescent="0.35">
      <c r="A102" s="155"/>
      <c r="B102" s="9" t="s">
        <v>1</v>
      </c>
      <c r="C102" s="15">
        <v>25.003331073335701</v>
      </c>
      <c r="D102" s="15">
        <v>18.641139562934701</v>
      </c>
      <c r="E102" s="100">
        <f t="shared" si="32"/>
        <v>6.3621915104010007</v>
      </c>
      <c r="F102" s="108"/>
      <c r="G102" s="108">
        <f t="shared" si="33"/>
        <v>0.26262846010945129</v>
      </c>
      <c r="H102" s="108">
        <f t="shared" si="34"/>
        <v>0.83356784977115972</v>
      </c>
      <c r="I102" s="14"/>
      <c r="J102" s="110">
        <f t="shared" ref="J102:J108" si="35">H102/$I$104</f>
        <v>0.80798699294025023</v>
      </c>
      <c r="K102" s="17">
        <f>AVERAGE(J101:J104)</f>
        <v>1.0000000000000002</v>
      </c>
      <c r="L102" s="100">
        <f>STDEVA(J101:J104)</f>
        <v>0.30832826822767573</v>
      </c>
      <c r="M102" s="113">
        <f>L102/SQRT(4)</f>
        <v>0.15416413411383786</v>
      </c>
    </row>
    <row r="103" spans="1:13" ht="15.5" x14ac:dyDescent="0.35">
      <c r="A103" s="155"/>
      <c r="B103" s="9" t="s">
        <v>0</v>
      </c>
      <c r="C103" s="15">
        <v>24.5988868430574</v>
      </c>
      <c r="D103" s="15">
        <v>18.4353995868133</v>
      </c>
      <c r="E103" s="100">
        <f t="shared" si="32"/>
        <v>6.1634872562440997</v>
      </c>
      <c r="F103" s="108"/>
      <c r="G103" s="108">
        <f t="shared" si="33"/>
        <v>6.3924205952550217E-2</v>
      </c>
      <c r="H103" s="108">
        <f t="shared" si="34"/>
        <v>0.95665841618986869</v>
      </c>
      <c r="I103" s="14"/>
      <c r="J103" s="110">
        <f t="shared" si="35"/>
        <v>0.9273001078201828</v>
      </c>
      <c r="K103" s="17"/>
      <c r="L103" s="100"/>
      <c r="M103" s="113"/>
    </row>
    <row r="104" spans="1:13" ht="15.5" x14ac:dyDescent="0.35">
      <c r="A104" s="155"/>
      <c r="B104" s="9" t="s">
        <v>10</v>
      </c>
      <c r="C104" s="15">
        <v>24.0994997946345</v>
      </c>
      <c r="D104" s="15">
        <v>18.585777841191401</v>
      </c>
      <c r="E104" s="100">
        <f t="shared" si="32"/>
        <v>5.513721953443099</v>
      </c>
      <c r="F104" s="108">
        <f>AVERAGE(E101:E104)</f>
        <v>6.0995630502915494</v>
      </c>
      <c r="G104" s="108">
        <f t="shared" si="33"/>
        <v>-0.58584109684845043</v>
      </c>
      <c r="H104" s="108">
        <f t="shared" si="34"/>
        <v>1.500913772856689</v>
      </c>
      <c r="I104" s="12">
        <f>AVERAGE(H101:H104)</f>
        <v>1.0316599859334632</v>
      </c>
      <c r="J104" s="110">
        <f t="shared" si="35"/>
        <v>1.4548531428197606</v>
      </c>
      <c r="L104" s="100"/>
      <c r="M104" s="113"/>
    </row>
    <row r="105" spans="1:13" ht="15.5" x14ac:dyDescent="0.35">
      <c r="A105" s="156" t="s">
        <v>70</v>
      </c>
      <c r="B105" s="9" t="s">
        <v>2</v>
      </c>
      <c r="C105" s="15">
        <v>30.372933797428399</v>
      </c>
      <c r="D105" s="15">
        <v>19.21</v>
      </c>
      <c r="E105" s="100">
        <f t="shared" si="32"/>
        <v>11.162933797428398</v>
      </c>
      <c r="F105" s="108"/>
      <c r="G105" s="108">
        <f t="shared" si="33"/>
        <v>5.0633707471368483</v>
      </c>
      <c r="H105" s="108">
        <f t="shared" si="34"/>
        <v>2.9907046498418438E-2</v>
      </c>
      <c r="I105" s="12"/>
      <c r="J105" s="110">
        <f t="shared" si="35"/>
        <v>2.898924733555314E-2</v>
      </c>
      <c r="K105" s="17"/>
      <c r="M105" s="112"/>
    </row>
    <row r="106" spans="1:13" ht="15.5" x14ac:dyDescent="0.35">
      <c r="A106" s="157"/>
      <c r="B106" s="9" t="s">
        <v>1</v>
      </c>
      <c r="C106" s="15">
        <v>29.463777661202698</v>
      </c>
      <c r="D106" s="15">
        <v>19.88</v>
      </c>
      <c r="E106" s="100">
        <f t="shared" si="32"/>
        <v>9.5837776612026992</v>
      </c>
      <c r="F106" s="108"/>
      <c r="G106" s="108">
        <f t="shared" si="33"/>
        <v>3.4842146109111498</v>
      </c>
      <c r="H106" s="108">
        <f t="shared" si="34"/>
        <v>8.9360767623780063E-2</v>
      </c>
      <c r="I106" s="14"/>
      <c r="J106" s="110">
        <f t="shared" si="35"/>
        <v>8.6618429368397906E-2</v>
      </c>
      <c r="K106" s="22">
        <f>AVERAGE(J105:J108)</f>
        <v>0.12772106813458783</v>
      </c>
      <c r="L106" s="100">
        <f>STDEVA(J105:J108)</f>
        <v>0.12532140503989031</v>
      </c>
      <c r="M106" s="113">
        <f>L106/SQRT(4)</f>
        <v>6.2660702519945155E-2</v>
      </c>
    </row>
    <row r="107" spans="1:13" ht="15.5" x14ac:dyDescent="0.35">
      <c r="A107" s="157"/>
      <c r="B107" s="9" t="s">
        <v>0</v>
      </c>
      <c r="C107" s="15">
        <v>27.517564531030299</v>
      </c>
      <c r="D107" s="15">
        <v>19.78</v>
      </c>
      <c r="E107" s="100">
        <f t="shared" si="32"/>
        <v>7.7375645310302978</v>
      </c>
      <c r="F107" s="108"/>
      <c r="G107" s="108">
        <f t="shared" si="33"/>
        <v>1.6380014807387484</v>
      </c>
      <c r="H107" s="108">
        <f t="shared" si="34"/>
        <v>0.3213012545932411</v>
      </c>
      <c r="I107" s="14"/>
      <c r="J107" s="110">
        <f t="shared" si="35"/>
        <v>0.31144103578130189</v>
      </c>
      <c r="K107" s="17"/>
      <c r="L107" s="100"/>
      <c r="M107" s="113"/>
    </row>
    <row r="108" spans="1:13" ht="15.5" x14ac:dyDescent="0.35">
      <c r="A108" s="158"/>
      <c r="B108" s="19" t="s">
        <v>10</v>
      </c>
      <c r="C108" s="20">
        <v>29.250889360295599</v>
      </c>
      <c r="D108" s="20">
        <v>19.62</v>
      </c>
      <c r="E108" s="101">
        <f t="shared" si="32"/>
        <v>9.6308893602955976</v>
      </c>
      <c r="F108" s="101"/>
      <c r="G108" s="108">
        <f t="shared" si="33"/>
        <v>3.5313263100040482</v>
      </c>
      <c r="H108" s="108">
        <f t="shared" si="34"/>
        <v>8.6489792705103527E-2</v>
      </c>
      <c r="I108" s="22"/>
      <c r="J108" s="110">
        <f t="shared" si="35"/>
        <v>8.3835560053098418E-2</v>
      </c>
      <c r="K108" s="30"/>
      <c r="L108" s="101"/>
      <c r="M108" s="114"/>
    </row>
    <row r="111" spans="1:13" ht="15.5" x14ac:dyDescent="0.35">
      <c r="A111" s="25" t="s">
        <v>33</v>
      </c>
    </row>
    <row r="112" spans="1:13" ht="15.5" x14ac:dyDescent="0.35">
      <c r="A112" s="26" t="s">
        <v>8</v>
      </c>
      <c r="B112" s="27" t="s">
        <v>9</v>
      </c>
      <c r="C112" s="26" t="s">
        <v>7</v>
      </c>
      <c r="D112" s="26" t="s">
        <v>6</v>
      </c>
      <c r="E112" s="99" t="s">
        <v>5</v>
      </c>
      <c r="F112" s="107" t="s">
        <v>12</v>
      </c>
      <c r="G112" s="107" t="s">
        <v>13</v>
      </c>
      <c r="H112" s="99" t="s">
        <v>4</v>
      </c>
      <c r="I112" s="26" t="s">
        <v>3</v>
      </c>
      <c r="J112" s="99" t="s">
        <v>14</v>
      </c>
      <c r="K112" s="28" t="s">
        <v>3</v>
      </c>
      <c r="L112" s="107" t="s">
        <v>15</v>
      </c>
      <c r="M112" s="107" t="s">
        <v>16</v>
      </c>
    </row>
    <row r="113" spans="1:13" ht="15.5" x14ac:dyDescent="0.35">
      <c r="A113" s="155" t="s">
        <v>11</v>
      </c>
      <c r="B113" s="9" t="s">
        <v>2</v>
      </c>
      <c r="C113" s="15">
        <v>24.3816554867376</v>
      </c>
      <c r="D113" s="15">
        <v>18.3755915893388</v>
      </c>
      <c r="E113" s="100">
        <f t="shared" ref="E113:E120" si="36">C113-D113</f>
        <v>6.0060638973987999</v>
      </c>
      <c r="F113" s="108"/>
      <c r="G113" s="108">
        <f t="shared" ref="G113:G120" si="37">E113-$F$116</f>
        <v>-0.50711990665994922</v>
      </c>
      <c r="H113" s="108">
        <f t="shared" ref="H113:H120" si="38">2^-G113</f>
        <v>1.4212101592605746</v>
      </c>
      <c r="I113" s="12"/>
      <c r="J113" s="110">
        <f t="shared" ref="J113:J120" si="39">H113/$I$116</f>
        <v>1.2341050151147448</v>
      </c>
      <c r="K113" s="17"/>
      <c r="M113" s="112"/>
    </row>
    <row r="114" spans="1:13" ht="15.5" x14ac:dyDescent="0.35">
      <c r="A114" s="155"/>
      <c r="B114" s="9" t="s">
        <v>1</v>
      </c>
      <c r="C114" s="15">
        <v>23.8898254984062</v>
      </c>
      <c r="D114" s="15">
        <v>18.374987329758302</v>
      </c>
      <c r="E114" s="100">
        <f t="shared" si="36"/>
        <v>5.5148381686478984</v>
      </c>
      <c r="F114" s="108"/>
      <c r="G114" s="108">
        <f t="shared" si="37"/>
        <v>-0.99834563541085064</v>
      </c>
      <c r="H114" s="108">
        <f t="shared" si="38"/>
        <v>1.9977078781588562</v>
      </c>
      <c r="I114" s="14"/>
      <c r="J114" s="110">
        <f t="shared" si="39"/>
        <v>1.7347056627098456</v>
      </c>
      <c r="K114" s="17">
        <f>AVERAGE(J113:J116)</f>
        <v>1</v>
      </c>
      <c r="L114" s="100">
        <f>STDEVA(J113:J116)</f>
        <v>0.59565312234807399</v>
      </c>
      <c r="M114" s="113">
        <f>L114/SQRT(4)</f>
        <v>0.297826561174037</v>
      </c>
    </row>
    <row r="115" spans="1:13" ht="15.5" x14ac:dyDescent="0.35">
      <c r="A115" s="155"/>
      <c r="B115" s="9" t="s">
        <v>0</v>
      </c>
      <c r="C115" s="15">
        <v>25.8658075782735</v>
      </c>
      <c r="D115" s="15">
        <v>18.644731823484602</v>
      </c>
      <c r="E115" s="100">
        <f t="shared" si="36"/>
        <v>7.2210757547888988</v>
      </c>
      <c r="F115" s="108"/>
      <c r="G115" s="108">
        <f t="shared" si="37"/>
        <v>0.70789195073014977</v>
      </c>
      <c r="H115" s="108">
        <f t="shared" si="38"/>
        <v>0.61221404567051707</v>
      </c>
      <c r="I115" s="14"/>
      <c r="J115" s="110">
        <f t="shared" si="39"/>
        <v>0.53161484891070732</v>
      </c>
      <c r="K115" s="17"/>
      <c r="L115" s="100"/>
      <c r="M115" s="113"/>
    </row>
    <row r="116" spans="1:13" ht="15.5" x14ac:dyDescent="0.35">
      <c r="A116" s="155"/>
      <c r="B116" s="9" t="s">
        <v>10</v>
      </c>
      <c r="C116" s="15">
        <v>25.955999145678099</v>
      </c>
      <c r="D116" s="15">
        <v>18.6452417502787</v>
      </c>
      <c r="E116" s="100">
        <f t="shared" si="36"/>
        <v>7.3107573953993992</v>
      </c>
      <c r="F116" s="108">
        <f>AVERAGE(E113:E116)</f>
        <v>6.5131838040587491</v>
      </c>
      <c r="G116" s="108">
        <f t="shared" si="37"/>
        <v>0.79757359134065009</v>
      </c>
      <c r="H116" s="108">
        <f t="shared" si="38"/>
        <v>0.57531596421316755</v>
      </c>
      <c r="I116" s="12">
        <f>AVERAGE(H113:H116)</f>
        <v>1.1516120118257789</v>
      </c>
      <c r="J116" s="110">
        <f t="shared" si="39"/>
        <v>0.49957447326470228</v>
      </c>
      <c r="L116" s="100"/>
      <c r="M116" s="113"/>
    </row>
    <row r="117" spans="1:13" ht="15.5" x14ac:dyDescent="0.35">
      <c r="A117" s="156" t="s">
        <v>34</v>
      </c>
      <c r="B117" s="9" t="s">
        <v>2</v>
      </c>
      <c r="C117" s="15">
        <v>27.228271672572699</v>
      </c>
      <c r="D117" s="15">
        <v>19.91</v>
      </c>
      <c r="E117" s="100">
        <f t="shared" si="36"/>
        <v>7.3182716725726991</v>
      </c>
      <c r="F117" s="108"/>
      <c r="G117" s="108">
        <f t="shared" si="37"/>
        <v>0.80508786851394998</v>
      </c>
      <c r="H117" s="108">
        <f t="shared" si="38"/>
        <v>0.57232722118325263</v>
      </c>
      <c r="I117" s="12"/>
      <c r="J117" s="110">
        <f t="shared" si="39"/>
        <v>0.49697920419905878</v>
      </c>
      <c r="K117" s="17"/>
      <c r="M117" s="112"/>
    </row>
    <row r="118" spans="1:13" ht="15.5" x14ac:dyDescent="0.35">
      <c r="A118" s="157"/>
      <c r="B118" s="9" t="s">
        <v>1</v>
      </c>
      <c r="C118" s="15">
        <v>27.03</v>
      </c>
      <c r="D118" s="15">
        <v>19.38</v>
      </c>
      <c r="E118" s="100">
        <f t="shared" si="36"/>
        <v>7.6500000000000021</v>
      </c>
      <c r="F118" s="108"/>
      <c r="G118" s="108">
        <f t="shared" si="37"/>
        <v>1.136816195941253</v>
      </c>
      <c r="H118" s="108">
        <f t="shared" si="38"/>
        <v>0.45476206038110151</v>
      </c>
      <c r="I118" s="14"/>
      <c r="J118" s="110">
        <f t="shared" si="39"/>
        <v>0.39489173064469563</v>
      </c>
      <c r="K118" s="22">
        <f>AVERAGE(J117:J120)</f>
        <v>0.46348491388256496</v>
      </c>
      <c r="L118" s="100">
        <f>STDEVA(J117:J120)</f>
        <v>4.6818896026571133E-2</v>
      </c>
      <c r="M118" s="113">
        <f>L118/SQRT(4)</f>
        <v>2.3409448013285566E-2</v>
      </c>
    </row>
    <row r="119" spans="1:13" ht="15.5" x14ac:dyDescent="0.35">
      <c r="A119" s="157"/>
      <c r="B119" s="9" t="s">
        <v>0</v>
      </c>
      <c r="C119" s="15">
        <v>26.74</v>
      </c>
      <c r="D119" s="15">
        <v>19.350000000000001</v>
      </c>
      <c r="E119" s="100">
        <f t="shared" si="36"/>
        <v>7.389999999999997</v>
      </c>
      <c r="F119" s="108"/>
      <c r="G119" s="108">
        <f t="shared" si="37"/>
        <v>0.87681619594124793</v>
      </c>
      <c r="H119" s="108">
        <f t="shared" si="38"/>
        <v>0.54456788297499836</v>
      </c>
      <c r="I119" s="14"/>
      <c r="J119" s="110">
        <f t="shared" si="39"/>
        <v>0.47287443807713869</v>
      </c>
      <c r="K119" s="17"/>
      <c r="L119" s="100"/>
      <c r="M119" s="113"/>
    </row>
    <row r="120" spans="1:13" ht="15.5" x14ac:dyDescent="0.35">
      <c r="A120" s="158"/>
      <c r="B120" s="19" t="s">
        <v>10</v>
      </c>
      <c r="C120" s="20">
        <v>27.121049614237599</v>
      </c>
      <c r="D120" s="20">
        <v>19.78</v>
      </c>
      <c r="E120" s="101">
        <f t="shared" si="36"/>
        <v>7.3410496142375976</v>
      </c>
      <c r="F120" s="101"/>
      <c r="G120" s="108">
        <f t="shared" si="37"/>
        <v>0.82786581017884853</v>
      </c>
      <c r="H120" s="108">
        <f t="shared" si="38"/>
        <v>0.56336201196944158</v>
      </c>
      <c r="I120" s="22"/>
      <c r="J120" s="110">
        <f t="shared" si="39"/>
        <v>0.48919428260936682</v>
      </c>
      <c r="K120" s="30"/>
      <c r="L120" s="101"/>
      <c r="M120" s="114"/>
    </row>
    <row r="123" spans="1:13" ht="15.5" x14ac:dyDescent="0.35">
      <c r="A123" s="25" t="s">
        <v>35</v>
      </c>
    </row>
    <row r="124" spans="1:13" ht="15.5" x14ac:dyDescent="0.35">
      <c r="A124" s="26" t="s">
        <v>8</v>
      </c>
      <c r="B124" s="27" t="s">
        <v>9</v>
      </c>
      <c r="C124" s="26" t="s">
        <v>7</v>
      </c>
      <c r="D124" s="26" t="s">
        <v>6</v>
      </c>
      <c r="E124" s="99" t="s">
        <v>5</v>
      </c>
      <c r="F124" s="107" t="s">
        <v>12</v>
      </c>
      <c r="G124" s="107" t="s">
        <v>13</v>
      </c>
      <c r="H124" s="99" t="s">
        <v>4</v>
      </c>
      <c r="I124" s="26" t="s">
        <v>3</v>
      </c>
      <c r="J124" s="99" t="s">
        <v>14</v>
      </c>
      <c r="K124" s="28" t="s">
        <v>3</v>
      </c>
      <c r="L124" s="107" t="s">
        <v>15</v>
      </c>
      <c r="M124" s="107" t="s">
        <v>16</v>
      </c>
    </row>
    <row r="125" spans="1:13" ht="15.5" x14ac:dyDescent="0.35">
      <c r="A125" s="155" t="s">
        <v>11</v>
      </c>
      <c r="B125" s="9" t="s">
        <v>2</v>
      </c>
      <c r="C125" s="15">
        <v>25.568301076823801</v>
      </c>
      <c r="D125" s="15">
        <v>18.3755915893388</v>
      </c>
      <c r="E125" s="100">
        <f t="shared" ref="E125:E132" si="40">C125-D125</f>
        <v>7.1927094874850006</v>
      </c>
      <c r="F125" s="108"/>
      <c r="G125" s="108">
        <f t="shared" ref="G125:G132" si="41">E125-$F$128</f>
        <v>-0.21784670700964881</v>
      </c>
      <c r="H125" s="108">
        <f t="shared" ref="H125:H132" si="42">2^-G125</f>
        <v>1.1629964612539641</v>
      </c>
      <c r="I125" s="12"/>
      <c r="J125" s="110">
        <f t="shared" ref="J125:J132" si="43">H125/$I$128</f>
        <v>1.0542710985974411</v>
      </c>
      <c r="K125" s="17"/>
      <c r="M125" s="112"/>
    </row>
    <row r="126" spans="1:13" ht="15.5" x14ac:dyDescent="0.35">
      <c r="A126" s="155"/>
      <c r="B126" s="9" t="s">
        <v>1</v>
      </c>
      <c r="C126" s="15">
        <v>24.8782223097177</v>
      </c>
      <c r="D126" s="15">
        <v>18.374987329758302</v>
      </c>
      <c r="E126" s="100">
        <f t="shared" si="40"/>
        <v>6.503234979959398</v>
      </c>
      <c r="F126" s="108"/>
      <c r="G126" s="108">
        <f t="shared" si="41"/>
        <v>-0.90732121453525139</v>
      </c>
      <c r="H126" s="108">
        <f t="shared" si="42"/>
        <v>1.8755597378348123</v>
      </c>
      <c r="I126" s="14"/>
      <c r="J126" s="110">
        <f t="shared" si="43"/>
        <v>1.7002187806833244</v>
      </c>
      <c r="K126" s="17">
        <f>AVERAGE(J125:J128)</f>
        <v>1</v>
      </c>
      <c r="L126" s="100">
        <f>STDEVA(J125:J128)</f>
        <v>0.51641471886119605</v>
      </c>
      <c r="M126" s="113">
        <f>L126/SQRT(4)</f>
        <v>0.25820735943059803</v>
      </c>
    </row>
    <row r="127" spans="1:13" ht="15.5" x14ac:dyDescent="0.35">
      <c r="A127" s="155"/>
      <c r="B127" s="9" t="s">
        <v>0</v>
      </c>
      <c r="C127" s="15">
        <v>26.8641626859221</v>
      </c>
      <c r="D127" s="15">
        <v>18.644731823484602</v>
      </c>
      <c r="E127" s="100">
        <f t="shared" si="40"/>
        <v>8.2194308624374983</v>
      </c>
      <c r="F127" s="108"/>
      <c r="G127" s="108">
        <f t="shared" si="41"/>
        <v>0.8088746679428489</v>
      </c>
      <c r="H127" s="108">
        <f t="shared" si="42"/>
        <v>0.57082694117912247</v>
      </c>
      <c r="I127" s="14"/>
      <c r="J127" s="110">
        <f t="shared" si="43"/>
        <v>0.51746188955472117</v>
      </c>
      <c r="K127" s="17"/>
      <c r="L127" s="100"/>
      <c r="M127" s="113"/>
    </row>
    <row r="128" spans="1:13" ht="15.5" x14ac:dyDescent="0.35">
      <c r="A128" s="155"/>
      <c r="B128" s="9" t="s">
        <v>10</v>
      </c>
      <c r="C128" s="15">
        <v>26.372091198375401</v>
      </c>
      <c r="D128" s="15">
        <v>18.6452417502787</v>
      </c>
      <c r="E128" s="100">
        <f t="shared" si="40"/>
        <v>7.7268494480967007</v>
      </c>
      <c r="F128" s="108">
        <f>AVERAGE(E125:E128)</f>
        <v>7.4105561944946494</v>
      </c>
      <c r="G128" s="108">
        <f t="shared" si="41"/>
        <v>0.31629325360205129</v>
      </c>
      <c r="H128" s="108">
        <f t="shared" si="42"/>
        <v>0.80313072946130815</v>
      </c>
      <c r="I128" s="12">
        <f>AVERAGE(H125:H128)</f>
        <v>1.1031284674323016</v>
      </c>
      <c r="J128" s="110">
        <f t="shared" si="43"/>
        <v>0.72804823116451378</v>
      </c>
      <c r="L128" s="100"/>
      <c r="M128" s="113"/>
    </row>
    <row r="129" spans="1:13" ht="15.5" x14ac:dyDescent="0.35">
      <c r="A129" s="156" t="s">
        <v>36</v>
      </c>
      <c r="B129" s="9" t="s">
        <v>2</v>
      </c>
      <c r="C129" s="15">
        <v>29.549475847873399</v>
      </c>
      <c r="D129" s="15">
        <v>19.47</v>
      </c>
      <c r="E129" s="100">
        <f t="shared" si="40"/>
        <v>10.0794758478734</v>
      </c>
      <c r="F129" s="108"/>
      <c r="G129" s="108">
        <f t="shared" si="41"/>
        <v>2.6689196533787509</v>
      </c>
      <c r="H129" s="108">
        <f t="shared" si="42"/>
        <v>0.15724437849492329</v>
      </c>
      <c r="I129" s="12"/>
      <c r="J129" s="110">
        <f t="shared" si="43"/>
        <v>0.14254403103287994</v>
      </c>
      <c r="K129" s="17"/>
      <c r="M129" s="112"/>
    </row>
    <row r="130" spans="1:13" ht="15.5" x14ac:dyDescent="0.35">
      <c r="A130" s="157"/>
      <c r="B130" s="9" t="s">
        <v>1</v>
      </c>
      <c r="C130" s="15">
        <v>30.186027413851999</v>
      </c>
      <c r="D130" s="15">
        <v>19.3</v>
      </c>
      <c r="E130" s="100">
        <f t="shared" si="40"/>
        <v>10.886027413851998</v>
      </c>
      <c r="F130" s="108"/>
      <c r="G130" s="108">
        <f t="shared" si="41"/>
        <v>3.4754712193573489</v>
      </c>
      <c r="H130" s="108">
        <f t="shared" si="42"/>
        <v>8.9903979124070055E-2</v>
      </c>
      <c r="I130" s="14"/>
      <c r="J130" s="110">
        <f t="shared" si="43"/>
        <v>8.1499101671571553E-2</v>
      </c>
      <c r="K130" s="22">
        <f>AVERAGE(J129:J132)</f>
        <v>0.12198449118455955</v>
      </c>
      <c r="L130" s="100">
        <f>STDEVA(J129:J132)</f>
        <v>5.7330664610519513E-2</v>
      </c>
      <c r="M130" s="113">
        <f>L130/SQRT(4)</f>
        <v>2.8665332305259757E-2</v>
      </c>
    </row>
    <row r="131" spans="1:13" ht="15.5" x14ac:dyDescent="0.35">
      <c r="A131" s="157"/>
      <c r="B131" s="9" t="s">
        <v>0</v>
      </c>
      <c r="C131" s="15">
        <v>29.787863395038599</v>
      </c>
      <c r="D131" s="15">
        <v>20.149999999999999</v>
      </c>
      <c r="E131" s="100">
        <f t="shared" si="40"/>
        <v>9.6378633950386003</v>
      </c>
      <c r="F131" s="108"/>
      <c r="G131" s="108">
        <f t="shared" si="41"/>
        <v>2.2273072005439509</v>
      </c>
      <c r="H131" s="108">
        <f t="shared" si="42"/>
        <v>0.21355695658928373</v>
      </c>
      <c r="I131" s="14"/>
      <c r="J131" s="110">
        <f t="shared" si="43"/>
        <v>0.19359210000841501</v>
      </c>
      <c r="K131" s="17"/>
      <c r="L131" s="100"/>
      <c r="M131" s="113"/>
    </row>
    <row r="132" spans="1:13" ht="15.5" x14ac:dyDescent="0.35">
      <c r="A132" s="158"/>
      <c r="B132" s="19" t="s">
        <v>10</v>
      </c>
      <c r="C132" s="20">
        <v>30.339230816323699</v>
      </c>
      <c r="D132" s="20">
        <v>19.239999999999998</v>
      </c>
      <c r="E132" s="101">
        <f t="shared" si="40"/>
        <v>11.099230816323701</v>
      </c>
      <c r="F132" s="101"/>
      <c r="G132" s="108">
        <f t="shared" si="41"/>
        <v>3.6886746218290511</v>
      </c>
      <c r="H132" s="108">
        <f t="shared" si="42"/>
        <v>7.7552945035452056E-2</v>
      </c>
      <c r="I132" s="22"/>
      <c r="J132" s="110">
        <f t="shared" si="43"/>
        <v>7.0302732025371684E-2</v>
      </c>
      <c r="K132" s="30"/>
      <c r="L132" s="101"/>
      <c r="M132" s="114"/>
    </row>
    <row r="135" spans="1:13" ht="15.5" x14ac:dyDescent="0.35">
      <c r="A135" s="25" t="s">
        <v>37</v>
      </c>
    </row>
    <row r="136" spans="1:13" ht="15.5" x14ac:dyDescent="0.35">
      <c r="A136" s="26" t="s">
        <v>8</v>
      </c>
      <c r="B136" s="27" t="s">
        <v>9</v>
      </c>
      <c r="C136" s="26" t="s">
        <v>7</v>
      </c>
      <c r="D136" s="26" t="s">
        <v>6</v>
      </c>
      <c r="E136" s="99" t="s">
        <v>5</v>
      </c>
      <c r="F136" s="107" t="s">
        <v>12</v>
      </c>
      <c r="G136" s="107" t="s">
        <v>13</v>
      </c>
      <c r="H136" s="99" t="s">
        <v>4</v>
      </c>
      <c r="I136" s="26" t="s">
        <v>3</v>
      </c>
      <c r="J136" s="99" t="s">
        <v>14</v>
      </c>
      <c r="K136" s="28" t="s">
        <v>3</v>
      </c>
      <c r="L136" s="107" t="s">
        <v>15</v>
      </c>
      <c r="M136" s="107" t="s">
        <v>16</v>
      </c>
    </row>
    <row r="137" spans="1:13" ht="15.5" x14ac:dyDescent="0.35">
      <c r="A137" s="155" t="s">
        <v>11</v>
      </c>
      <c r="B137" s="9" t="s">
        <v>2</v>
      </c>
      <c r="C137" s="15">
        <v>23.9033095010724</v>
      </c>
      <c r="D137" s="15">
        <v>18.841156865199</v>
      </c>
      <c r="E137" s="100">
        <f t="shared" ref="E137:E144" si="44">C137-D137</f>
        <v>5.0621526358733995</v>
      </c>
      <c r="F137" s="108"/>
      <c r="G137" s="108">
        <f>E137-$F$140</f>
        <v>-0.3014180978459251</v>
      </c>
      <c r="H137" s="108">
        <f t="shared" ref="H137:H144" si="45">2^-G137</f>
        <v>1.232355162346414</v>
      </c>
      <c r="I137" s="12"/>
      <c r="J137" s="110">
        <f t="shared" ref="J137:J144" si="46">H137/$I$140</f>
        <v>1.1788510634437088</v>
      </c>
      <c r="K137" s="17"/>
      <c r="M137" s="112"/>
    </row>
    <row r="138" spans="1:13" ht="15.5" x14ac:dyDescent="0.35">
      <c r="A138" s="155"/>
      <c r="B138" s="9" t="s">
        <v>1</v>
      </c>
      <c r="C138" s="15">
        <v>24.017472166745101</v>
      </c>
      <c r="D138" s="15">
        <v>18.4577715164842</v>
      </c>
      <c r="E138" s="100">
        <f t="shared" si="44"/>
        <v>5.5597006502609005</v>
      </c>
      <c r="F138" s="108"/>
      <c r="G138" s="108">
        <f t="shared" ref="G138:G144" si="47">E138-$F$140</f>
        <v>0.19612991654157597</v>
      </c>
      <c r="H138" s="108">
        <f t="shared" si="45"/>
        <v>0.87288898282029614</v>
      </c>
      <c r="I138" s="14"/>
      <c r="J138" s="110">
        <f t="shared" si="46"/>
        <v>0.83499151633102886</v>
      </c>
      <c r="K138" s="17">
        <f>AVERAGE(J137:J140)</f>
        <v>1</v>
      </c>
      <c r="L138" s="100">
        <f>STDEVA(J137:J140)</f>
        <v>0.33187387436012572</v>
      </c>
      <c r="M138" s="113">
        <f>L138/SQRT(4)</f>
        <v>0.16593693718006286</v>
      </c>
    </row>
    <row r="139" spans="1:13" ht="15.5" x14ac:dyDescent="0.35">
      <c r="A139" s="155"/>
      <c r="B139" s="9" t="s">
        <v>0</v>
      </c>
      <c r="C139" s="15">
        <v>23.1348900633093</v>
      </c>
      <c r="D139" s="15">
        <v>18.280294707840401</v>
      </c>
      <c r="E139" s="100">
        <f t="shared" si="44"/>
        <v>4.8545953554688985</v>
      </c>
      <c r="F139" s="108"/>
      <c r="G139" s="108">
        <f t="shared" si="47"/>
        <v>-0.50897537825042605</v>
      </c>
      <c r="H139" s="108">
        <f t="shared" si="45"/>
        <v>1.4230391747345459</v>
      </c>
      <c r="I139" s="14"/>
      <c r="J139" s="110">
        <f t="shared" si="46"/>
        <v>1.3612563128828921</v>
      </c>
      <c r="K139" s="17"/>
      <c r="L139" s="100"/>
      <c r="M139" s="113"/>
    </row>
    <row r="140" spans="1:13" ht="15.5" x14ac:dyDescent="0.35">
      <c r="A140" s="155"/>
      <c r="B140" s="9" t="s">
        <v>10</v>
      </c>
      <c r="C140" s="15">
        <v>24.0678342932741</v>
      </c>
      <c r="D140" s="15">
        <v>18.09</v>
      </c>
      <c r="E140" s="100">
        <f t="shared" si="44"/>
        <v>5.9778342932740998</v>
      </c>
      <c r="F140" s="108">
        <f>AVERAGE(E137:E140)</f>
        <v>5.3635707337193246</v>
      </c>
      <c r="G140" s="108">
        <f t="shared" si="47"/>
        <v>0.61426355955477518</v>
      </c>
      <c r="H140" s="108">
        <f t="shared" si="45"/>
        <v>0.65326327427632136</v>
      </c>
      <c r="I140" s="12">
        <f>AVERAGE(H137:H140)</f>
        <v>1.0453866485443943</v>
      </c>
      <c r="J140" s="110">
        <f t="shared" si="46"/>
        <v>0.62490110734237037</v>
      </c>
      <c r="L140" s="100"/>
      <c r="M140" s="113"/>
    </row>
    <row r="141" spans="1:13" ht="15.5" x14ac:dyDescent="0.35">
      <c r="A141" s="156" t="s">
        <v>38</v>
      </c>
      <c r="B141" s="9" t="s">
        <v>2</v>
      </c>
      <c r="C141" s="15">
        <v>28.416603804525099</v>
      </c>
      <c r="D141" s="15">
        <v>18.29</v>
      </c>
      <c r="E141" s="100">
        <f t="shared" si="44"/>
        <v>10.1266038045251</v>
      </c>
      <c r="F141" s="108"/>
      <c r="G141" s="108">
        <f t="shared" si="47"/>
        <v>4.7630330708057755</v>
      </c>
      <c r="H141" s="108">
        <f t="shared" si="45"/>
        <v>3.6828512266817374E-2</v>
      </c>
      <c r="I141" s="12"/>
      <c r="J141" s="110">
        <f t="shared" si="46"/>
        <v>3.5229560582295288E-2</v>
      </c>
      <c r="K141" s="17"/>
      <c r="M141" s="112"/>
    </row>
    <row r="142" spans="1:13" ht="15.5" x14ac:dyDescent="0.35">
      <c r="A142" s="157"/>
      <c r="B142" s="9" t="s">
        <v>1</v>
      </c>
      <c r="C142" s="15">
        <v>30.015478088321501</v>
      </c>
      <c r="D142" s="15">
        <v>17.97</v>
      </c>
      <c r="E142" s="100">
        <f t="shared" si="44"/>
        <v>12.045478088321502</v>
      </c>
      <c r="F142" s="108"/>
      <c r="G142" s="108">
        <f t="shared" si="47"/>
        <v>6.6819073546021777</v>
      </c>
      <c r="H142" s="108">
        <f t="shared" si="45"/>
        <v>9.7396972633213771E-3</v>
      </c>
      <c r="I142" s="14"/>
      <c r="J142" s="110">
        <f t="shared" si="46"/>
        <v>9.3168372457052302E-3</v>
      </c>
      <c r="K142" s="22">
        <f>AVERAGE(J141:J144)</f>
        <v>1.9238877208877847E-2</v>
      </c>
      <c r="L142" s="100">
        <f>STDEVA(J141:J144)</f>
        <v>1.1162738152689497E-2</v>
      </c>
      <c r="M142" s="113">
        <f>L142/SQRT(4)</f>
        <v>5.5813690763447483E-3</v>
      </c>
    </row>
    <row r="143" spans="1:13" ht="15.5" x14ac:dyDescent="0.35">
      <c r="A143" s="157"/>
      <c r="B143" s="9" t="s">
        <v>0</v>
      </c>
      <c r="C143" s="15">
        <v>29.568078445412901</v>
      </c>
      <c r="D143" s="15">
        <v>18.39</v>
      </c>
      <c r="E143" s="100">
        <f t="shared" si="44"/>
        <v>11.178078445412901</v>
      </c>
      <c r="F143" s="108"/>
      <c r="G143" s="108">
        <f t="shared" si="47"/>
        <v>5.8145077116935759</v>
      </c>
      <c r="H143" s="108">
        <f t="shared" si="45"/>
        <v>1.7768827398364873E-2</v>
      </c>
      <c r="I143" s="14"/>
      <c r="J143" s="110">
        <f t="shared" si="46"/>
        <v>1.6997373577619674E-2</v>
      </c>
      <c r="K143" s="17"/>
      <c r="L143" s="100"/>
      <c r="M143" s="113"/>
    </row>
    <row r="144" spans="1:13" ht="15.5" x14ac:dyDescent="0.35">
      <c r="A144" s="158"/>
      <c r="B144" s="19" t="s">
        <v>10</v>
      </c>
      <c r="C144" s="20">
        <v>29.539360772667301</v>
      </c>
      <c r="D144" s="20">
        <v>18.22</v>
      </c>
      <c r="E144" s="101">
        <f t="shared" si="44"/>
        <v>11.319360772667302</v>
      </c>
      <c r="F144" s="101"/>
      <c r="G144" s="108">
        <f t="shared" si="47"/>
        <v>5.9557900389479776</v>
      </c>
      <c r="H144" s="108">
        <f t="shared" si="45"/>
        <v>1.6111224540080155E-2</v>
      </c>
      <c r="I144" s="22"/>
      <c r="J144" s="110">
        <f t="shared" si="46"/>
        <v>1.5411737429891196E-2</v>
      </c>
      <c r="K144" s="30"/>
      <c r="L144" s="101"/>
      <c r="M144" s="114"/>
    </row>
    <row r="147" spans="1:13" ht="15.5" x14ac:dyDescent="0.35">
      <c r="A147" s="25" t="s">
        <v>39</v>
      </c>
    </row>
    <row r="148" spans="1:13" ht="15.5" x14ac:dyDescent="0.35">
      <c r="A148" s="26" t="s">
        <v>8</v>
      </c>
      <c r="B148" s="27" t="s">
        <v>9</v>
      </c>
      <c r="C148" s="26" t="s">
        <v>7</v>
      </c>
      <c r="D148" s="26" t="s">
        <v>6</v>
      </c>
      <c r="E148" s="99" t="s">
        <v>5</v>
      </c>
      <c r="F148" s="107" t="s">
        <v>12</v>
      </c>
      <c r="G148" s="107" t="s">
        <v>13</v>
      </c>
      <c r="H148" s="99" t="s">
        <v>4</v>
      </c>
      <c r="I148" s="26" t="s">
        <v>3</v>
      </c>
      <c r="J148" s="99" t="s">
        <v>14</v>
      </c>
      <c r="K148" s="28" t="s">
        <v>3</v>
      </c>
      <c r="L148" s="107" t="s">
        <v>15</v>
      </c>
      <c r="M148" s="107" t="s">
        <v>16</v>
      </c>
    </row>
    <row r="149" spans="1:13" ht="15.5" x14ac:dyDescent="0.35">
      <c r="A149" s="155" t="s">
        <v>11</v>
      </c>
      <c r="B149" s="9" t="s">
        <v>2</v>
      </c>
      <c r="C149" s="15">
        <v>26.434549059283999</v>
      </c>
      <c r="D149" s="15">
        <v>18.841156865199</v>
      </c>
      <c r="E149" s="100">
        <f t="shared" ref="E149:E156" si="48">C149-D149</f>
        <v>7.5933921940849984</v>
      </c>
      <c r="F149" s="108"/>
      <c r="G149" s="108">
        <f>E149-$F$152</f>
        <v>0.6626385756256985</v>
      </c>
      <c r="H149" s="108">
        <f t="shared" ref="H149:H156" si="49">2^-G149</f>
        <v>0.63172187024461868</v>
      </c>
      <c r="I149" s="12"/>
      <c r="J149" s="110">
        <f t="shared" ref="J149:J156" si="50">H149/$I$152</f>
        <v>0.58951370863986019</v>
      </c>
      <c r="K149" s="17"/>
      <c r="M149" s="112"/>
    </row>
    <row r="150" spans="1:13" ht="15.5" x14ac:dyDescent="0.35">
      <c r="A150" s="155"/>
      <c r="B150" s="9" t="s">
        <v>1</v>
      </c>
      <c r="C150" s="15">
        <v>24.7866952636024</v>
      </c>
      <c r="D150" s="15">
        <v>18.4577715164842</v>
      </c>
      <c r="E150" s="100">
        <f t="shared" si="48"/>
        <v>6.3289237471181998</v>
      </c>
      <c r="F150" s="108"/>
      <c r="G150" s="108">
        <f t="shared" ref="G150:G156" si="51">E150-$F$152</f>
        <v>-0.60182987134110011</v>
      </c>
      <c r="H150" s="108">
        <f t="shared" si="49"/>
        <v>1.5176402759055958</v>
      </c>
      <c r="I150" s="14"/>
      <c r="J150" s="110">
        <f t="shared" si="50"/>
        <v>1.4162399460444353</v>
      </c>
      <c r="K150" s="17">
        <f>AVERAGE(J149:J152)</f>
        <v>1</v>
      </c>
      <c r="L150" s="100">
        <f>STDEVA(J149:J152)</f>
        <v>0.41377554830002233</v>
      </c>
      <c r="M150" s="113">
        <f>L150/SQRT(4)</f>
        <v>0.20688777415001117</v>
      </c>
    </row>
    <row r="151" spans="1:13" ht="15.5" x14ac:dyDescent="0.35">
      <c r="A151" s="155"/>
      <c r="B151" s="9" t="s">
        <v>0</v>
      </c>
      <c r="C151" s="15">
        <v>24.743621428688002</v>
      </c>
      <c r="D151" s="15">
        <v>18.280294707840401</v>
      </c>
      <c r="E151" s="100">
        <f t="shared" si="48"/>
        <v>6.4633267208476006</v>
      </c>
      <c r="F151" s="108"/>
      <c r="G151" s="108">
        <f t="shared" si="51"/>
        <v>-0.46742689761169931</v>
      </c>
      <c r="H151" s="108">
        <f t="shared" si="49"/>
        <v>1.3826412735327742</v>
      </c>
      <c r="I151" s="14"/>
      <c r="J151" s="110">
        <f t="shared" si="50"/>
        <v>1.2902608303923739</v>
      </c>
      <c r="K151" s="17"/>
      <c r="L151" s="100"/>
      <c r="M151" s="113"/>
    </row>
    <row r="152" spans="1:13" ht="15.5" x14ac:dyDescent="0.35">
      <c r="A152" s="155"/>
      <c r="B152" s="9" t="s">
        <v>10</v>
      </c>
      <c r="C152" s="15">
        <v>25.427371811786401</v>
      </c>
      <c r="D152" s="15">
        <v>18.09</v>
      </c>
      <c r="E152" s="100">
        <f t="shared" si="48"/>
        <v>7.3373718117864009</v>
      </c>
      <c r="F152" s="108">
        <f>AVERAGE(E149:E152)</f>
        <v>6.9307536184592999</v>
      </c>
      <c r="G152" s="108">
        <f t="shared" si="51"/>
        <v>0.40661819332710092</v>
      </c>
      <c r="H152" s="108">
        <f t="shared" si="49"/>
        <v>0.75438965980717043</v>
      </c>
      <c r="I152" s="12">
        <f>AVERAGE(H149:H152)</f>
        <v>1.0715982698725397</v>
      </c>
      <c r="J152" s="110">
        <f t="shared" si="50"/>
        <v>0.70398551492333095</v>
      </c>
      <c r="L152" s="100"/>
      <c r="M152" s="113"/>
    </row>
    <row r="153" spans="1:13" ht="15.5" x14ac:dyDescent="0.35">
      <c r="A153" s="156" t="s">
        <v>40</v>
      </c>
      <c r="B153" s="9" t="s">
        <v>2</v>
      </c>
      <c r="C153" s="15">
        <v>30.168953958990699</v>
      </c>
      <c r="D153" s="15">
        <v>19.48</v>
      </c>
      <c r="E153" s="100">
        <f t="shared" si="48"/>
        <v>10.688953958990698</v>
      </c>
      <c r="F153" s="108"/>
      <c r="G153" s="108">
        <f t="shared" si="51"/>
        <v>3.7582003405313982</v>
      </c>
      <c r="H153" s="108">
        <f t="shared" si="49"/>
        <v>7.3904174064457637E-2</v>
      </c>
      <c r="I153" s="12"/>
      <c r="J153" s="110">
        <f t="shared" si="50"/>
        <v>6.8966305883685408E-2</v>
      </c>
      <c r="K153" s="17"/>
      <c r="M153" s="112"/>
    </row>
    <row r="154" spans="1:13" ht="15.5" x14ac:dyDescent="0.35">
      <c r="A154" s="157"/>
      <c r="B154" s="9" t="s">
        <v>1</v>
      </c>
      <c r="C154" s="15">
        <v>30.930141563596301</v>
      </c>
      <c r="D154" s="15">
        <v>18.12</v>
      </c>
      <c r="E154" s="100">
        <f t="shared" si="48"/>
        <v>12.8101415635963</v>
      </c>
      <c r="F154" s="108"/>
      <c r="G154" s="108">
        <f t="shared" si="51"/>
        <v>5.8793879451370001</v>
      </c>
      <c r="H154" s="108">
        <f t="shared" si="49"/>
        <v>1.698743751864653E-2</v>
      </c>
      <c r="I154" s="14"/>
      <c r="J154" s="110">
        <f t="shared" si="50"/>
        <v>1.585243089340475E-2</v>
      </c>
      <c r="K154" s="22">
        <f>AVERAGE(J153:J156)</f>
        <v>3.430146762035053E-2</v>
      </c>
      <c r="L154" s="100">
        <f>STDEVA(J153:J156)</f>
        <v>2.4011356383001961E-2</v>
      </c>
      <c r="M154" s="113">
        <f>L154/SQRT(4)</f>
        <v>1.2005678191500981E-2</v>
      </c>
    </row>
    <row r="155" spans="1:13" ht="15.5" x14ac:dyDescent="0.35">
      <c r="A155" s="157"/>
      <c r="B155" s="9" t="s">
        <v>0</v>
      </c>
      <c r="C155" s="15">
        <v>31.561661852814002</v>
      </c>
      <c r="D155" s="15">
        <v>19.149999999999999</v>
      </c>
      <c r="E155" s="100">
        <f t="shared" si="48"/>
        <v>12.411661852814003</v>
      </c>
      <c r="F155" s="108"/>
      <c r="G155" s="108">
        <f t="shared" si="51"/>
        <v>5.4809082343547031</v>
      </c>
      <c r="H155" s="108">
        <f t="shared" si="49"/>
        <v>2.2391449996945534E-2</v>
      </c>
      <c r="I155" s="14"/>
      <c r="J155" s="110">
        <f t="shared" si="50"/>
        <v>2.0895377145027365E-2</v>
      </c>
      <c r="K155" s="17"/>
      <c r="L155" s="100"/>
      <c r="M155" s="113"/>
    </row>
    <row r="156" spans="1:13" ht="15.5" x14ac:dyDescent="0.35">
      <c r="A156" s="158"/>
      <c r="B156" s="19" t="s">
        <v>10</v>
      </c>
      <c r="C156" s="20">
        <v>30.739871420298101</v>
      </c>
      <c r="D156" s="20">
        <v>18.920000000000002</v>
      </c>
      <c r="E156" s="101">
        <f t="shared" si="48"/>
        <v>11.819871420298099</v>
      </c>
      <c r="F156" s="101"/>
      <c r="G156" s="108">
        <f t="shared" si="51"/>
        <v>4.8891178018387995</v>
      </c>
      <c r="H156" s="108">
        <f t="shared" si="49"/>
        <v>3.374651184417659E-2</v>
      </c>
      <c r="I156" s="22"/>
      <c r="J156" s="110">
        <f t="shared" si="50"/>
        <v>3.1491756559284607E-2</v>
      </c>
      <c r="K156" s="30"/>
      <c r="L156" s="101"/>
      <c r="M156" s="114"/>
    </row>
    <row r="159" spans="1:13" ht="15.5" x14ac:dyDescent="0.35">
      <c r="A159" s="25" t="s">
        <v>41</v>
      </c>
    </row>
    <row r="160" spans="1:13" ht="15.5" x14ac:dyDescent="0.35">
      <c r="A160" s="26" t="s">
        <v>8</v>
      </c>
      <c r="B160" s="27" t="s">
        <v>9</v>
      </c>
      <c r="C160" s="26" t="s">
        <v>7</v>
      </c>
      <c r="D160" s="26" t="s">
        <v>6</v>
      </c>
      <c r="E160" s="99" t="s">
        <v>5</v>
      </c>
      <c r="F160" s="107" t="s">
        <v>12</v>
      </c>
      <c r="G160" s="107" t="s">
        <v>13</v>
      </c>
      <c r="H160" s="99" t="s">
        <v>4</v>
      </c>
      <c r="I160" s="26" t="s">
        <v>3</v>
      </c>
      <c r="J160" s="99" t="s">
        <v>14</v>
      </c>
      <c r="K160" s="28" t="s">
        <v>3</v>
      </c>
      <c r="L160" s="107" t="s">
        <v>15</v>
      </c>
      <c r="M160" s="107" t="s">
        <v>16</v>
      </c>
    </row>
    <row r="161" spans="1:13" ht="15.5" x14ac:dyDescent="0.35">
      <c r="A161" s="155" t="s">
        <v>11</v>
      </c>
      <c r="B161" s="9" t="s">
        <v>2</v>
      </c>
      <c r="C161" s="15">
        <v>21.5816376694968</v>
      </c>
      <c r="D161" s="15">
        <v>18.841156865199</v>
      </c>
      <c r="E161" s="100">
        <f t="shared" ref="E161:E168" si="52">C161-D161</f>
        <v>2.7404808042977997</v>
      </c>
      <c r="F161" s="108"/>
      <c r="G161" s="108">
        <f>E161-$F$164</f>
        <v>0.20672032834470055</v>
      </c>
      <c r="H161" s="108">
        <f t="shared" ref="H161:H168" si="53">2^-G161</f>
        <v>0.86650481521446565</v>
      </c>
      <c r="I161" s="12"/>
      <c r="J161" s="110">
        <f>H161/$I$164</f>
        <v>0.82281178130669741</v>
      </c>
      <c r="K161" s="17"/>
      <c r="M161" s="112"/>
    </row>
    <row r="162" spans="1:13" ht="15.5" x14ac:dyDescent="0.35">
      <c r="A162" s="155"/>
      <c r="B162" s="9" t="s">
        <v>1</v>
      </c>
      <c r="C162" s="15">
        <v>20.430724323285698</v>
      </c>
      <c r="D162" s="15">
        <v>18.4577715164842</v>
      </c>
      <c r="E162" s="100">
        <f t="shared" si="52"/>
        <v>1.9729528068014979</v>
      </c>
      <c r="F162" s="108"/>
      <c r="G162" s="108">
        <f t="shared" ref="G162:G168" si="54">E162-$F$164</f>
        <v>-0.5608076691516013</v>
      </c>
      <c r="H162" s="108">
        <f t="shared" si="53"/>
        <v>1.475094793798565</v>
      </c>
      <c r="I162" s="14"/>
      <c r="J162" s="110">
        <f t="shared" ref="J162:J168" si="55">H162/$I$164</f>
        <v>1.4007139413082519</v>
      </c>
      <c r="K162" s="17">
        <f>AVERAGE(J161:J164)</f>
        <v>1</v>
      </c>
      <c r="L162" s="100">
        <f>STDEVA(J161:J164)</f>
        <v>0.35775852169313599</v>
      </c>
      <c r="M162" s="113">
        <f>L162/SQRT(4)</f>
        <v>0.17887926084656799</v>
      </c>
    </row>
    <row r="163" spans="1:13" ht="15.5" x14ac:dyDescent="0.35">
      <c r="A163" s="155"/>
      <c r="B163" s="9" t="s">
        <v>0</v>
      </c>
      <c r="C163" s="15">
        <v>20.5040236953819</v>
      </c>
      <c r="D163" s="15">
        <v>18.280294707840401</v>
      </c>
      <c r="E163" s="100">
        <f t="shared" si="52"/>
        <v>2.2237289875414987</v>
      </c>
      <c r="F163" s="108"/>
      <c r="G163" s="108">
        <f t="shared" si="54"/>
        <v>-0.31003148841160044</v>
      </c>
      <c r="H163" s="108">
        <f t="shared" si="53"/>
        <v>1.2397347582231166</v>
      </c>
      <c r="I163" s="14"/>
      <c r="J163" s="110">
        <f t="shared" si="55"/>
        <v>1.1772218074851861</v>
      </c>
      <c r="K163" s="17"/>
      <c r="L163" s="100"/>
      <c r="M163" s="113"/>
    </row>
    <row r="164" spans="1:13" ht="15.5" x14ac:dyDescent="0.35">
      <c r="A164" s="155"/>
      <c r="B164" s="9" t="s">
        <v>10</v>
      </c>
      <c r="C164" s="15">
        <v>21.2878793051716</v>
      </c>
      <c r="D164" s="15">
        <v>18.09</v>
      </c>
      <c r="E164" s="100">
        <f t="shared" si="52"/>
        <v>3.1978793051716004</v>
      </c>
      <c r="F164" s="108">
        <f>AVERAGE(E161:E164)</f>
        <v>2.5337604759530992</v>
      </c>
      <c r="G164" s="108">
        <f t="shared" si="54"/>
        <v>0.66411882921850118</v>
      </c>
      <c r="H164" s="108">
        <f t="shared" si="53"/>
        <v>0.63107403478444535</v>
      </c>
      <c r="I164" s="12">
        <f>AVERAGE(H161:H164)</f>
        <v>1.0531021005051482</v>
      </c>
      <c r="J164" s="110">
        <f t="shared" si="55"/>
        <v>0.59925246989986447</v>
      </c>
      <c r="L164" s="100"/>
      <c r="M164" s="113"/>
    </row>
    <row r="165" spans="1:13" ht="15.5" x14ac:dyDescent="0.35">
      <c r="A165" s="156" t="s">
        <v>42</v>
      </c>
      <c r="B165" s="9" t="s">
        <v>2</v>
      </c>
      <c r="C165" s="15">
        <v>30.849251802385201</v>
      </c>
      <c r="D165" s="15">
        <v>20.0558869397119</v>
      </c>
      <c r="E165" s="100">
        <f t="shared" si="52"/>
        <v>10.7933648626733</v>
      </c>
      <c r="F165" s="108"/>
      <c r="G165" s="108">
        <f t="shared" si="54"/>
        <v>8.259604386720202</v>
      </c>
      <c r="H165" s="108">
        <f t="shared" si="53"/>
        <v>3.2629568248416121E-3</v>
      </c>
      <c r="I165" s="12"/>
      <c r="J165" s="110">
        <f t="shared" si="55"/>
        <v>3.0984240020758185E-3</v>
      </c>
      <c r="K165" s="17"/>
      <c r="M165" s="112"/>
    </row>
    <row r="166" spans="1:13" ht="15.5" x14ac:dyDescent="0.35">
      <c r="A166" s="157"/>
      <c r="B166" s="9" t="s">
        <v>1</v>
      </c>
      <c r="C166" s="15">
        <v>29.082262984820101</v>
      </c>
      <c r="D166" s="15">
        <v>19.800156478311699</v>
      </c>
      <c r="E166" s="100">
        <f t="shared" si="52"/>
        <v>9.2821065065084021</v>
      </c>
      <c r="F166" s="108"/>
      <c r="G166" s="108">
        <f t="shared" si="54"/>
        <v>6.7483460305553029</v>
      </c>
      <c r="H166" s="108">
        <f t="shared" si="53"/>
        <v>9.3013379412277622E-3</v>
      </c>
      <c r="I166" s="14"/>
      <c r="J166" s="110">
        <f t="shared" si="55"/>
        <v>8.832323035692485E-3</v>
      </c>
      <c r="K166" s="22">
        <f>AVERAGE(J165:J168)</f>
        <v>5.0366916537896936E-3</v>
      </c>
      <c r="L166" s="100">
        <f>STDEVA(J165:J168)</f>
        <v>2.5747895821936033E-3</v>
      </c>
      <c r="M166" s="113">
        <f>L166/SQRT(4)</f>
        <v>1.2873947910968016E-3</v>
      </c>
    </row>
    <row r="167" spans="1:13" ht="15.5" x14ac:dyDescent="0.35">
      <c r="A167" s="157"/>
      <c r="B167" s="9" t="s">
        <v>0</v>
      </c>
      <c r="C167" s="15">
        <v>30.1215127880495</v>
      </c>
      <c r="D167" s="15">
        <v>19.7362962477455</v>
      </c>
      <c r="E167" s="100">
        <f t="shared" si="52"/>
        <v>10.385216540304</v>
      </c>
      <c r="F167" s="108"/>
      <c r="G167" s="108">
        <f t="shared" si="54"/>
        <v>7.8514560643509013</v>
      </c>
      <c r="H167" s="108">
        <f t="shared" si="53"/>
        <v>4.3298835361387658E-3</v>
      </c>
      <c r="I167" s="14"/>
      <c r="J167" s="110">
        <f t="shared" si="55"/>
        <v>4.1115515143895576E-3</v>
      </c>
      <c r="K167" s="17"/>
      <c r="L167" s="100"/>
      <c r="M167" s="113"/>
    </row>
    <row r="168" spans="1:13" ht="15.5" x14ac:dyDescent="0.35">
      <c r="A168" s="158"/>
      <c r="B168" s="19" t="s">
        <v>10</v>
      </c>
      <c r="C168" s="20">
        <v>30.3003717965343</v>
      </c>
      <c r="D168" s="20">
        <v>19.912667613004398</v>
      </c>
      <c r="E168" s="101">
        <f t="shared" si="52"/>
        <v>10.387704183529902</v>
      </c>
      <c r="F168" s="101"/>
      <c r="G168" s="108">
        <f t="shared" si="54"/>
        <v>7.8539437075768026</v>
      </c>
      <c r="H168" s="108">
        <f t="shared" si="53"/>
        <v>4.3224239386025574E-3</v>
      </c>
      <c r="I168" s="22"/>
      <c r="J168" s="110">
        <f t="shared" si="55"/>
        <v>4.1044680630009118E-3</v>
      </c>
      <c r="K168" s="30"/>
      <c r="L168" s="101"/>
      <c r="M168" s="114"/>
    </row>
    <row r="171" spans="1:13" ht="15.5" x14ac:dyDescent="0.35">
      <c r="A171" s="25" t="s">
        <v>43</v>
      </c>
    </row>
    <row r="172" spans="1:13" ht="15.5" x14ac:dyDescent="0.35">
      <c r="A172" s="26" t="s">
        <v>8</v>
      </c>
      <c r="B172" s="27" t="s">
        <v>9</v>
      </c>
      <c r="C172" s="26" t="s">
        <v>7</v>
      </c>
      <c r="D172" s="26" t="s">
        <v>6</v>
      </c>
      <c r="E172" s="99" t="s">
        <v>5</v>
      </c>
      <c r="F172" s="107" t="s">
        <v>12</v>
      </c>
      <c r="G172" s="107" t="s">
        <v>13</v>
      </c>
      <c r="H172" s="99" t="s">
        <v>4</v>
      </c>
      <c r="I172" s="26" t="s">
        <v>3</v>
      </c>
      <c r="J172" s="99" t="s">
        <v>14</v>
      </c>
      <c r="K172" s="28" t="s">
        <v>3</v>
      </c>
      <c r="L172" s="107" t="s">
        <v>15</v>
      </c>
      <c r="M172" s="107" t="s">
        <v>16</v>
      </c>
    </row>
    <row r="173" spans="1:13" ht="15.5" x14ac:dyDescent="0.35">
      <c r="A173" s="155" t="s">
        <v>11</v>
      </c>
      <c r="B173" s="9" t="s">
        <v>2</v>
      </c>
      <c r="C173" s="15">
        <v>23.820693079482002</v>
      </c>
      <c r="D173" s="15">
        <v>18.508061977240398</v>
      </c>
      <c r="E173" s="100">
        <f t="shared" ref="E173:E180" si="56">C173-D173</f>
        <v>5.3126311022416033</v>
      </c>
      <c r="F173" s="108"/>
      <c r="G173" s="108">
        <f t="shared" ref="G173:G180" si="57">E173-$F$176</f>
        <v>0.5259973712884527</v>
      </c>
      <c r="H173" s="108">
        <f t="shared" ref="H173:H180" si="58">2^-G173</f>
        <v>0.69447883328017113</v>
      </c>
      <c r="I173" s="12"/>
      <c r="J173" s="110">
        <f>H173/$I$176</f>
        <v>0.63709909946184973</v>
      </c>
      <c r="K173" s="17"/>
      <c r="M173" s="112"/>
    </row>
    <row r="174" spans="1:13" ht="15.5" x14ac:dyDescent="0.35">
      <c r="A174" s="155"/>
      <c r="B174" s="9" t="s">
        <v>1</v>
      </c>
      <c r="C174" s="15">
        <v>22.9227373502058</v>
      </c>
      <c r="D174" s="15">
        <v>18.151857426789899</v>
      </c>
      <c r="E174" s="100">
        <f t="shared" si="56"/>
        <v>4.7708799234159009</v>
      </c>
      <c r="F174" s="108"/>
      <c r="G174" s="108">
        <f t="shared" si="57"/>
        <v>-1.5753807537249642E-2</v>
      </c>
      <c r="H174" s="108">
        <f t="shared" si="58"/>
        <v>1.0109795448857577</v>
      </c>
      <c r="I174" s="14"/>
      <c r="J174" s="110">
        <f t="shared" ref="J174:J180" si="59">H174/$I$176</f>
        <v>0.92744965973818572</v>
      </c>
      <c r="K174" s="17">
        <f>AVERAGE(J173:J176)</f>
        <v>1</v>
      </c>
      <c r="L174" s="100">
        <f>STDEVA(J173:J176)</f>
        <v>0.5164522657908226</v>
      </c>
      <c r="M174" s="113">
        <f>L174/SQRT(4)</f>
        <v>0.2582261328954113</v>
      </c>
    </row>
    <row r="175" spans="1:13" ht="15.5" x14ac:dyDescent="0.35">
      <c r="A175" s="155"/>
      <c r="B175" s="9" t="s">
        <v>0</v>
      </c>
      <c r="C175" s="15">
        <v>23.1441647286278</v>
      </c>
      <c r="D175" s="15">
        <v>17.935323104773101</v>
      </c>
      <c r="E175" s="100">
        <f t="shared" si="56"/>
        <v>5.2088416238546991</v>
      </c>
      <c r="F175" s="108"/>
      <c r="G175" s="108">
        <f t="shared" si="57"/>
        <v>0.42220789290154848</v>
      </c>
      <c r="H175" s="108">
        <f t="shared" si="58"/>
        <v>0.74628164443238509</v>
      </c>
      <c r="I175" s="14"/>
      <c r="J175" s="110">
        <f t="shared" si="59"/>
        <v>0.68462182118222981</v>
      </c>
      <c r="K175" s="17"/>
      <c r="L175" s="100"/>
      <c r="M175" s="113"/>
    </row>
    <row r="176" spans="1:13" ht="15.5" x14ac:dyDescent="0.35">
      <c r="A176" s="155"/>
      <c r="B176" s="9" t="s">
        <v>10</v>
      </c>
      <c r="C176" s="15">
        <v>21.957444617557901</v>
      </c>
      <c r="D176" s="15">
        <v>18.103262343257501</v>
      </c>
      <c r="E176" s="100">
        <f t="shared" si="56"/>
        <v>3.8541822743003991</v>
      </c>
      <c r="F176" s="108">
        <f>AVERAGE(E173:E176)</f>
        <v>4.7866337309531506</v>
      </c>
      <c r="G176" s="108">
        <f t="shared" si="57"/>
        <v>-0.93245145665275153</v>
      </c>
      <c r="H176" s="108">
        <f t="shared" si="58"/>
        <v>1.9085162318323665</v>
      </c>
      <c r="I176" s="12">
        <f>AVERAGE(H173:H176)</f>
        <v>1.0900640636076702</v>
      </c>
      <c r="J176" s="110">
        <f t="shared" si="59"/>
        <v>1.7508294196177345</v>
      </c>
      <c r="L176" s="100"/>
      <c r="M176" s="113"/>
    </row>
    <row r="177" spans="1:13" ht="15.5" x14ac:dyDescent="0.35">
      <c r="A177" s="156" t="s">
        <v>44</v>
      </c>
      <c r="B177" s="9" t="s">
        <v>2</v>
      </c>
      <c r="C177" s="15">
        <v>31.422291436302601</v>
      </c>
      <c r="D177" s="15">
        <v>18.93</v>
      </c>
      <c r="E177" s="100">
        <f t="shared" si="56"/>
        <v>12.492291436302601</v>
      </c>
      <c r="F177" s="108"/>
      <c r="G177" s="108">
        <f t="shared" si="57"/>
        <v>7.7056577053494504</v>
      </c>
      <c r="H177" s="108">
        <f t="shared" si="58"/>
        <v>4.7903350949075928E-3</v>
      </c>
      <c r="I177" s="12"/>
      <c r="J177" s="110">
        <f t="shared" si="59"/>
        <v>4.3945445546140893E-3</v>
      </c>
      <c r="K177" s="17"/>
      <c r="M177" s="112"/>
    </row>
    <row r="178" spans="1:13" ht="15.5" x14ac:dyDescent="0.35">
      <c r="A178" s="157"/>
      <c r="B178" s="9" t="s">
        <v>1</v>
      </c>
      <c r="C178" s="15">
        <v>31.3514244171866</v>
      </c>
      <c r="D178" s="15">
        <v>18.09</v>
      </c>
      <c r="E178" s="100">
        <f t="shared" si="56"/>
        <v>13.2614244171866</v>
      </c>
      <c r="F178" s="108"/>
      <c r="G178" s="108">
        <f t="shared" si="57"/>
        <v>8.4747906862334492</v>
      </c>
      <c r="H178" s="108">
        <f t="shared" si="58"/>
        <v>2.8108249281058669E-3</v>
      </c>
      <c r="I178" s="14"/>
      <c r="J178" s="110">
        <f t="shared" si="59"/>
        <v>2.5785869124087769E-3</v>
      </c>
      <c r="K178" s="22">
        <f>AVERAGE(J177:J180)</f>
        <v>3.1315279330531185E-3</v>
      </c>
      <c r="L178" s="100">
        <f>STDEVA(J177:J180)</f>
        <v>1.1535060115656969E-3</v>
      </c>
      <c r="M178" s="113">
        <f>L178/SQRT(4)</f>
        <v>5.7675300578284843E-4</v>
      </c>
    </row>
    <row r="179" spans="1:13" ht="15.5" x14ac:dyDescent="0.35">
      <c r="A179" s="157"/>
      <c r="B179" s="9" t="s">
        <v>0</v>
      </c>
      <c r="C179" s="15">
        <v>31.836777227056199</v>
      </c>
      <c r="D179" s="15">
        <v>19.11</v>
      </c>
      <c r="E179" s="100">
        <f t="shared" si="56"/>
        <v>12.7267772270562</v>
      </c>
      <c r="F179" s="108"/>
      <c r="G179" s="108">
        <f t="shared" si="57"/>
        <v>7.9401434961030493</v>
      </c>
      <c r="H179" s="108">
        <f t="shared" si="58"/>
        <v>4.0717268682315903E-3</v>
      </c>
      <c r="I179" s="14"/>
      <c r="J179" s="110">
        <f t="shared" si="59"/>
        <v>3.7353096979968544E-3</v>
      </c>
      <c r="K179" s="17"/>
      <c r="L179" s="100"/>
      <c r="M179" s="113"/>
    </row>
    <row r="180" spans="1:13" ht="15.5" x14ac:dyDescent="0.35">
      <c r="A180" s="158"/>
      <c r="B180" s="19" t="s">
        <v>10</v>
      </c>
      <c r="C180" s="20">
        <v>30.995914339607499</v>
      </c>
      <c r="D180" s="20">
        <v>17.23</v>
      </c>
      <c r="E180" s="101">
        <f t="shared" si="56"/>
        <v>13.765914339607498</v>
      </c>
      <c r="F180" s="101"/>
      <c r="G180" s="108">
        <f t="shared" si="57"/>
        <v>8.9792806086543475</v>
      </c>
      <c r="H180" s="108">
        <f t="shared" si="58"/>
        <v>1.9813773647741916E-3</v>
      </c>
      <c r="I180" s="22"/>
      <c r="J180" s="110">
        <f t="shared" si="59"/>
        <v>1.8176705671927537E-3</v>
      </c>
      <c r="K180" s="30"/>
      <c r="L180" s="101"/>
      <c r="M180" s="114"/>
    </row>
    <row r="183" spans="1:13" ht="15.5" x14ac:dyDescent="0.35">
      <c r="A183" s="25" t="s">
        <v>45</v>
      </c>
    </row>
    <row r="184" spans="1:13" ht="15.5" x14ac:dyDescent="0.35">
      <c r="A184" s="26" t="s">
        <v>8</v>
      </c>
      <c r="B184" s="27" t="s">
        <v>9</v>
      </c>
      <c r="C184" s="26" t="s">
        <v>7</v>
      </c>
      <c r="D184" s="26" t="s">
        <v>6</v>
      </c>
      <c r="E184" s="99" t="s">
        <v>5</v>
      </c>
      <c r="F184" s="107" t="s">
        <v>12</v>
      </c>
      <c r="G184" s="107" t="s">
        <v>13</v>
      </c>
      <c r="H184" s="99" t="s">
        <v>4</v>
      </c>
      <c r="I184" s="26" t="s">
        <v>3</v>
      </c>
      <c r="J184" s="99" t="s">
        <v>14</v>
      </c>
      <c r="K184" s="28" t="s">
        <v>3</v>
      </c>
      <c r="L184" s="107" t="s">
        <v>15</v>
      </c>
      <c r="M184" s="107" t="s">
        <v>16</v>
      </c>
    </row>
    <row r="185" spans="1:13" ht="15.5" x14ac:dyDescent="0.35">
      <c r="A185" s="155" t="s">
        <v>11</v>
      </c>
      <c r="B185" s="9" t="s">
        <v>2</v>
      </c>
      <c r="C185" s="15">
        <v>22.874651962040101</v>
      </c>
      <c r="D185" s="15">
        <v>18.508061977240398</v>
      </c>
      <c r="E185" s="100">
        <f t="shared" ref="E185:E192" si="60">C185-D185</f>
        <v>4.3665899847997025</v>
      </c>
      <c r="F185" s="108"/>
      <c r="G185" s="108">
        <f t="shared" ref="G185:G192" si="61">E185-$F$188</f>
        <v>0.21877005100065183</v>
      </c>
      <c r="H185" s="108">
        <f t="shared" ref="H185:H192" si="62">2^-G185</f>
        <v>0.85929770620560308</v>
      </c>
      <c r="I185" s="12"/>
      <c r="J185" s="110">
        <f>H185/$I$188</f>
        <v>0.85037421520716672</v>
      </c>
      <c r="K185" s="17"/>
      <c r="M185" s="112"/>
    </row>
    <row r="186" spans="1:13" ht="15.5" x14ac:dyDescent="0.35">
      <c r="A186" s="155"/>
      <c r="B186" s="9" t="s">
        <v>1</v>
      </c>
      <c r="C186" s="15">
        <v>22.283523200039902</v>
      </c>
      <c r="D186" s="15">
        <v>18.151857426789899</v>
      </c>
      <c r="E186" s="100">
        <f t="shared" si="60"/>
        <v>4.1316657732500026</v>
      </c>
      <c r="F186" s="108"/>
      <c r="G186" s="108">
        <f t="shared" si="61"/>
        <v>-1.6154160549048058E-2</v>
      </c>
      <c r="H186" s="108">
        <f t="shared" si="62"/>
        <v>1.0112601342403944</v>
      </c>
      <c r="I186" s="14"/>
      <c r="J186" s="110">
        <f t="shared" ref="J186:J192" si="63">H186/$I$188</f>
        <v>1.000758569253309</v>
      </c>
      <c r="K186" s="17">
        <f>AVERAGE(J185:J188)</f>
        <v>1</v>
      </c>
      <c r="L186" s="100">
        <f>STDEVA(J185:J188)</f>
        <v>0.1715341006083079</v>
      </c>
      <c r="M186" s="113">
        <f>L186/SQRT(4)</f>
        <v>8.5767050304153949E-2</v>
      </c>
    </row>
    <row r="187" spans="1:13" ht="15.5" x14ac:dyDescent="0.35">
      <c r="A187" s="155"/>
      <c r="B187" s="9" t="s">
        <v>0</v>
      </c>
      <c r="C187" s="15">
        <v>21.757781015502999</v>
      </c>
      <c r="D187" s="15">
        <v>17.935323104773101</v>
      </c>
      <c r="E187" s="100">
        <f t="shared" si="60"/>
        <v>3.8224579107298986</v>
      </c>
      <c r="F187" s="108"/>
      <c r="G187" s="108">
        <f t="shared" si="61"/>
        <v>-0.32536202306915207</v>
      </c>
      <c r="H187" s="108">
        <f t="shared" si="62"/>
        <v>1.2529788157553585</v>
      </c>
      <c r="I187" s="14"/>
      <c r="J187" s="110">
        <f t="shared" si="63"/>
        <v>1.2399670910610194</v>
      </c>
      <c r="K187" s="17"/>
      <c r="L187" s="100"/>
      <c r="M187" s="113"/>
    </row>
    <row r="188" spans="1:13" ht="15.5" x14ac:dyDescent="0.35">
      <c r="A188" s="155"/>
      <c r="B188" s="9" t="s">
        <v>10</v>
      </c>
      <c r="C188" s="15">
        <v>22.3738284096741</v>
      </c>
      <c r="D188" s="15">
        <v>18.103262343257501</v>
      </c>
      <c r="E188" s="100">
        <f t="shared" si="60"/>
        <v>4.270566066416599</v>
      </c>
      <c r="F188" s="108">
        <f>AVERAGE(E185:E188)</f>
        <v>4.1478199337990507</v>
      </c>
      <c r="G188" s="108">
        <f t="shared" si="61"/>
        <v>0.1227461326175483</v>
      </c>
      <c r="H188" s="108">
        <f t="shared" si="62"/>
        <v>0.91843776324297033</v>
      </c>
      <c r="I188" s="12">
        <f>AVERAGE(H185:H188)</f>
        <v>1.0104936048610815</v>
      </c>
      <c r="J188" s="110">
        <f t="shared" si="63"/>
        <v>0.9089001244785051</v>
      </c>
      <c r="L188" s="100"/>
      <c r="M188" s="113"/>
    </row>
    <row r="189" spans="1:13" ht="15.5" x14ac:dyDescent="0.35">
      <c r="A189" s="156" t="s">
        <v>46</v>
      </c>
      <c r="B189" s="9" t="s">
        <v>2</v>
      </c>
      <c r="C189" s="15">
        <v>28.307726748072199</v>
      </c>
      <c r="D189" s="15">
        <v>18.75</v>
      </c>
      <c r="E189" s="100">
        <f t="shared" si="60"/>
        <v>9.5577267480721986</v>
      </c>
      <c r="F189" s="108"/>
      <c r="G189" s="108">
        <f t="shared" si="61"/>
        <v>5.4099068142731479</v>
      </c>
      <c r="H189" s="108">
        <f t="shared" si="62"/>
        <v>2.3520999634089976E-2</v>
      </c>
      <c r="I189" s="12"/>
      <c r="J189" s="110">
        <f t="shared" si="63"/>
        <v>2.3276742693808087E-2</v>
      </c>
      <c r="K189" s="17"/>
      <c r="M189" s="112"/>
    </row>
    <row r="190" spans="1:13" ht="15.5" x14ac:dyDescent="0.35">
      <c r="A190" s="157"/>
      <c r="B190" s="9" t="s">
        <v>1</v>
      </c>
      <c r="C190" s="15">
        <v>28.768253644152001</v>
      </c>
      <c r="D190" s="15">
        <v>18.75</v>
      </c>
      <c r="E190" s="100">
        <f t="shared" si="60"/>
        <v>10.018253644152001</v>
      </c>
      <c r="F190" s="108"/>
      <c r="G190" s="108">
        <f t="shared" si="61"/>
        <v>5.87043371035295</v>
      </c>
      <c r="H190" s="108">
        <f t="shared" si="62"/>
        <v>1.7093199664717937E-2</v>
      </c>
      <c r="I190" s="14"/>
      <c r="J190" s="110">
        <f t="shared" si="63"/>
        <v>1.6915693065734778E-2</v>
      </c>
      <c r="K190" s="22">
        <f>AVERAGE(J189:J192)</f>
        <v>1.8741001444129168E-2</v>
      </c>
      <c r="L190" s="100">
        <f>STDEVA(J189:J192)</f>
        <v>4.5169215896676768E-3</v>
      </c>
      <c r="M190" s="113">
        <f>L190/SQRT(4)</f>
        <v>2.2584607948338384E-3</v>
      </c>
    </row>
    <row r="191" spans="1:13" ht="15.5" x14ac:dyDescent="0.35">
      <c r="A191" s="157"/>
      <c r="B191" s="9" t="s">
        <v>0</v>
      </c>
      <c r="C191" s="15">
        <v>29.0667974723114</v>
      </c>
      <c r="D191" s="15">
        <v>18.7</v>
      </c>
      <c r="E191" s="100">
        <f t="shared" si="60"/>
        <v>10.366797472311401</v>
      </c>
      <c r="F191" s="108"/>
      <c r="G191" s="108">
        <f t="shared" si="61"/>
        <v>6.21897753851235</v>
      </c>
      <c r="H191" s="108">
        <f t="shared" si="62"/>
        <v>1.3424595803523266E-2</v>
      </c>
      <c r="I191" s="14"/>
      <c r="J191" s="110">
        <f t="shared" si="63"/>
        <v>1.328518630790229E-2</v>
      </c>
      <c r="K191" s="17"/>
      <c r="L191" s="100"/>
      <c r="M191" s="113"/>
    </row>
    <row r="192" spans="1:13" ht="15.5" x14ac:dyDescent="0.35">
      <c r="A192" s="158"/>
      <c r="B192" s="19" t="s">
        <v>10</v>
      </c>
      <c r="C192" s="20">
        <v>28.5031932435298</v>
      </c>
      <c r="D192" s="20">
        <v>18.829999999999998</v>
      </c>
      <c r="E192" s="101">
        <f t="shared" si="60"/>
        <v>9.673193243529802</v>
      </c>
      <c r="F192" s="101"/>
      <c r="G192" s="108">
        <f t="shared" si="61"/>
        <v>5.5253733097307514</v>
      </c>
      <c r="H192" s="108">
        <f t="shared" si="62"/>
        <v>2.1711853329608094E-2</v>
      </c>
      <c r="I192" s="22"/>
      <c r="J192" s="110">
        <f t="shared" si="63"/>
        <v>2.1486383709071518E-2</v>
      </c>
      <c r="K192" s="30"/>
      <c r="L192" s="101"/>
      <c r="M192" s="114"/>
    </row>
    <row r="196" spans="1:13" ht="15.5" x14ac:dyDescent="0.35">
      <c r="A196" s="25" t="s">
        <v>47</v>
      </c>
    </row>
    <row r="197" spans="1:13" ht="15.5" x14ac:dyDescent="0.35">
      <c r="A197" s="26" t="s">
        <v>8</v>
      </c>
      <c r="B197" s="27" t="s">
        <v>9</v>
      </c>
      <c r="C197" s="26" t="s">
        <v>7</v>
      </c>
      <c r="D197" s="26" t="s">
        <v>6</v>
      </c>
      <c r="E197" s="99" t="s">
        <v>5</v>
      </c>
      <c r="F197" s="107" t="s">
        <v>12</v>
      </c>
      <c r="G197" s="107" t="s">
        <v>13</v>
      </c>
      <c r="H197" s="99" t="s">
        <v>4</v>
      </c>
      <c r="I197" s="26" t="s">
        <v>3</v>
      </c>
      <c r="J197" s="99" t="s">
        <v>14</v>
      </c>
      <c r="K197" s="28" t="s">
        <v>3</v>
      </c>
      <c r="L197" s="107" t="s">
        <v>15</v>
      </c>
      <c r="M197" s="107" t="s">
        <v>16</v>
      </c>
    </row>
    <row r="198" spans="1:13" ht="15.5" x14ac:dyDescent="0.35">
      <c r="A198" s="155" t="s">
        <v>11</v>
      </c>
      <c r="B198" s="9" t="s">
        <v>2</v>
      </c>
      <c r="C198" s="15">
        <v>24.013280723758101</v>
      </c>
      <c r="D198" s="15">
        <v>17.688852068184602</v>
      </c>
      <c r="E198" s="100">
        <f t="shared" ref="E198:E205" si="64">C198-D198</f>
        <v>6.3244286555734988</v>
      </c>
      <c r="F198" s="108"/>
      <c r="G198" s="108">
        <f t="shared" ref="G198:G205" si="65">E198-$F$201</f>
        <v>0.23822477661427399</v>
      </c>
      <c r="H198" s="108">
        <f t="shared" ref="H198:H205" si="66">2^-G198</f>
        <v>0.84778786621544966</v>
      </c>
      <c r="I198" s="12"/>
      <c r="J198" s="110">
        <f>H198/$I$201</f>
        <v>0.81697323795749333</v>
      </c>
      <c r="K198" s="17"/>
      <c r="M198" s="112"/>
    </row>
    <row r="199" spans="1:13" ht="15.5" x14ac:dyDescent="0.35">
      <c r="A199" s="155"/>
      <c r="B199" s="9" t="s">
        <v>1</v>
      </c>
      <c r="C199" s="15">
        <v>23.534624646461701</v>
      </c>
      <c r="D199" s="15">
        <v>16.995110629938701</v>
      </c>
      <c r="E199" s="100">
        <f t="shared" si="64"/>
        <v>6.5395140165230004</v>
      </c>
      <c r="F199" s="108"/>
      <c r="G199" s="108">
        <f t="shared" si="65"/>
        <v>0.45331013756377558</v>
      </c>
      <c r="H199" s="108">
        <f t="shared" si="66"/>
        <v>0.73036516508184668</v>
      </c>
      <c r="I199" s="14"/>
      <c r="J199" s="110">
        <f t="shared" ref="J199:J205" si="67">H199/$I$201</f>
        <v>0.70381851119421179</v>
      </c>
      <c r="K199" s="17">
        <f>AVERAGE(J198:J201)</f>
        <v>1</v>
      </c>
      <c r="L199" s="100">
        <f>STDEVA(J198:J201)</f>
        <v>0.32135796315620418</v>
      </c>
      <c r="M199" s="113">
        <f>L199/SQRT(4)</f>
        <v>0.16067898157810209</v>
      </c>
    </row>
    <row r="200" spans="1:13" ht="15.5" x14ac:dyDescent="0.35">
      <c r="A200" s="155"/>
      <c r="B200" s="9" t="s">
        <v>0</v>
      </c>
      <c r="C200" s="15">
        <v>23.175533650601299</v>
      </c>
      <c r="D200" s="15">
        <v>17.660432342700599</v>
      </c>
      <c r="E200" s="100">
        <f t="shared" si="64"/>
        <v>5.5151013079007001</v>
      </c>
      <c r="F200" s="108"/>
      <c r="G200" s="108">
        <f t="shared" si="65"/>
        <v>-0.57110257105852469</v>
      </c>
      <c r="H200" s="108">
        <f t="shared" si="66"/>
        <v>1.4856585425338216</v>
      </c>
      <c r="I200" s="14"/>
      <c r="J200" s="110">
        <f t="shared" si="67"/>
        <v>1.43165916659229</v>
      </c>
      <c r="K200" s="17"/>
      <c r="L200" s="100"/>
      <c r="M200" s="113"/>
    </row>
    <row r="201" spans="1:13" ht="15.5" x14ac:dyDescent="0.35">
      <c r="A201" s="155"/>
      <c r="B201" s="9" t="s">
        <v>10</v>
      </c>
      <c r="C201" s="15">
        <v>23.236678913394901</v>
      </c>
      <c r="D201" s="15">
        <v>17.270907377555201</v>
      </c>
      <c r="E201" s="100">
        <f t="shared" si="64"/>
        <v>5.9657715358396999</v>
      </c>
      <c r="F201" s="108">
        <f>AVERAGE(E198:E201)</f>
        <v>6.0862038789592248</v>
      </c>
      <c r="G201" s="108">
        <f t="shared" si="65"/>
        <v>-0.12043234311952489</v>
      </c>
      <c r="H201" s="108">
        <f t="shared" si="66"/>
        <v>1.0870605812225564</v>
      </c>
      <c r="I201" s="12">
        <f>AVERAGE(H198:H201)</f>
        <v>1.0377180387634186</v>
      </c>
      <c r="J201" s="110">
        <f t="shared" si="67"/>
        <v>1.0475490842560047</v>
      </c>
      <c r="L201" s="100"/>
      <c r="M201" s="113"/>
    </row>
    <row r="202" spans="1:13" ht="15.5" x14ac:dyDescent="0.35">
      <c r="A202" s="156" t="s">
        <v>48</v>
      </c>
      <c r="B202" s="9" t="s">
        <v>2</v>
      </c>
      <c r="C202" s="15">
        <v>25.070266260175099</v>
      </c>
      <c r="D202" s="15">
        <v>17.230729983953498</v>
      </c>
      <c r="E202" s="100">
        <f t="shared" si="64"/>
        <v>7.839536276221601</v>
      </c>
      <c r="F202" s="108"/>
      <c r="G202" s="108">
        <f t="shared" si="65"/>
        <v>1.7533323972623762</v>
      </c>
      <c r="H202" s="108">
        <f t="shared" si="66"/>
        <v>0.29661585118178868</v>
      </c>
      <c r="I202" s="12"/>
      <c r="J202" s="110">
        <f t="shared" si="67"/>
        <v>0.28583472590998477</v>
      </c>
      <c r="K202" s="17"/>
      <c r="M202" s="112"/>
    </row>
    <row r="203" spans="1:13" ht="15.5" x14ac:dyDescent="0.35">
      <c r="A203" s="157"/>
      <c r="B203" s="9" t="s">
        <v>1</v>
      </c>
      <c r="C203" s="15">
        <v>25.3732640227866</v>
      </c>
      <c r="D203" s="15">
        <v>17.465907950800201</v>
      </c>
      <c r="E203" s="100">
        <f t="shared" si="64"/>
        <v>7.9073560719863991</v>
      </c>
      <c r="F203" s="108"/>
      <c r="G203" s="108">
        <f t="shared" si="65"/>
        <v>1.8211521930271743</v>
      </c>
      <c r="H203" s="108">
        <f t="shared" si="66"/>
        <v>0.28299487021064235</v>
      </c>
      <c r="I203" s="14"/>
      <c r="J203" s="110">
        <f t="shared" si="67"/>
        <v>0.2727088280626489</v>
      </c>
      <c r="K203" s="22">
        <f>AVERAGE(J202:J205)</f>
        <v>0.25338723403704877</v>
      </c>
      <c r="L203" s="100">
        <f>STDEVA(J202:J205)</f>
        <v>6.008098463097962E-2</v>
      </c>
      <c r="M203" s="113">
        <f>L203/SQRT(4)</f>
        <v>3.004049231548981E-2</v>
      </c>
    </row>
    <row r="204" spans="1:13" ht="15.5" x14ac:dyDescent="0.35">
      <c r="A204" s="157"/>
      <c r="B204" s="9" t="s">
        <v>0</v>
      </c>
      <c r="C204" s="15">
        <v>26.087371037881201</v>
      </c>
      <c r="D204" s="15">
        <v>18.273656607795601</v>
      </c>
      <c r="E204" s="100">
        <f t="shared" si="64"/>
        <v>7.8137144300856001</v>
      </c>
      <c r="F204" s="108"/>
      <c r="G204" s="108">
        <f t="shared" si="65"/>
        <v>1.7275105511263753</v>
      </c>
      <c r="H204" s="108">
        <f t="shared" si="66"/>
        <v>0.30197257774442737</v>
      </c>
      <c r="I204" s="14"/>
      <c r="J204" s="110">
        <f t="shared" si="67"/>
        <v>0.29099675100981048</v>
      </c>
      <c r="K204" s="17"/>
      <c r="L204" s="100"/>
      <c r="M204" s="113"/>
    </row>
    <row r="205" spans="1:13" ht="15.5" x14ac:dyDescent="0.35">
      <c r="A205" s="158"/>
      <c r="B205" s="19" t="s">
        <v>10</v>
      </c>
      <c r="C205" s="20">
        <v>26.081380228502798</v>
      </c>
      <c r="D205" s="20">
        <v>17.440434493469201</v>
      </c>
      <c r="E205" s="101">
        <f t="shared" si="64"/>
        <v>8.640945735033597</v>
      </c>
      <c r="F205" s="101"/>
      <c r="G205" s="108">
        <f t="shared" si="65"/>
        <v>2.5547418560743722</v>
      </c>
      <c r="H205" s="108">
        <f t="shared" si="66"/>
        <v>0.17019471507359604</v>
      </c>
      <c r="I205" s="22"/>
      <c r="J205" s="110">
        <f t="shared" si="67"/>
        <v>0.16400863116575101</v>
      </c>
      <c r="K205" s="30"/>
      <c r="L205" s="101"/>
      <c r="M205" s="114"/>
    </row>
    <row r="208" spans="1:13" ht="15.5" x14ac:dyDescent="0.35">
      <c r="A208" s="25" t="s">
        <v>49</v>
      </c>
    </row>
    <row r="209" spans="1:13" ht="15.5" x14ac:dyDescent="0.35">
      <c r="A209" s="26" t="s">
        <v>8</v>
      </c>
      <c r="B209" s="27" t="s">
        <v>9</v>
      </c>
      <c r="C209" s="26" t="s">
        <v>7</v>
      </c>
      <c r="D209" s="26" t="s">
        <v>6</v>
      </c>
      <c r="E209" s="99" t="s">
        <v>5</v>
      </c>
      <c r="F209" s="107" t="s">
        <v>12</v>
      </c>
      <c r="G209" s="107" t="s">
        <v>13</v>
      </c>
      <c r="H209" s="99" t="s">
        <v>4</v>
      </c>
      <c r="I209" s="26" t="s">
        <v>3</v>
      </c>
      <c r="J209" s="99" t="s">
        <v>14</v>
      </c>
      <c r="K209" s="28" t="s">
        <v>3</v>
      </c>
      <c r="L209" s="107" t="s">
        <v>15</v>
      </c>
      <c r="M209" s="107" t="s">
        <v>16</v>
      </c>
    </row>
    <row r="210" spans="1:13" ht="15.5" x14ac:dyDescent="0.35">
      <c r="A210" s="155" t="s">
        <v>11</v>
      </c>
      <c r="B210" s="9" t="s">
        <v>2</v>
      </c>
      <c r="C210" s="15">
        <v>22.6682170213499</v>
      </c>
      <c r="D210" s="15">
        <v>18.508061977240398</v>
      </c>
      <c r="E210" s="100">
        <f t="shared" ref="E210:E217" si="68">C210-D210</f>
        <v>4.1601550441095014</v>
      </c>
      <c r="F210" s="108"/>
      <c r="G210" s="108">
        <f t="shared" ref="G210:G217" si="69">E210-$F$213</f>
        <v>2.2340624569052281E-2</v>
      </c>
      <c r="H210" s="108">
        <f t="shared" ref="H210:H217" si="70">2^-G210</f>
        <v>0.98463394046184161</v>
      </c>
      <c r="I210" s="12"/>
      <c r="J210" s="110">
        <f t="shared" ref="J210:J217" si="71">H210/$I$213</f>
        <v>0.96445280095633223</v>
      </c>
      <c r="K210" s="17"/>
      <c r="M210" s="112"/>
    </row>
    <row r="211" spans="1:13" ht="15.5" x14ac:dyDescent="0.35">
      <c r="A211" s="155"/>
      <c r="B211" s="9" t="s">
        <v>1</v>
      </c>
      <c r="C211" s="15">
        <v>22.571847213192999</v>
      </c>
      <c r="D211" s="15">
        <v>18.151857426789899</v>
      </c>
      <c r="E211" s="100">
        <f t="shared" si="68"/>
        <v>4.4199897864031001</v>
      </c>
      <c r="F211" s="108"/>
      <c r="G211" s="108">
        <f t="shared" si="69"/>
        <v>0.28217536686265099</v>
      </c>
      <c r="H211" s="108">
        <f t="shared" si="70"/>
        <v>0.82235010183205448</v>
      </c>
      <c r="I211" s="14"/>
      <c r="J211" s="110">
        <f t="shared" si="71"/>
        <v>0.80549514544119694</v>
      </c>
      <c r="K211" s="17">
        <f>AVERAGE(J210:J213)</f>
        <v>1.0000000000000002</v>
      </c>
      <c r="L211" s="100">
        <f>STDEVA(J210:J213)</f>
        <v>0.24652836067896042</v>
      </c>
      <c r="M211" s="113">
        <f>L211/SQRT(4)</f>
        <v>0.12326418033948021</v>
      </c>
    </row>
    <row r="212" spans="1:13" ht="15.5" x14ac:dyDescent="0.35">
      <c r="A212" s="155"/>
      <c r="B212" s="9" t="s">
        <v>0</v>
      </c>
      <c r="C212" s="15">
        <v>21.603204755596899</v>
      </c>
      <c r="D212" s="15">
        <v>17.935323104773101</v>
      </c>
      <c r="E212" s="100">
        <f t="shared" si="68"/>
        <v>3.6678816508237979</v>
      </c>
      <c r="F212" s="108"/>
      <c r="G212" s="108">
        <f t="shared" si="69"/>
        <v>-0.46993276871665124</v>
      </c>
      <c r="H212" s="108">
        <f t="shared" si="70"/>
        <v>1.3850449218868781</v>
      </c>
      <c r="I212" s="14"/>
      <c r="J212" s="110">
        <f t="shared" si="71"/>
        <v>1.3566569254535177</v>
      </c>
      <c r="K212" s="17"/>
      <c r="L212" s="100"/>
      <c r="M212" s="113"/>
    </row>
    <row r="213" spans="1:13" ht="15.5" x14ac:dyDescent="0.35">
      <c r="A213" s="155"/>
      <c r="B213" s="9" t="s">
        <v>10</v>
      </c>
      <c r="C213" s="15">
        <v>22.406493540082899</v>
      </c>
      <c r="D213" s="15">
        <v>18.103262343257501</v>
      </c>
      <c r="E213" s="100">
        <f t="shared" si="68"/>
        <v>4.3032311968253971</v>
      </c>
      <c r="F213" s="108">
        <f>AVERAGE(E210:E213)</f>
        <v>4.1378144195404492</v>
      </c>
      <c r="G213" s="108">
        <f t="shared" si="69"/>
        <v>0.16541677728494797</v>
      </c>
      <c r="H213" s="108">
        <f t="shared" si="70"/>
        <v>0.89167088918892234</v>
      </c>
      <c r="I213" s="12">
        <f>AVERAGE(H210:H213)</f>
        <v>1.020924963342424</v>
      </c>
      <c r="J213" s="110">
        <f t="shared" si="71"/>
        <v>0.87339512814895381</v>
      </c>
      <c r="L213" s="100"/>
      <c r="M213" s="113"/>
    </row>
    <row r="214" spans="1:13" ht="15.5" x14ac:dyDescent="0.35">
      <c r="A214" s="156" t="s">
        <v>50</v>
      </c>
      <c r="B214" s="9" t="s">
        <v>2</v>
      </c>
      <c r="C214" s="15">
        <v>28.456131002879999</v>
      </c>
      <c r="D214" s="15">
        <v>18.25</v>
      </c>
      <c r="E214" s="100">
        <f t="shared" si="68"/>
        <v>10.206131002879999</v>
      </c>
      <c r="F214" s="108"/>
      <c r="G214" s="108">
        <f t="shared" si="69"/>
        <v>6.0683165833395503</v>
      </c>
      <c r="H214" s="108">
        <f t="shared" si="70"/>
        <v>1.490234746450163E-2</v>
      </c>
      <c r="I214" s="12"/>
      <c r="J214" s="110">
        <f t="shared" si="71"/>
        <v>1.4596907705844096E-2</v>
      </c>
      <c r="K214" s="17"/>
      <c r="M214" s="112"/>
    </row>
    <row r="215" spans="1:13" ht="15.5" x14ac:dyDescent="0.35">
      <c r="A215" s="157"/>
      <c r="B215" s="9" t="s">
        <v>1</v>
      </c>
      <c r="C215" s="15">
        <v>28.155377625696602</v>
      </c>
      <c r="D215" s="15">
        <v>18.28</v>
      </c>
      <c r="E215" s="100">
        <f t="shared" si="68"/>
        <v>9.8753776256966006</v>
      </c>
      <c r="F215" s="108"/>
      <c r="G215" s="108">
        <f t="shared" si="69"/>
        <v>5.7375632061561515</v>
      </c>
      <c r="H215" s="108">
        <f t="shared" si="70"/>
        <v>1.8742234738439476E-2</v>
      </c>
      <c r="I215" s="14"/>
      <c r="J215" s="110">
        <f t="shared" si="71"/>
        <v>1.8358092329409742E-2</v>
      </c>
      <c r="K215" s="22">
        <f>AVERAGE(J214:J217)</f>
        <v>1.4373774250652269E-2</v>
      </c>
      <c r="L215" s="100">
        <f>STDEVA(J214:J217)</f>
        <v>2.8741228541094765E-3</v>
      </c>
      <c r="M215" s="113">
        <f>L215/SQRT(4)</f>
        <v>1.4370614270547383E-3</v>
      </c>
    </row>
    <row r="216" spans="1:13" ht="15.5" x14ac:dyDescent="0.35">
      <c r="A216" s="157"/>
      <c r="B216" s="9" t="s">
        <v>0</v>
      </c>
      <c r="C216" s="15">
        <v>29.060311420994999</v>
      </c>
      <c r="D216" s="15">
        <v>18.61</v>
      </c>
      <c r="E216" s="100">
        <f t="shared" si="68"/>
        <v>10.450311420995</v>
      </c>
      <c r="F216" s="108"/>
      <c r="G216" s="108">
        <f t="shared" si="69"/>
        <v>6.3124970014545507</v>
      </c>
      <c r="H216" s="108">
        <f t="shared" si="70"/>
        <v>1.2581981869136772E-2</v>
      </c>
      <c r="I216" s="14"/>
      <c r="J216" s="110">
        <f t="shared" si="71"/>
        <v>1.2324100517578101E-2</v>
      </c>
      <c r="K216" s="17"/>
      <c r="L216" s="100"/>
      <c r="M216" s="113"/>
    </row>
    <row r="217" spans="1:13" ht="15.5" x14ac:dyDescent="0.35">
      <c r="A217" s="158"/>
      <c r="B217" s="19" t="s">
        <v>10</v>
      </c>
      <c r="C217" s="20">
        <v>28.613022227442599</v>
      </c>
      <c r="D217" s="20">
        <v>18.149999999999999</v>
      </c>
      <c r="E217" s="101">
        <f t="shared" si="68"/>
        <v>10.4630222274426</v>
      </c>
      <c r="F217" s="101"/>
      <c r="G217" s="108">
        <f t="shared" si="69"/>
        <v>6.3252078079021512</v>
      </c>
      <c r="H217" s="108">
        <f t="shared" si="70"/>
        <v>1.2471615727679904E-2</v>
      </c>
      <c r="I217" s="22"/>
      <c r="J217" s="110">
        <f t="shared" si="71"/>
        <v>1.2215996449777135E-2</v>
      </c>
      <c r="K217" s="30"/>
      <c r="L217" s="101"/>
      <c r="M217" s="114"/>
    </row>
    <row r="220" spans="1:13" ht="15.5" x14ac:dyDescent="0.35">
      <c r="A220" s="25" t="s">
        <v>51</v>
      </c>
    </row>
    <row r="221" spans="1:13" ht="15.5" x14ac:dyDescent="0.35">
      <c r="A221" s="26" t="s">
        <v>8</v>
      </c>
      <c r="B221" s="27" t="s">
        <v>9</v>
      </c>
      <c r="C221" s="26" t="s">
        <v>7</v>
      </c>
      <c r="D221" s="26" t="s">
        <v>6</v>
      </c>
      <c r="E221" s="99" t="s">
        <v>5</v>
      </c>
      <c r="F221" s="107" t="s">
        <v>12</v>
      </c>
      <c r="G221" s="107" t="s">
        <v>13</v>
      </c>
      <c r="H221" s="99" t="s">
        <v>4</v>
      </c>
      <c r="I221" s="26" t="s">
        <v>3</v>
      </c>
      <c r="J221" s="99" t="s">
        <v>14</v>
      </c>
      <c r="K221" s="28" t="s">
        <v>3</v>
      </c>
      <c r="L221" s="107" t="s">
        <v>15</v>
      </c>
      <c r="M221" s="107" t="s">
        <v>16</v>
      </c>
    </row>
    <row r="222" spans="1:13" ht="15.5" x14ac:dyDescent="0.35">
      <c r="A222" s="155" t="s">
        <v>11</v>
      </c>
      <c r="B222" s="9" t="s">
        <v>2</v>
      </c>
      <c r="C222" s="15">
        <v>24.456876629149001</v>
      </c>
      <c r="D222" s="15">
        <v>18.3755915893388</v>
      </c>
      <c r="E222" s="100">
        <f t="shared" ref="E222:E229" si="72">C222-D222</f>
        <v>6.0812850398102007</v>
      </c>
      <c r="F222" s="108"/>
      <c r="G222" s="108">
        <f t="shared" ref="G222:G229" si="73">E222-$F$225</f>
        <v>0.13161564755962551</v>
      </c>
      <c r="H222" s="108">
        <f t="shared" ref="H222:H229" si="74">2^-G222</f>
        <v>0.91280864006781914</v>
      </c>
      <c r="I222" s="12"/>
      <c r="J222" s="110">
        <f t="shared" ref="J222:J229" si="75">H222/$I$225</f>
        <v>0.88046964293821628</v>
      </c>
      <c r="K222" s="17"/>
      <c r="M222" s="112"/>
    </row>
    <row r="223" spans="1:13" ht="15.5" x14ac:dyDescent="0.35">
      <c r="A223" s="155"/>
      <c r="B223" s="9" t="s">
        <v>1</v>
      </c>
      <c r="C223" s="15">
        <v>23.6922562062067</v>
      </c>
      <c r="D223" s="15">
        <v>18.374987329758302</v>
      </c>
      <c r="E223" s="100">
        <f t="shared" si="72"/>
        <v>5.3172688764483986</v>
      </c>
      <c r="F223" s="108"/>
      <c r="G223" s="108">
        <f t="shared" si="73"/>
        <v>-0.6324005158021766</v>
      </c>
      <c r="H223" s="108">
        <f t="shared" si="74"/>
        <v>1.5501421470693548</v>
      </c>
      <c r="I223" s="14"/>
      <c r="J223" s="110">
        <f t="shared" si="75"/>
        <v>1.4952236896357927</v>
      </c>
      <c r="K223" s="17">
        <f>AVERAGE(J222:J225)</f>
        <v>1</v>
      </c>
      <c r="L223" s="100">
        <f>STDEVA(J222:J225)</f>
        <v>0.33377907104171894</v>
      </c>
      <c r="M223" s="113">
        <f>L223/SQRT(4)</f>
        <v>0.16688953552085947</v>
      </c>
    </row>
    <row r="224" spans="1:13" ht="15.5" x14ac:dyDescent="0.35">
      <c r="A224" s="155"/>
      <c r="B224" s="9" t="s">
        <v>0</v>
      </c>
      <c r="C224" s="15">
        <v>24.764097681189401</v>
      </c>
      <c r="D224" s="15">
        <v>18.644731823484602</v>
      </c>
      <c r="E224" s="100">
        <f t="shared" si="72"/>
        <v>6.1193658577047998</v>
      </c>
      <c r="F224" s="108"/>
      <c r="G224" s="108">
        <f t="shared" si="73"/>
        <v>0.16969646545422457</v>
      </c>
      <c r="H224" s="108">
        <f t="shared" si="74"/>
        <v>0.889029708109493</v>
      </c>
      <c r="I224" s="14"/>
      <c r="J224" s="110">
        <f t="shared" si="75"/>
        <v>0.85753315131030616</v>
      </c>
      <c r="K224" s="17"/>
      <c r="L224" s="100"/>
      <c r="M224" s="113"/>
    </row>
    <row r="225" spans="1:13" ht="15.5" x14ac:dyDescent="0.35">
      <c r="A225" s="155"/>
      <c r="B225" s="9" t="s">
        <v>10</v>
      </c>
      <c r="C225" s="15">
        <v>24.925999545317602</v>
      </c>
      <c r="D225" s="15">
        <v>18.6452417502787</v>
      </c>
      <c r="E225" s="100">
        <f t="shared" si="72"/>
        <v>6.2807577950389017</v>
      </c>
      <c r="F225" s="108">
        <f>AVERAGE(E222:E225)</f>
        <v>5.9496693922505752</v>
      </c>
      <c r="G225" s="108">
        <f t="shared" si="73"/>
        <v>0.33108840278832652</v>
      </c>
      <c r="H225" s="108">
        <f t="shared" si="74"/>
        <v>0.79493653881113191</v>
      </c>
      <c r="I225" s="12">
        <f>AVERAGE(H222:H225)</f>
        <v>1.0367292585144496</v>
      </c>
      <c r="J225" s="110">
        <f t="shared" si="75"/>
        <v>0.76677351611568534</v>
      </c>
      <c r="L225" s="100"/>
      <c r="M225" s="113"/>
    </row>
    <row r="226" spans="1:13" ht="15.5" x14ac:dyDescent="0.35">
      <c r="A226" s="156" t="s">
        <v>52</v>
      </c>
      <c r="B226" s="9" t="s">
        <v>2</v>
      </c>
      <c r="C226" s="15">
        <v>26.1869799816502</v>
      </c>
      <c r="D226" s="15">
        <v>19.28</v>
      </c>
      <c r="E226" s="100">
        <f t="shared" si="72"/>
        <v>6.9069799816501991</v>
      </c>
      <c r="F226" s="108"/>
      <c r="G226" s="108">
        <f t="shared" si="73"/>
        <v>0.95731058939962388</v>
      </c>
      <c r="H226" s="108">
        <f t="shared" si="74"/>
        <v>0.51501609006461857</v>
      </c>
      <c r="I226" s="12"/>
      <c r="J226" s="110">
        <f t="shared" si="75"/>
        <v>0.49677009290023855</v>
      </c>
      <c r="K226" s="17"/>
      <c r="M226" s="112"/>
    </row>
    <row r="227" spans="1:13" ht="15.5" x14ac:dyDescent="0.35">
      <c r="A227" s="157"/>
      <c r="B227" s="9" t="s">
        <v>1</v>
      </c>
      <c r="C227" s="15">
        <v>27.260345599362701</v>
      </c>
      <c r="D227" s="15">
        <v>19.3</v>
      </c>
      <c r="E227" s="100">
        <f t="shared" si="72"/>
        <v>7.9603455993627001</v>
      </c>
      <c r="F227" s="108"/>
      <c r="G227" s="108">
        <f t="shared" si="73"/>
        <v>2.0106762071121249</v>
      </c>
      <c r="H227" s="108">
        <f t="shared" si="74"/>
        <v>0.24815678276919009</v>
      </c>
      <c r="I227" s="14"/>
      <c r="J227" s="110">
        <f t="shared" si="75"/>
        <v>0.23936508083583846</v>
      </c>
      <c r="K227" s="22">
        <f>AVERAGE(J226:J229)</f>
        <v>0.54104791163831345</v>
      </c>
      <c r="L227" s="100">
        <f>STDEVA(J226:J229)</f>
        <v>0.40000366548238503</v>
      </c>
      <c r="M227" s="113">
        <f>L227/SQRT(4)</f>
        <v>0.20000183274119251</v>
      </c>
    </row>
    <row r="228" spans="1:13" ht="15.5" x14ac:dyDescent="0.35">
      <c r="A228" s="157"/>
      <c r="B228" s="9" t="s">
        <v>0</v>
      </c>
      <c r="C228" s="15">
        <v>25.586067709523999</v>
      </c>
      <c r="D228" s="15">
        <v>19.850000000000001</v>
      </c>
      <c r="E228" s="100">
        <f t="shared" si="72"/>
        <v>5.7360677095239971</v>
      </c>
      <c r="F228" s="108"/>
      <c r="G228" s="108">
        <f t="shared" si="73"/>
        <v>-0.21360168272657809</v>
      </c>
      <c r="H228" s="108">
        <f t="shared" si="74"/>
        <v>1.1595794591196307</v>
      </c>
      <c r="I228" s="14"/>
      <c r="J228" s="110">
        <f t="shared" si="75"/>
        <v>1.1184978619984312</v>
      </c>
      <c r="K228" s="17"/>
      <c r="L228" s="100"/>
      <c r="M228" s="113"/>
    </row>
    <row r="229" spans="1:13" ht="15.5" x14ac:dyDescent="0.35">
      <c r="A229" s="158"/>
      <c r="B229" s="19" t="s">
        <v>10</v>
      </c>
      <c r="C229" s="20">
        <v>26.579345712628299</v>
      </c>
      <c r="D229" s="20">
        <v>18.989999999999998</v>
      </c>
      <c r="E229" s="101">
        <f t="shared" si="72"/>
        <v>7.589345712628301</v>
      </c>
      <c r="F229" s="101"/>
      <c r="G229" s="108">
        <f t="shared" si="73"/>
        <v>1.6396763203777258</v>
      </c>
      <c r="H229" s="108">
        <f t="shared" si="74"/>
        <v>0.32092846906088113</v>
      </c>
      <c r="I229" s="22"/>
      <c r="J229" s="110">
        <f t="shared" si="75"/>
        <v>0.30955861081874553</v>
      </c>
      <c r="K229" s="30"/>
      <c r="L229" s="101"/>
      <c r="M229" s="114"/>
    </row>
    <row r="232" spans="1:13" ht="15.5" x14ac:dyDescent="0.35">
      <c r="A232" s="25" t="s">
        <v>53</v>
      </c>
    </row>
    <row r="233" spans="1:13" ht="15.5" x14ac:dyDescent="0.35">
      <c r="A233" s="26" t="s">
        <v>8</v>
      </c>
      <c r="B233" s="27" t="s">
        <v>9</v>
      </c>
      <c r="C233" s="26" t="s">
        <v>7</v>
      </c>
      <c r="D233" s="26" t="s">
        <v>6</v>
      </c>
      <c r="E233" s="99" t="s">
        <v>5</v>
      </c>
      <c r="F233" s="107" t="s">
        <v>12</v>
      </c>
      <c r="G233" s="107" t="s">
        <v>13</v>
      </c>
      <c r="H233" s="99" t="s">
        <v>4</v>
      </c>
      <c r="I233" s="26" t="s">
        <v>3</v>
      </c>
      <c r="J233" s="99" t="s">
        <v>14</v>
      </c>
      <c r="K233" s="28" t="s">
        <v>3</v>
      </c>
      <c r="L233" s="107" t="s">
        <v>15</v>
      </c>
      <c r="M233" s="107" t="s">
        <v>16</v>
      </c>
    </row>
    <row r="234" spans="1:13" ht="15.5" x14ac:dyDescent="0.35">
      <c r="A234" s="155" t="s">
        <v>11</v>
      </c>
      <c r="B234" s="9" t="s">
        <v>2</v>
      </c>
      <c r="C234" s="15">
        <v>23.297782145580999</v>
      </c>
      <c r="D234" s="15">
        <v>18.3755915893388</v>
      </c>
      <c r="E234" s="100">
        <f t="shared" ref="E234:E241" si="76">C234-D234</f>
        <v>4.9221905562421995</v>
      </c>
      <c r="F234" s="108"/>
      <c r="G234" s="108">
        <f t="shared" ref="G234:G241" si="77">E234-$F$237</f>
        <v>0.9751811914759756</v>
      </c>
      <c r="H234" s="108">
        <f t="shared" ref="H234:H241" si="78">2^-G234</f>
        <v>0.50867595622520934</v>
      </c>
      <c r="I234" s="12"/>
      <c r="J234" s="110">
        <f t="shared" ref="J234:J241" si="79">H234/$I$237</f>
        <v>0.46552905236806547</v>
      </c>
      <c r="K234" s="17"/>
      <c r="M234" s="112"/>
    </row>
    <row r="235" spans="1:13" ht="15.5" x14ac:dyDescent="0.35">
      <c r="A235" s="155"/>
      <c r="B235" s="9" t="s">
        <v>1</v>
      </c>
      <c r="C235" s="15">
        <v>22.4770754264561</v>
      </c>
      <c r="D235" s="15">
        <v>18.374987329758302</v>
      </c>
      <c r="E235" s="100">
        <f t="shared" si="76"/>
        <v>4.1020880966977984</v>
      </c>
      <c r="F235" s="108"/>
      <c r="G235" s="108">
        <f t="shared" si="77"/>
        <v>0.15507873193157451</v>
      </c>
      <c r="H235" s="108">
        <f t="shared" si="78"/>
        <v>0.89808336060823524</v>
      </c>
      <c r="I235" s="14"/>
      <c r="J235" s="110">
        <f t="shared" si="79"/>
        <v>0.82190614809868945</v>
      </c>
      <c r="K235" s="17">
        <f>AVERAGE(J234:J237)</f>
        <v>0.99999999999999989</v>
      </c>
      <c r="L235" s="100">
        <f>STDEVA(J234:J237)</f>
        <v>0.44101699853680632</v>
      </c>
      <c r="M235" s="113">
        <f>L235/SQRT(4)</f>
        <v>0.22050849926840316</v>
      </c>
    </row>
    <row r="236" spans="1:13" ht="15.5" x14ac:dyDescent="0.35">
      <c r="A236" s="155"/>
      <c r="B236" s="9" t="s">
        <v>0</v>
      </c>
      <c r="C236" s="15">
        <v>21.943314042927899</v>
      </c>
      <c r="D236" s="15">
        <v>18.644731823484602</v>
      </c>
      <c r="E236" s="100">
        <f t="shared" si="76"/>
        <v>3.298582219443297</v>
      </c>
      <c r="F236" s="108"/>
      <c r="G236" s="108">
        <f t="shared" si="77"/>
        <v>-0.64842714532292689</v>
      </c>
      <c r="H236" s="108">
        <f t="shared" si="78"/>
        <v>1.5674583897822241</v>
      </c>
      <c r="I236" s="14"/>
      <c r="J236" s="110">
        <f t="shared" si="79"/>
        <v>1.4345034592093615</v>
      </c>
      <c r="K236" s="17"/>
      <c r="L236" s="100"/>
      <c r="M236" s="113"/>
    </row>
    <row r="237" spans="1:13" ht="15.5" x14ac:dyDescent="0.35">
      <c r="A237" s="155"/>
      <c r="B237" s="9" t="s">
        <v>10</v>
      </c>
      <c r="C237" s="15">
        <v>22.110418336960301</v>
      </c>
      <c r="D237" s="15">
        <v>18.6452417502787</v>
      </c>
      <c r="E237" s="100">
        <f t="shared" si="76"/>
        <v>3.4651765866816007</v>
      </c>
      <c r="F237" s="108">
        <f>AVERAGE(E234:E237)</f>
        <v>3.9470093647662239</v>
      </c>
      <c r="G237" s="108">
        <f t="shared" si="77"/>
        <v>-0.48183277808462321</v>
      </c>
      <c r="H237" s="108">
        <f t="shared" si="78"/>
        <v>1.3965166536796818</v>
      </c>
      <c r="I237" s="12">
        <f>AVERAGE(H234:H237)</f>
        <v>1.0926835900738376</v>
      </c>
      <c r="J237" s="110">
        <f t="shared" si="79"/>
        <v>1.2780613403238834</v>
      </c>
      <c r="L237" s="100"/>
      <c r="M237" s="113"/>
    </row>
    <row r="238" spans="1:13" ht="15.5" x14ac:dyDescent="0.35">
      <c r="A238" s="156" t="s">
        <v>54</v>
      </c>
      <c r="B238" s="9" t="s">
        <v>2</v>
      </c>
      <c r="C238" s="15">
        <v>23.594224270098401</v>
      </c>
      <c r="D238" s="15">
        <v>18.149999999999999</v>
      </c>
      <c r="E238" s="100">
        <f t="shared" si="76"/>
        <v>5.4442242700984025</v>
      </c>
      <c r="F238" s="108"/>
      <c r="G238" s="108">
        <f t="shared" si="77"/>
        <v>1.4972149053321786</v>
      </c>
      <c r="H238" s="108">
        <f t="shared" si="78"/>
        <v>0.35423657775296735</v>
      </c>
      <c r="I238" s="12"/>
      <c r="J238" s="110">
        <f t="shared" si="79"/>
        <v>0.32418952839680693</v>
      </c>
      <c r="K238" s="17"/>
      <c r="M238" s="112"/>
    </row>
    <row r="239" spans="1:13" ht="15.5" x14ac:dyDescent="0.35">
      <c r="A239" s="157"/>
      <c r="B239" s="9" t="s">
        <v>1</v>
      </c>
      <c r="C239" s="15">
        <v>23.375814213797</v>
      </c>
      <c r="D239" s="15">
        <v>17.89</v>
      </c>
      <c r="E239" s="100">
        <f t="shared" si="76"/>
        <v>5.4858142137969992</v>
      </c>
      <c r="F239" s="108"/>
      <c r="G239" s="108">
        <f t="shared" si="77"/>
        <v>1.5388048490307753</v>
      </c>
      <c r="H239" s="108">
        <f t="shared" si="78"/>
        <v>0.34417045261629664</v>
      </c>
      <c r="I239" s="14"/>
      <c r="J239" s="110">
        <f t="shared" si="79"/>
        <v>0.31497723196615357</v>
      </c>
      <c r="K239" s="22">
        <f>AVERAGE(J238:J241)</f>
        <v>0.21180505047655382</v>
      </c>
      <c r="L239" s="100">
        <f>STDEVA(J238:J241)</f>
        <v>0.13397313238040914</v>
      </c>
      <c r="M239" s="113">
        <f>L239/SQRT(4)</f>
        <v>6.6986566190204572E-2</v>
      </c>
    </row>
    <row r="240" spans="1:13" ht="15.5" x14ac:dyDescent="0.35">
      <c r="A240" s="157"/>
      <c r="B240" s="9" t="s">
        <v>0</v>
      </c>
      <c r="C240" s="15">
        <v>24.142059456198599</v>
      </c>
      <c r="D240" s="15">
        <v>17.72</v>
      </c>
      <c r="E240" s="100">
        <f t="shared" si="76"/>
        <v>6.4220594561985997</v>
      </c>
      <c r="F240" s="108"/>
      <c r="G240" s="108">
        <f t="shared" si="77"/>
        <v>2.4750500914323759</v>
      </c>
      <c r="H240" s="108">
        <f t="shared" si="78"/>
        <v>0.17986045250580743</v>
      </c>
      <c r="I240" s="14"/>
      <c r="J240" s="110">
        <f t="shared" si="79"/>
        <v>0.16460433206803576</v>
      </c>
      <c r="K240" s="17"/>
      <c r="L240" s="100"/>
      <c r="M240" s="113"/>
    </row>
    <row r="241" spans="1:13" ht="15.5" x14ac:dyDescent="0.35">
      <c r="A241" s="158"/>
      <c r="B241" s="19" t="s">
        <v>10</v>
      </c>
      <c r="C241" s="20">
        <v>26.003663248155299</v>
      </c>
      <c r="D241" s="20">
        <v>17.66</v>
      </c>
      <c r="E241" s="101">
        <f t="shared" si="76"/>
        <v>8.3436632481552984</v>
      </c>
      <c r="F241" s="101"/>
      <c r="G241" s="108">
        <f t="shared" si="77"/>
        <v>4.3966538833890745</v>
      </c>
      <c r="H241" s="108">
        <f t="shared" si="78"/>
        <v>4.7476128926893534E-2</v>
      </c>
      <c r="I241" s="22"/>
      <c r="J241" s="110">
        <f t="shared" si="79"/>
        <v>4.3449109475219037E-2</v>
      </c>
      <c r="K241" s="30"/>
      <c r="L241" s="101"/>
      <c r="M241" s="114"/>
    </row>
    <row r="244" spans="1:13" ht="15.5" x14ac:dyDescent="0.35">
      <c r="A244" s="25" t="s">
        <v>55</v>
      </c>
    </row>
    <row r="245" spans="1:13" ht="15.5" x14ac:dyDescent="0.35">
      <c r="A245" s="26" t="s">
        <v>8</v>
      </c>
      <c r="B245" s="27" t="s">
        <v>9</v>
      </c>
      <c r="C245" s="26" t="s">
        <v>7</v>
      </c>
      <c r="D245" s="26" t="s">
        <v>6</v>
      </c>
      <c r="E245" s="99" t="s">
        <v>5</v>
      </c>
      <c r="F245" s="107" t="s">
        <v>12</v>
      </c>
      <c r="G245" s="107" t="s">
        <v>13</v>
      </c>
      <c r="H245" s="99" t="s">
        <v>4</v>
      </c>
      <c r="I245" s="26" t="s">
        <v>3</v>
      </c>
      <c r="J245" s="99" t="s">
        <v>14</v>
      </c>
      <c r="K245" s="28" t="s">
        <v>3</v>
      </c>
      <c r="L245" s="107" t="s">
        <v>15</v>
      </c>
      <c r="M245" s="107" t="s">
        <v>16</v>
      </c>
    </row>
    <row r="246" spans="1:13" ht="15.5" x14ac:dyDescent="0.35">
      <c r="A246" s="155" t="s">
        <v>11</v>
      </c>
      <c r="B246" s="9" t="s">
        <v>2</v>
      </c>
      <c r="C246" s="15">
        <v>26.352989194218701</v>
      </c>
      <c r="D246" s="15">
        <v>18.063045873838099</v>
      </c>
      <c r="E246" s="100">
        <f t="shared" ref="E246:E253" si="80">C246-D246</f>
        <v>8.2899433203806012</v>
      </c>
      <c r="F246" s="108"/>
      <c r="G246" s="108">
        <f t="shared" ref="G246:G253" si="81">E246-$F$249</f>
        <v>0.97703606634754969</v>
      </c>
      <c r="H246" s="108">
        <f t="shared" ref="H246:H253" si="82">2^-G246</f>
        <v>0.50802237114098359</v>
      </c>
      <c r="I246" s="12"/>
      <c r="J246" s="110">
        <f t="shared" ref="J246:J253" si="83">H246/$I$249</f>
        <v>0.4691167086516817</v>
      </c>
      <c r="K246" s="17"/>
      <c r="M246" s="112"/>
    </row>
    <row r="247" spans="1:13" ht="15.5" x14ac:dyDescent="0.35">
      <c r="A247" s="155"/>
      <c r="B247" s="9" t="s">
        <v>1</v>
      </c>
      <c r="C247" s="15">
        <v>25.163018627633601</v>
      </c>
      <c r="D247" s="15">
        <v>18.360692557729099</v>
      </c>
      <c r="E247" s="100">
        <f t="shared" si="80"/>
        <v>6.8023260699045025</v>
      </c>
      <c r="F247" s="108"/>
      <c r="G247" s="108">
        <f t="shared" si="81"/>
        <v>-0.51058118412854903</v>
      </c>
      <c r="H247" s="108">
        <f t="shared" si="82"/>
        <v>1.4246239842881823</v>
      </c>
      <c r="I247" s="14"/>
      <c r="J247" s="110">
        <f t="shared" si="83"/>
        <v>1.3155226079405273</v>
      </c>
      <c r="K247" s="17">
        <f>AVERAGE(J246:J249)</f>
        <v>1.0000000000000002</v>
      </c>
      <c r="L247" s="100">
        <f>STDEVA(J246:J249)</f>
        <v>0.40911514814764954</v>
      </c>
      <c r="M247" s="113">
        <f>L247/SQRT(4)</f>
        <v>0.20455757407382477</v>
      </c>
    </row>
    <row r="248" spans="1:13" ht="15.5" x14ac:dyDescent="0.35">
      <c r="A248" s="155"/>
      <c r="B248" s="9" t="s">
        <v>0</v>
      </c>
      <c r="C248" s="15">
        <v>25.035786601662501</v>
      </c>
      <c r="D248" s="15">
        <v>18.247648870363602</v>
      </c>
      <c r="E248" s="100">
        <f t="shared" si="80"/>
        <v>6.7881377312988995</v>
      </c>
      <c r="F248" s="108"/>
      <c r="G248" s="108">
        <f t="shared" si="81"/>
        <v>-0.52476952273415201</v>
      </c>
      <c r="H248" s="108">
        <f t="shared" si="82"/>
        <v>1.4387037220168346</v>
      </c>
      <c r="I248" s="14"/>
      <c r="J248" s="110">
        <f t="shared" si="83"/>
        <v>1.3285240830667306</v>
      </c>
      <c r="K248" s="17"/>
      <c r="L248" s="100"/>
      <c r="M248" s="113"/>
    </row>
    <row r="249" spans="1:13" ht="15.5" x14ac:dyDescent="0.35">
      <c r="A249" s="155"/>
      <c r="B249" s="9" t="s">
        <v>10</v>
      </c>
      <c r="C249" s="15">
        <v>25.402819727557802</v>
      </c>
      <c r="D249" s="15">
        <v>18.031597833009599</v>
      </c>
      <c r="E249" s="100">
        <f t="shared" si="80"/>
        <v>7.3712218945482029</v>
      </c>
      <c r="F249" s="108">
        <f>AVERAGE(E246:E249)</f>
        <v>7.3129072540330515</v>
      </c>
      <c r="G249" s="108">
        <f t="shared" si="81"/>
        <v>5.8314640515151339E-2</v>
      </c>
      <c r="H249" s="108">
        <f t="shared" si="82"/>
        <v>0.96038538856307154</v>
      </c>
      <c r="I249" s="12">
        <f>AVERAGE(H246:H249)</f>
        <v>1.0829338665022679</v>
      </c>
      <c r="J249" s="110">
        <f t="shared" si="83"/>
        <v>0.88683660034106093</v>
      </c>
      <c r="L249" s="100"/>
      <c r="M249" s="113"/>
    </row>
    <row r="250" spans="1:13" ht="15.5" x14ac:dyDescent="0.35">
      <c r="A250" s="156" t="s">
        <v>56</v>
      </c>
      <c r="B250" s="9" t="s">
        <v>2</v>
      </c>
      <c r="C250" s="15">
        <v>30.775263759583201</v>
      </c>
      <c r="D250" s="15">
        <v>19.829999999999998</v>
      </c>
      <c r="E250" s="100">
        <f t="shared" si="80"/>
        <v>10.945263759583202</v>
      </c>
      <c r="F250" s="108"/>
      <c r="G250" s="108">
        <f t="shared" si="81"/>
        <v>3.6323565055501508</v>
      </c>
      <c r="H250" s="108">
        <f t="shared" si="82"/>
        <v>8.0640226118781327E-2</v>
      </c>
      <c r="I250" s="12"/>
      <c r="J250" s="110">
        <f t="shared" si="83"/>
        <v>7.4464589771523648E-2</v>
      </c>
      <c r="K250" s="17"/>
      <c r="M250" s="112"/>
    </row>
    <row r="251" spans="1:13" ht="15.5" x14ac:dyDescent="0.35">
      <c r="A251" s="157"/>
      <c r="B251" s="9" t="s">
        <v>1</v>
      </c>
      <c r="C251" s="15">
        <v>31.1177633721035</v>
      </c>
      <c r="D251" s="15">
        <v>19.46</v>
      </c>
      <c r="E251" s="100">
        <f t="shared" si="80"/>
        <v>11.657763372103499</v>
      </c>
      <c r="F251" s="108"/>
      <c r="G251" s="108">
        <f t="shared" si="81"/>
        <v>4.3448561180704477</v>
      </c>
      <c r="H251" s="108">
        <f t="shared" si="82"/>
        <v>4.9211656235944631E-2</v>
      </c>
      <c r="I251" s="14"/>
      <c r="J251" s="110">
        <f t="shared" si="83"/>
        <v>4.5442900770008905E-2</v>
      </c>
      <c r="K251" s="22">
        <f>AVERAGE(J250:J253)</f>
        <v>4.2515522923700255E-2</v>
      </c>
      <c r="L251" s="100">
        <f>STDEVA(J250:J253)</f>
        <v>2.4772412784443247E-2</v>
      </c>
      <c r="M251" s="113">
        <f>L251/SQRT(4)</f>
        <v>1.2386206392221624E-2</v>
      </c>
    </row>
    <row r="252" spans="1:13" ht="15.5" x14ac:dyDescent="0.35">
      <c r="A252" s="157"/>
      <c r="B252" s="9" t="s">
        <v>0</v>
      </c>
      <c r="C252" s="15">
        <v>31.447852335203201</v>
      </c>
      <c r="D252" s="15">
        <v>18.190000000000001</v>
      </c>
      <c r="E252" s="100">
        <f t="shared" si="80"/>
        <v>13.2578523352032</v>
      </c>
      <c r="F252" s="108"/>
      <c r="G252" s="108">
        <f t="shared" si="81"/>
        <v>5.9449450811701485</v>
      </c>
      <c r="H252" s="108">
        <f t="shared" si="82"/>
        <v>1.6232791408209397E-2</v>
      </c>
      <c r="I252" s="14"/>
      <c r="J252" s="110">
        <f t="shared" si="83"/>
        <v>1.498964240599396E-2</v>
      </c>
      <c r="K252" s="17"/>
      <c r="L252" s="100"/>
      <c r="M252" s="113"/>
    </row>
    <row r="253" spans="1:13" ht="15.5" x14ac:dyDescent="0.35">
      <c r="A253" s="158"/>
      <c r="B253" s="19" t="s">
        <v>10</v>
      </c>
      <c r="C253" s="20">
        <v>30.227679777009001</v>
      </c>
      <c r="D253" s="20">
        <v>18.2</v>
      </c>
      <c r="E253" s="101">
        <f t="shared" si="80"/>
        <v>12.027679777009002</v>
      </c>
      <c r="F253" s="101"/>
      <c r="G253" s="108">
        <f t="shared" si="81"/>
        <v>4.7147725229759505</v>
      </c>
      <c r="H253" s="108">
        <f t="shared" si="82"/>
        <v>3.8081324741578729E-2</v>
      </c>
      <c r="I253" s="22"/>
      <c r="J253" s="110">
        <f t="shared" si="83"/>
        <v>3.5164958747274509E-2</v>
      </c>
      <c r="K253" s="30"/>
      <c r="L253" s="101"/>
      <c r="M253" s="114"/>
    </row>
    <row r="256" spans="1:13" ht="15.5" x14ac:dyDescent="0.35">
      <c r="A256" s="25" t="s">
        <v>57</v>
      </c>
    </row>
    <row r="257" spans="1:13" ht="15.5" x14ac:dyDescent="0.35">
      <c r="A257" s="26" t="s">
        <v>8</v>
      </c>
      <c r="B257" s="27" t="s">
        <v>9</v>
      </c>
      <c r="C257" s="26" t="s">
        <v>7</v>
      </c>
      <c r="D257" s="26" t="s">
        <v>6</v>
      </c>
      <c r="E257" s="99" t="s">
        <v>5</v>
      </c>
      <c r="F257" s="107" t="s">
        <v>12</v>
      </c>
      <c r="G257" s="107" t="s">
        <v>13</v>
      </c>
      <c r="H257" s="99" t="s">
        <v>4</v>
      </c>
      <c r="I257" s="26" t="s">
        <v>3</v>
      </c>
      <c r="J257" s="99" t="s">
        <v>14</v>
      </c>
      <c r="K257" s="28" t="s">
        <v>3</v>
      </c>
      <c r="L257" s="107" t="s">
        <v>15</v>
      </c>
      <c r="M257" s="107" t="s">
        <v>16</v>
      </c>
    </row>
    <row r="258" spans="1:13" ht="15.5" x14ac:dyDescent="0.35">
      <c r="A258" s="155" t="s">
        <v>11</v>
      </c>
      <c r="B258" s="9" t="s">
        <v>2</v>
      </c>
      <c r="C258" s="15">
        <v>23.9734511370091</v>
      </c>
      <c r="D258" s="15">
        <v>18.063045873838099</v>
      </c>
      <c r="E258" s="100">
        <f t="shared" ref="E258:E265" si="84">C258-D258</f>
        <v>5.9104052631710005</v>
      </c>
      <c r="F258" s="108"/>
      <c r="G258" s="108">
        <f t="shared" ref="G258:G265" si="85">E258-$F$261</f>
        <v>0.13595030379750028</v>
      </c>
      <c r="H258" s="108">
        <f t="shared" ref="H258:H265" si="86">2^-G258</f>
        <v>0.91007017253039635</v>
      </c>
      <c r="I258" s="12"/>
      <c r="J258" s="110">
        <f t="shared" ref="J258:J265" si="87">H258/$I$261</f>
        <v>0.84888137471709824</v>
      </c>
      <c r="K258" s="17"/>
      <c r="M258" s="112"/>
    </row>
    <row r="259" spans="1:13" ht="15.5" x14ac:dyDescent="0.35">
      <c r="A259" s="155"/>
      <c r="B259" s="9" t="s">
        <v>1</v>
      </c>
      <c r="C259" s="15">
        <v>23.2659258939346</v>
      </c>
      <c r="D259" s="15">
        <v>18.360692557729099</v>
      </c>
      <c r="E259" s="100">
        <f t="shared" si="84"/>
        <v>4.9052333362055016</v>
      </c>
      <c r="F259" s="108"/>
      <c r="G259" s="108">
        <f t="shared" si="85"/>
        <v>-0.86922162316799856</v>
      </c>
      <c r="H259" s="108">
        <f t="shared" si="86"/>
        <v>1.8266770879919771</v>
      </c>
      <c r="I259" s="14"/>
      <c r="J259" s="110">
        <f t="shared" si="87"/>
        <v>1.703859992804087</v>
      </c>
      <c r="K259" s="17">
        <f>AVERAGE(J258:J261)</f>
        <v>0.99999999999999989</v>
      </c>
      <c r="L259" s="100">
        <f>STDEVA(J258:J261)</f>
        <v>0.47313105933825755</v>
      </c>
      <c r="M259" s="113">
        <f>L259/SQRT(4)</f>
        <v>0.23656552966912878</v>
      </c>
    </row>
    <row r="260" spans="1:13" ht="15.5" x14ac:dyDescent="0.35">
      <c r="A260" s="155"/>
      <c r="B260" s="9" t="s">
        <v>0</v>
      </c>
      <c r="C260" s="15">
        <v>24.355920764181899</v>
      </c>
      <c r="D260" s="15">
        <v>18.247648870363602</v>
      </c>
      <c r="E260" s="100">
        <f t="shared" si="84"/>
        <v>6.1082718938182978</v>
      </c>
      <c r="F260" s="108"/>
      <c r="G260" s="108">
        <f t="shared" si="85"/>
        <v>0.33381693444479765</v>
      </c>
      <c r="H260" s="108">
        <f t="shared" si="86"/>
        <v>0.79343451679927779</v>
      </c>
      <c r="I260" s="14"/>
      <c r="J260" s="110">
        <f t="shared" si="87"/>
        <v>0.74008774674578348</v>
      </c>
      <c r="K260" s="17"/>
      <c r="L260" s="100"/>
      <c r="M260" s="113"/>
    </row>
    <row r="261" spans="1:13" ht="15.5" x14ac:dyDescent="0.35">
      <c r="A261" s="155"/>
      <c r="B261" s="9" t="s">
        <v>10</v>
      </c>
      <c r="C261" s="15">
        <v>24.2055071773088</v>
      </c>
      <c r="D261" s="15">
        <v>18.031597833009599</v>
      </c>
      <c r="E261" s="100">
        <f t="shared" si="84"/>
        <v>6.1739093442992008</v>
      </c>
      <c r="F261" s="108">
        <f>AVERAGE(E258:E261)</f>
        <v>5.7744549593735002</v>
      </c>
      <c r="G261" s="108">
        <f t="shared" si="85"/>
        <v>0.39945438492570062</v>
      </c>
      <c r="H261" s="108">
        <f t="shared" si="86"/>
        <v>0.75814495305897522</v>
      </c>
      <c r="I261" s="12">
        <f>AVERAGE(H258:H261)</f>
        <v>1.0720816825951567</v>
      </c>
      <c r="J261" s="110">
        <f t="shared" si="87"/>
        <v>0.70717088573303111</v>
      </c>
      <c r="L261" s="100"/>
      <c r="M261" s="113"/>
    </row>
    <row r="262" spans="1:13" ht="15.5" x14ac:dyDescent="0.35">
      <c r="A262" s="156" t="s">
        <v>58</v>
      </c>
      <c r="B262" s="9" t="s">
        <v>2</v>
      </c>
      <c r="C262" s="15">
        <v>26.875015232857798</v>
      </c>
      <c r="D262" s="15">
        <v>19.539053143142699</v>
      </c>
      <c r="E262" s="100">
        <f t="shared" si="84"/>
        <v>7.3359620897150997</v>
      </c>
      <c r="F262" s="108"/>
      <c r="G262" s="108">
        <f t="shared" si="85"/>
        <v>1.5615071303415995</v>
      </c>
      <c r="H262" s="108">
        <f t="shared" si="86"/>
        <v>0.33879696822236505</v>
      </c>
      <c r="I262" s="12"/>
      <c r="J262" s="110">
        <f t="shared" si="87"/>
        <v>0.31601786852868258</v>
      </c>
      <c r="K262" s="17"/>
      <c r="M262" s="112"/>
    </row>
    <row r="263" spans="1:13" ht="15.5" x14ac:dyDescent="0.35">
      <c r="A263" s="157"/>
      <c r="B263" s="9" t="s">
        <v>1</v>
      </c>
      <c r="C263" s="15">
        <v>27.167760631325098</v>
      </c>
      <c r="D263" s="15">
        <v>20.120065570692599</v>
      </c>
      <c r="E263" s="100">
        <f t="shared" si="84"/>
        <v>7.0476950606324991</v>
      </c>
      <c r="F263" s="108"/>
      <c r="G263" s="108">
        <f t="shared" si="85"/>
        <v>1.2732401012589989</v>
      </c>
      <c r="H263" s="108">
        <f t="shared" si="86"/>
        <v>0.41372954715797061</v>
      </c>
      <c r="I263" s="14"/>
      <c r="J263" s="110">
        <f t="shared" si="87"/>
        <v>0.38591233660150559</v>
      </c>
      <c r="K263" s="22">
        <f>AVERAGE(J262:J265)</f>
        <v>0.30772600572558456</v>
      </c>
      <c r="L263" s="100">
        <f>STDEVA(J262:J265)</f>
        <v>0.13240527360639598</v>
      </c>
      <c r="M263" s="113">
        <f>L263/SQRT(4)</f>
        <v>6.6202636803197989E-2</v>
      </c>
    </row>
    <row r="264" spans="1:13" ht="15.5" x14ac:dyDescent="0.35">
      <c r="A264" s="157"/>
      <c r="B264" s="9" t="s">
        <v>0</v>
      </c>
      <c r="C264" s="15">
        <v>26.927587936272499</v>
      </c>
      <c r="D264" s="15">
        <v>19.9691988178411</v>
      </c>
      <c r="E264" s="100">
        <f t="shared" si="84"/>
        <v>6.9583891184313984</v>
      </c>
      <c r="F264" s="108"/>
      <c r="G264" s="108">
        <f t="shared" si="85"/>
        <v>1.1839341590578982</v>
      </c>
      <c r="H264" s="108">
        <f t="shared" si="86"/>
        <v>0.4401495936341781</v>
      </c>
      <c r="I264" s="14"/>
      <c r="J264" s="110">
        <f t="shared" si="87"/>
        <v>0.41055602458268003</v>
      </c>
      <c r="K264" s="17"/>
      <c r="L264" s="100"/>
      <c r="M264" s="113"/>
    </row>
    <row r="265" spans="1:13" ht="15.5" x14ac:dyDescent="0.35">
      <c r="A265" s="158"/>
      <c r="B265" s="19" t="s">
        <v>10</v>
      </c>
      <c r="C265" s="20">
        <v>28.652061354411199</v>
      </c>
      <c r="D265" s="20">
        <v>19.899979003344502</v>
      </c>
      <c r="E265" s="101">
        <f t="shared" si="84"/>
        <v>8.7520823510666972</v>
      </c>
      <c r="F265" s="101"/>
      <c r="G265" s="108">
        <f t="shared" si="85"/>
        <v>2.977627391693197</v>
      </c>
      <c r="H265" s="108">
        <f t="shared" si="86"/>
        <v>0.1269535469717723</v>
      </c>
      <c r="I265" s="22"/>
      <c r="J265" s="110">
        <f t="shared" si="87"/>
        <v>0.11841779318947002</v>
      </c>
      <c r="K265" s="30"/>
      <c r="L265" s="101"/>
      <c r="M265" s="114"/>
    </row>
    <row r="268" spans="1:13" ht="15.5" x14ac:dyDescent="0.35">
      <c r="A268" s="25" t="s">
        <v>59</v>
      </c>
    </row>
    <row r="269" spans="1:13" ht="15.5" x14ac:dyDescent="0.35">
      <c r="A269" s="26" t="s">
        <v>8</v>
      </c>
      <c r="B269" s="27" t="s">
        <v>9</v>
      </c>
      <c r="C269" s="26" t="s">
        <v>7</v>
      </c>
      <c r="D269" s="26" t="s">
        <v>6</v>
      </c>
      <c r="E269" s="99" t="s">
        <v>5</v>
      </c>
      <c r="F269" s="107" t="s">
        <v>12</v>
      </c>
      <c r="G269" s="107" t="s">
        <v>13</v>
      </c>
      <c r="H269" s="99" t="s">
        <v>4</v>
      </c>
      <c r="I269" s="26" t="s">
        <v>3</v>
      </c>
      <c r="J269" s="99" t="s">
        <v>14</v>
      </c>
      <c r="K269" s="28" t="s">
        <v>3</v>
      </c>
      <c r="L269" s="107" t="s">
        <v>15</v>
      </c>
      <c r="M269" s="107" t="s">
        <v>16</v>
      </c>
    </row>
    <row r="270" spans="1:13" ht="15.5" x14ac:dyDescent="0.35">
      <c r="A270" s="155" t="s">
        <v>11</v>
      </c>
      <c r="B270" s="9" t="s">
        <v>2</v>
      </c>
      <c r="C270" s="15">
        <v>26.2880395748066</v>
      </c>
      <c r="D270" s="15">
        <v>18.063045873838099</v>
      </c>
      <c r="E270" s="100">
        <f t="shared" ref="E270:E277" si="88">C270-D270</f>
        <v>8.2249937009685006</v>
      </c>
      <c r="F270" s="108"/>
      <c r="G270" s="108">
        <f t="shared" ref="G270:G277" si="89">E270-$F$273</f>
        <v>-0.22459552527275051</v>
      </c>
      <c r="H270" s="108">
        <f t="shared" ref="H270:H277" si="90">2^-G270</f>
        <v>1.1684496154976476</v>
      </c>
      <c r="I270" s="12"/>
      <c r="J270" s="110">
        <f t="shared" ref="J270:J277" si="91">H270/$I$273</f>
        <v>1.1292670149180679</v>
      </c>
      <c r="K270" s="17"/>
      <c r="M270" s="112"/>
    </row>
    <row r="271" spans="1:13" ht="15.5" x14ac:dyDescent="0.35">
      <c r="A271" s="155"/>
      <c r="B271" s="9" t="s">
        <v>1</v>
      </c>
      <c r="C271" s="15">
        <v>26.380641306357798</v>
      </c>
      <c r="D271" s="15">
        <v>18.360692557729099</v>
      </c>
      <c r="E271" s="100">
        <f t="shared" si="88"/>
        <v>8.0199487486286998</v>
      </c>
      <c r="F271" s="108"/>
      <c r="G271" s="108">
        <f t="shared" si="89"/>
        <v>-0.42964047761255131</v>
      </c>
      <c r="H271" s="108">
        <f t="shared" si="90"/>
        <v>1.3468978854884479</v>
      </c>
      <c r="I271" s="14"/>
      <c r="J271" s="110">
        <f t="shared" si="91"/>
        <v>1.3017312294610102</v>
      </c>
      <c r="K271" s="17">
        <f>AVERAGE(J270:J273)</f>
        <v>0.99999999999999989</v>
      </c>
      <c r="L271" s="100">
        <f>STDEVA(J270:J273)</f>
        <v>0.2854779870029821</v>
      </c>
      <c r="M271" s="113">
        <f>L271/SQRT(4)</f>
        <v>0.14273899350149105</v>
      </c>
    </row>
    <row r="272" spans="1:13" ht="15.5" x14ac:dyDescent="0.35">
      <c r="A272" s="155"/>
      <c r="B272" s="9" t="s">
        <v>0</v>
      </c>
      <c r="C272" s="15">
        <v>27.3</v>
      </c>
      <c r="D272" s="15">
        <v>18.247648870363602</v>
      </c>
      <c r="E272" s="100">
        <f t="shared" si="88"/>
        <v>9.0523511296363992</v>
      </c>
      <c r="F272" s="108"/>
      <c r="G272" s="108">
        <f t="shared" si="89"/>
        <v>0.60276190339514812</v>
      </c>
      <c r="H272" s="108">
        <f t="shared" si="90"/>
        <v>0.65849212696279369</v>
      </c>
      <c r="I272" s="14"/>
      <c r="J272" s="110">
        <f t="shared" si="91"/>
        <v>0.63641035839240301</v>
      </c>
      <c r="K272" s="17"/>
      <c r="L272" s="100"/>
      <c r="M272" s="113"/>
    </row>
    <row r="273" spans="1:13" ht="15.5" x14ac:dyDescent="0.35">
      <c r="A273" s="155"/>
      <c r="B273" s="9" t="s">
        <v>10</v>
      </c>
      <c r="C273" s="15">
        <v>26.532661158741</v>
      </c>
      <c r="D273" s="15">
        <v>18.031597833009599</v>
      </c>
      <c r="E273" s="100">
        <f t="shared" si="88"/>
        <v>8.5010633257314012</v>
      </c>
      <c r="F273" s="108">
        <f>AVERAGE(E270:E273)</f>
        <v>8.4495892262412511</v>
      </c>
      <c r="G273" s="108">
        <f t="shared" si="89"/>
        <v>5.1474099490150138E-2</v>
      </c>
      <c r="H273" s="108">
        <f t="shared" si="90"/>
        <v>0.96494987023696643</v>
      </c>
      <c r="I273" s="12">
        <f>AVERAGE(H270:H273)</f>
        <v>1.034697374546464</v>
      </c>
      <c r="J273" s="110">
        <f t="shared" si="91"/>
        <v>0.93259139722851836</v>
      </c>
      <c r="L273" s="100"/>
      <c r="M273" s="113"/>
    </row>
    <row r="274" spans="1:13" ht="15.5" x14ac:dyDescent="0.35">
      <c r="A274" s="156" t="s">
        <v>60</v>
      </c>
      <c r="B274" s="9" t="s">
        <v>2</v>
      </c>
      <c r="C274" s="15">
        <v>35.8516372864269</v>
      </c>
      <c r="D274" s="15">
        <v>18.010000000000002</v>
      </c>
      <c r="E274" s="100">
        <f t="shared" si="88"/>
        <v>17.841637286426899</v>
      </c>
      <c r="F274" s="108"/>
      <c r="G274" s="108">
        <f t="shared" si="89"/>
        <v>9.3920480601856475</v>
      </c>
      <c r="H274" s="108">
        <f t="shared" si="90"/>
        <v>1.4883731032038301E-3</v>
      </c>
      <c r="I274" s="12"/>
      <c r="J274" s="110">
        <f t="shared" si="91"/>
        <v>1.4384622400885325E-3</v>
      </c>
      <c r="K274" s="17"/>
      <c r="M274" s="112"/>
    </row>
    <row r="275" spans="1:13" ht="15.5" x14ac:dyDescent="0.35">
      <c r="A275" s="157"/>
      <c r="B275" s="9" t="s">
        <v>1</v>
      </c>
      <c r="C275" s="15">
        <v>32.493557128573002</v>
      </c>
      <c r="D275" s="15">
        <v>18.29</v>
      </c>
      <c r="E275" s="100">
        <f t="shared" si="88"/>
        <v>14.203557128573003</v>
      </c>
      <c r="F275" s="108"/>
      <c r="G275" s="108">
        <f t="shared" si="89"/>
        <v>5.7539679023317518</v>
      </c>
      <c r="H275" s="108">
        <f t="shared" si="90"/>
        <v>1.8530326318974843E-2</v>
      </c>
      <c r="I275" s="14"/>
      <c r="J275" s="110">
        <f t="shared" si="91"/>
        <v>1.7908933350775331E-2</v>
      </c>
      <c r="K275" s="22">
        <f>AVERAGE(J274:J277)</f>
        <v>1.6188981078072585E-2</v>
      </c>
      <c r="L275" s="100">
        <f>STDEVA(J274:J277)</f>
        <v>1.0127258658512312E-2</v>
      </c>
      <c r="M275" s="113">
        <f>L275/SQRT(4)</f>
        <v>5.0636293292561562E-3</v>
      </c>
    </row>
    <row r="276" spans="1:13" ht="15.5" x14ac:dyDescent="0.35">
      <c r="A276" s="157"/>
      <c r="B276" s="9" t="s">
        <v>0</v>
      </c>
      <c r="C276" s="15">
        <v>32.220299384463402</v>
      </c>
      <c r="D276" s="15">
        <v>18.29</v>
      </c>
      <c r="E276" s="100">
        <f t="shared" si="88"/>
        <v>13.930299384463403</v>
      </c>
      <c r="F276" s="108"/>
      <c r="G276" s="108">
        <f t="shared" si="89"/>
        <v>5.480710158222152</v>
      </c>
      <c r="H276" s="108">
        <f t="shared" si="90"/>
        <v>2.2394524462563042E-2</v>
      </c>
      <c r="I276" s="14"/>
      <c r="J276" s="110">
        <f t="shared" si="91"/>
        <v>2.1643550098287598E-2</v>
      </c>
      <c r="K276" s="17"/>
      <c r="L276" s="100"/>
      <c r="M276" s="113"/>
    </row>
    <row r="277" spans="1:13" ht="15.5" x14ac:dyDescent="0.35">
      <c r="A277" s="158"/>
      <c r="B277" s="19" t="s">
        <v>10</v>
      </c>
      <c r="C277" s="20">
        <v>33.145399438169797</v>
      </c>
      <c r="D277" s="20">
        <v>19.350000000000001</v>
      </c>
      <c r="E277" s="101">
        <f t="shared" si="88"/>
        <v>13.795399438169795</v>
      </c>
      <c r="F277" s="101"/>
      <c r="G277" s="108">
        <f t="shared" si="89"/>
        <v>5.3458102119285442</v>
      </c>
      <c r="H277" s="108">
        <f t="shared" si="90"/>
        <v>2.4589560987514646E-2</v>
      </c>
      <c r="I277" s="22"/>
      <c r="J277" s="110">
        <f t="shared" si="91"/>
        <v>2.3764978623138883E-2</v>
      </c>
      <c r="K277" s="30"/>
      <c r="L277" s="101"/>
      <c r="M277" s="114"/>
    </row>
    <row r="280" spans="1:13" ht="15.5" x14ac:dyDescent="0.35">
      <c r="A280" s="25" t="s">
        <v>61</v>
      </c>
    </row>
    <row r="281" spans="1:13" ht="15.5" x14ac:dyDescent="0.35">
      <c r="A281" s="26" t="s">
        <v>8</v>
      </c>
      <c r="B281" s="27" t="s">
        <v>9</v>
      </c>
      <c r="C281" s="26" t="s">
        <v>7</v>
      </c>
      <c r="D281" s="26" t="s">
        <v>6</v>
      </c>
      <c r="E281" s="99" t="s">
        <v>5</v>
      </c>
      <c r="F281" s="107" t="s">
        <v>12</v>
      </c>
      <c r="G281" s="107" t="s">
        <v>13</v>
      </c>
      <c r="H281" s="99" t="s">
        <v>4</v>
      </c>
      <c r="I281" s="26" t="s">
        <v>3</v>
      </c>
      <c r="J281" s="99" t="s">
        <v>14</v>
      </c>
      <c r="K281" s="28" t="s">
        <v>3</v>
      </c>
      <c r="L281" s="107" t="s">
        <v>15</v>
      </c>
      <c r="M281" s="107" t="s">
        <v>16</v>
      </c>
    </row>
    <row r="282" spans="1:13" ht="15.5" x14ac:dyDescent="0.35">
      <c r="A282" s="155" t="s">
        <v>11</v>
      </c>
      <c r="B282" s="9" t="s">
        <v>2</v>
      </c>
      <c r="C282" s="15">
        <v>23.878362989274599</v>
      </c>
      <c r="D282" s="15">
        <v>18.063045873838099</v>
      </c>
      <c r="E282" s="100">
        <f t="shared" ref="E282:E289" si="92">C282-D282</f>
        <v>5.8153171154364998</v>
      </c>
      <c r="F282" s="108"/>
      <c r="G282" s="108">
        <f t="shared" ref="G282:G289" si="93">E282-$F$285</f>
        <v>0.48638368659044939</v>
      </c>
      <c r="H282" s="108">
        <f t="shared" ref="H282:H289" si="94">2^-G282</f>
        <v>0.71381212534903293</v>
      </c>
      <c r="I282" s="12"/>
      <c r="J282" s="110">
        <f t="shared" ref="J282:J289" si="95">H282/$I$285</f>
        <v>0.65515359206139356</v>
      </c>
      <c r="K282" s="17"/>
      <c r="M282" s="112"/>
    </row>
    <row r="283" spans="1:13" ht="15.5" x14ac:dyDescent="0.35">
      <c r="A283" s="155"/>
      <c r="B283" s="9" t="s">
        <v>1</v>
      </c>
      <c r="C283" s="15">
        <v>24.0365406485239</v>
      </c>
      <c r="D283" s="15">
        <v>18.360692557729099</v>
      </c>
      <c r="E283" s="100">
        <f t="shared" si="92"/>
        <v>5.6758480907948012</v>
      </c>
      <c r="F283" s="108"/>
      <c r="G283" s="108">
        <f t="shared" si="93"/>
        <v>0.34691466194875087</v>
      </c>
      <c r="H283" s="108">
        <f t="shared" si="94"/>
        <v>0.78626379970712923</v>
      </c>
      <c r="I283" s="14"/>
      <c r="J283" s="110">
        <f t="shared" si="95"/>
        <v>0.72165144635794143</v>
      </c>
      <c r="K283" s="17">
        <f>AVERAGE(J282:J285)</f>
        <v>1</v>
      </c>
      <c r="L283" s="100">
        <f>STDEVA(J282:J285)</f>
        <v>0.52575626632802575</v>
      </c>
      <c r="M283" s="113">
        <f>L283/SQRT(4)</f>
        <v>0.26287813316401287</v>
      </c>
    </row>
    <row r="284" spans="1:13" ht="15.5" x14ac:dyDescent="0.35">
      <c r="A284" s="155"/>
      <c r="B284" s="9" t="s">
        <v>0</v>
      </c>
      <c r="C284" s="15">
        <v>22.6210482533141</v>
      </c>
      <c r="D284" s="15">
        <v>18.247648870363602</v>
      </c>
      <c r="E284" s="100">
        <f t="shared" si="92"/>
        <v>4.3733993829504989</v>
      </c>
      <c r="F284" s="108"/>
      <c r="G284" s="108">
        <f t="shared" si="93"/>
        <v>-0.95553404589555146</v>
      </c>
      <c r="H284" s="108">
        <f t="shared" si="94"/>
        <v>1.9392973753948137</v>
      </c>
      <c r="I284" s="14"/>
      <c r="J284" s="110">
        <f t="shared" si="95"/>
        <v>1.7799328372908905</v>
      </c>
      <c r="K284" s="17"/>
      <c r="L284" s="100"/>
      <c r="M284" s="113"/>
    </row>
    <row r="285" spans="1:13" ht="15.5" x14ac:dyDescent="0.35">
      <c r="A285" s="155"/>
      <c r="B285" s="9" t="s">
        <v>10</v>
      </c>
      <c r="C285" s="15">
        <v>23.482766959212</v>
      </c>
      <c r="D285" s="15">
        <v>18.031597833009599</v>
      </c>
      <c r="E285" s="100">
        <f t="shared" si="92"/>
        <v>5.4511691262024016</v>
      </c>
      <c r="F285" s="108">
        <f>AVERAGE(E282:E285)</f>
        <v>5.3289334288460504</v>
      </c>
      <c r="G285" s="108">
        <f t="shared" si="93"/>
        <v>0.1222356973563512</v>
      </c>
      <c r="H285" s="108">
        <f t="shared" si="94"/>
        <v>0.91876277022566999</v>
      </c>
      <c r="I285" s="12">
        <f>AVERAGE(H282:H285)</f>
        <v>1.0895340176691615</v>
      </c>
      <c r="J285" s="110">
        <f t="shared" si="95"/>
        <v>0.84326212428977465</v>
      </c>
      <c r="L285" s="100"/>
      <c r="M285" s="113"/>
    </row>
    <row r="286" spans="1:13" ht="15.5" x14ac:dyDescent="0.35">
      <c r="A286" s="156" t="s">
        <v>62</v>
      </c>
      <c r="B286" s="9" t="s">
        <v>2</v>
      </c>
      <c r="C286" s="15">
        <v>25.8048054772865</v>
      </c>
      <c r="D286" s="15">
        <v>18.13</v>
      </c>
      <c r="E286" s="100">
        <f t="shared" si="92"/>
        <v>7.6748054772865011</v>
      </c>
      <c r="F286" s="108"/>
      <c r="G286" s="108">
        <f t="shared" si="93"/>
        <v>2.3458720484404507</v>
      </c>
      <c r="H286" s="108">
        <f t="shared" si="94"/>
        <v>0.19670805645728684</v>
      </c>
      <c r="I286" s="12"/>
      <c r="J286" s="110">
        <f t="shared" si="95"/>
        <v>0.18054329031240723</v>
      </c>
      <c r="K286" s="17"/>
      <c r="M286" s="112"/>
    </row>
    <row r="287" spans="1:13" ht="15.5" x14ac:dyDescent="0.35">
      <c r="A287" s="157"/>
      <c r="B287" s="9" t="s">
        <v>1</v>
      </c>
      <c r="C287" s="15">
        <v>29.928051480708799</v>
      </c>
      <c r="D287" s="15">
        <v>18.11</v>
      </c>
      <c r="E287" s="100">
        <f t="shared" si="92"/>
        <v>11.8180514807088</v>
      </c>
      <c r="F287" s="108"/>
      <c r="G287" s="108">
        <f t="shared" si="93"/>
        <v>6.4891180518627491</v>
      </c>
      <c r="H287" s="108">
        <f t="shared" si="94"/>
        <v>1.1132195405598113E-2</v>
      </c>
      <c r="I287" s="14"/>
      <c r="J287" s="110">
        <f t="shared" si="95"/>
        <v>1.021739131139127E-2</v>
      </c>
      <c r="K287" s="22">
        <f>AVERAGE(J286:J289)</f>
        <v>0.12892651233163069</v>
      </c>
      <c r="L287" s="100">
        <f>STDEVA(J286:J289)</f>
        <v>8.00690672735513E-2</v>
      </c>
      <c r="M287" s="113">
        <f>L287/SQRT(4)</f>
        <v>4.003453363677565E-2</v>
      </c>
    </row>
    <row r="288" spans="1:13" ht="15.5" x14ac:dyDescent="0.35">
      <c r="A288" s="157"/>
      <c r="B288" s="9" t="s">
        <v>0</v>
      </c>
      <c r="C288" s="15">
        <v>25.665456674945901</v>
      </c>
      <c r="D288" s="15">
        <v>17.93</v>
      </c>
      <c r="E288" s="100">
        <f t="shared" si="92"/>
        <v>7.7354566749459011</v>
      </c>
      <c r="F288" s="108"/>
      <c r="G288" s="108">
        <f t="shared" si="93"/>
        <v>2.4065232460998507</v>
      </c>
      <c r="H288" s="108">
        <f t="shared" si="94"/>
        <v>0.18860982740928811</v>
      </c>
      <c r="I288" s="14"/>
      <c r="J288" s="110">
        <f t="shared" si="95"/>
        <v>0.17311054482978039</v>
      </c>
      <c r="K288" s="17"/>
      <c r="L288" s="100"/>
      <c r="M288" s="113"/>
    </row>
    <row r="289" spans="1:13" ht="15.5" x14ac:dyDescent="0.35">
      <c r="A289" s="158"/>
      <c r="B289" s="19" t="s">
        <v>10</v>
      </c>
      <c r="C289" s="20">
        <v>26.0246475758426</v>
      </c>
      <c r="D289" s="20">
        <v>18.100000000000001</v>
      </c>
      <c r="E289" s="101">
        <f t="shared" si="92"/>
        <v>7.9246475758425987</v>
      </c>
      <c r="F289" s="101"/>
      <c r="G289" s="108">
        <f t="shared" si="93"/>
        <v>2.5957141469965483</v>
      </c>
      <c r="H289" s="108">
        <f t="shared" si="94"/>
        <v>0.16542920458684404</v>
      </c>
      <c r="I289" s="22"/>
      <c r="J289" s="110">
        <f t="shared" si="95"/>
        <v>0.15183482287294389</v>
      </c>
      <c r="K289" s="30"/>
      <c r="L289" s="101"/>
      <c r="M289" s="114"/>
    </row>
    <row r="292" spans="1:13" ht="15.5" x14ac:dyDescent="0.35">
      <c r="A292" s="25" t="s">
        <v>63</v>
      </c>
    </row>
    <row r="293" spans="1:13" ht="15.5" x14ac:dyDescent="0.35">
      <c r="A293" s="26" t="s">
        <v>8</v>
      </c>
      <c r="B293" s="27" t="s">
        <v>9</v>
      </c>
      <c r="C293" s="26" t="s">
        <v>7</v>
      </c>
      <c r="D293" s="26" t="s">
        <v>6</v>
      </c>
      <c r="E293" s="99" t="s">
        <v>5</v>
      </c>
      <c r="F293" s="107" t="s">
        <v>12</v>
      </c>
      <c r="G293" s="107" t="s">
        <v>13</v>
      </c>
      <c r="H293" s="99" t="s">
        <v>4</v>
      </c>
      <c r="I293" s="26" t="s">
        <v>3</v>
      </c>
      <c r="J293" s="99" t="s">
        <v>14</v>
      </c>
      <c r="K293" s="28" t="s">
        <v>3</v>
      </c>
      <c r="L293" s="107" t="s">
        <v>15</v>
      </c>
      <c r="M293" s="107" t="s">
        <v>16</v>
      </c>
    </row>
    <row r="294" spans="1:13" ht="15.5" x14ac:dyDescent="0.35">
      <c r="A294" s="155" t="s">
        <v>11</v>
      </c>
      <c r="B294" s="9" t="s">
        <v>2</v>
      </c>
      <c r="C294" s="15">
        <v>23.2003549226425</v>
      </c>
      <c r="D294" s="15">
        <v>18.063045873838099</v>
      </c>
      <c r="E294" s="100">
        <f t="shared" ref="E294:E301" si="96">C294-D294</f>
        <v>5.1373090488044006</v>
      </c>
      <c r="F294" s="108"/>
      <c r="G294" s="108">
        <f t="shared" ref="G294:G301" si="97">E294-$F$297</f>
        <v>0.33364978162517556</v>
      </c>
      <c r="H294" s="108">
        <f t="shared" ref="H294:H301" si="98">2^-G294</f>
        <v>0.79352645064271776</v>
      </c>
      <c r="I294" s="12"/>
      <c r="J294" s="110">
        <f t="shared" ref="J294:J301" si="99">H294/$I$297</f>
        <v>0.72395358947209454</v>
      </c>
      <c r="K294" s="17"/>
      <c r="M294" s="112"/>
    </row>
    <row r="295" spans="1:13" ht="15.5" x14ac:dyDescent="0.35">
      <c r="A295" s="155"/>
      <c r="B295" s="9" t="s">
        <v>1</v>
      </c>
      <c r="C295" s="15">
        <v>22.1608996202682</v>
      </c>
      <c r="D295" s="15">
        <v>18.360692557729099</v>
      </c>
      <c r="E295" s="100">
        <f t="shared" si="96"/>
        <v>3.8002070625391013</v>
      </c>
      <c r="F295" s="108"/>
      <c r="G295" s="108">
        <f t="shared" si="97"/>
        <v>-1.0034522046401237</v>
      </c>
      <c r="H295" s="108">
        <f t="shared" si="98"/>
        <v>2.004791502298906</v>
      </c>
      <c r="I295" s="14"/>
      <c r="J295" s="110">
        <f t="shared" si="99"/>
        <v>1.8290203219525978</v>
      </c>
      <c r="K295" s="17">
        <f>AVERAGE(J294:J297)</f>
        <v>0.99999999999999989</v>
      </c>
      <c r="L295" s="100">
        <f>STDEVA(J294:J297)</f>
        <v>0.55284354731487295</v>
      </c>
      <c r="M295" s="113">
        <f>L295/SQRT(4)</f>
        <v>0.27642177365743648</v>
      </c>
    </row>
    <row r="296" spans="1:13" ht="15.5" x14ac:dyDescent="0.35">
      <c r="A296" s="155"/>
      <c r="B296" s="9" t="s">
        <v>0</v>
      </c>
      <c r="C296" s="15">
        <v>23.419027750116499</v>
      </c>
      <c r="D296" s="15">
        <v>18.247648870363602</v>
      </c>
      <c r="E296" s="100">
        <f t="shared" si="96"/>
        <v>5.171378879752897</v>
      </c>
      <c r="F296" s="108"/>
      <c r="G296" s="108">
        <f t="shared" si="97"/>
        <v>0.36771961257367192</v>
      </c>
      <c r="H296" s="108">
        <f t="shared" si="98"/>
        <v>0.77500653865356728</v>
      </c>
      <c r="I296" s="14"/>
      <c r="J296" s="110">
        <f t="shared" si="99"/>
        <v>0.70705742079316358</v>
      </c>
      <c r="K296" s="17"/>
      <c r="L296" s="100"/>
      <c r="M296" s="113"/>
    </row>
    <row r="297" spans="1:13" ht="15.5" x14ac:dyDescent="0.35">
      <c r="A297" s="155"/>
      <c r="B297" s="9" t="s">
        <v>10</v>
      </c>
      <c r="C297" s="15">
        <v>23.1373399106301</v>
      </c>
      <c r="D297" s="15">
        <v>18.031597833009599</v>
      </c>
      <c r="E297" s="100">
        <f t="shared" si="96"/>
        <v>5.1057420776205014</v>
      </c>
      <c r="F297" s="108">
        <f>AVERAGE(E294:E297)</f>
        <v>4.8036592671792251</v>
      </c>
      <c r="G297" s="108">
        <f t="shared" si="97"/>
        <v>0.30208281044127627</v>
      </c>
      <c r="H297" s="108">
        <f t="shared" si="98"/>
        <v>0.81108059835735979</v>
      </c>
      <c r="I297" s="12">
        <f>AVERAGE(H294:H297)</f>
        <v>1.0961012724881378</v>
      </c>
      <c r="J297" s="110">
        <f t="shared" si="99"/>
        <v>0.73996866778214365</v>
      </c>
      <c r="L297" s="100"/>
      <c r="M297" s="113"/>
    </row>
    <row r="298" spans="1:13" ht="15.5" x14ac:dyDescent="0.35">
      <c r="A298" s="156" t="s">
        <v>64</v>
      </c>
      <c r="B298" s="9" t="s">
        <v>2</v>
      </c>
      <c r="C298" s="15">
        <v>28.967613156523701</v>
      </c>
      <c r="D298" s="15">
        <v>17.78</v>
      </c>
      <c r="E298" s="100">
        <f t="shared" si="96"/>
        <v>11.1876131565237</v>
      </c>
      <c r="F298" s="108"/>
      <c r="G298" s="108">
        <f t="shared" si="97"/>
        <v>6.3839538893444745</v>
      </c>
      <c r="H298" s="108">
        <f t="shared" si="98"/>
        <v>1.1973976138897028E-2</v>
      </c>
      <c r="I298" s="12"/>
      <c r="J298" s="110">
        <f t="shared" si="99"/>
        <v>1.0924151298279432E-2</v>
      </c>
      <c r="K298" s="17"/>
      <c r="M298" s="112"/>
    </row>
    <row r="299" spans="1:13" ht="15.5" x14ac:dyDescent="0.35">
      <c r="A299" s="157"/>
      <c r="B299" s="9" t="s">
        <v>1</v>
      </c>
      <c r="C299" s="15">
        <v>26.040096079903901</v>
      </c>
      <c r="D299" s="15">
        <v>17.48</v>
      </c>
      <c r="E299" s="100">
        <f t="shared" si="96"/>
        <v>8.5600960799039001</v>
      </c>
      <c r="F299" s="108"/>
      <c r="G299" s="108">
        <f t="shared" si="97"/>
        <v>3.756436812724675</v>
      </c>
      <c r="H299" s="108">
        <f t="shared" si="98"/>
        <v>7.3994568605718458E-2</v>
      </c>
      <c r="I299" s="14"/>
      <c r="J299" s="110">
        <f t="shared" si="99"/>
        <v>6.750705474299068E-2</v>
      </c>
      <c r="K299" s="22">
        <f>AVERAGE(J298:J301)</f>
        <v>7.998294562081347E-2</v>
      </c>
      <c r="L299" s="100">
        <f>STDEVA(J298:J301)</f>
        <v>6.6737284327098093E-2</v>
      </c>
      <c r="M299" s="113">
        <f>L299/SQRT(4)</f>
        <v>3.3368642163549046E-2</v>
      </c>
    </row>
    <row r="300" spans="1:13" ht="15.5" x14ac:dyDescent="0.35">
      <c r="A300" s="157"/>
      <c r="B300" s="9" t="s">
        <v>0</v>
      </c>
      <c r="C300" s="15">
        <v>25.176584022659299</v>
      </c>
      <c r="D300" s="15">
        <v>17.96</v>
      </c>
      <c r="E300" s="100">
        <f t="shared" si="96"/>
        <v>7.2165840226592977</v>
      </c>
      <c r="F300" s="108"/>
      <c r="G300" s="108">
        <f t="shared" si="97"/>
        <v>2.4129247554800726</v>
      </c>
      <c r="H300" s="108">
        <f t="shared" si="98"/>
        <v>0.18777478410502055</v>
      </c>
      <c r="I300" s="14"/>
      <c r="J300" s="110">
        <f t="shared" si="99"/>
        <v>0.17131152824845633</v>
      </c>
      <c r="K300" s="17"/>
      <c r="L300" s="100"/>
      <c r="M300" s="113"/>
    </row>
    <row r="301" spans="1:13" ht="15.5" x14ac:dyDescent="0.35">
      <c r="A301" s="158"/>
      <c r="B301" s="19" t="s">
        <v>10</v>
      </c>
      <c r="C301" s="20">
        <v>27.013888416962399</v>
      </c>
      <c r="D301" s="20">
        <v>18.510000000000002</v>
      </c>
      <c r="E301" s="101">
        <f t="shared" si="96"/>
        <v>8.5038884169623969</v>
      </c>
      <c r="F301" s="101"/>
      <c r="G301" s="108">
        <f t="shared" si="97"/>
        <v>3.7002291497831719</v>
      </c>
      <c r="H301" s="108">
        <f t="shared" si="98"/>
        <v>7.6934305039656689E-2</v>
      </c>
      <c r="I301" s="22"/>
      <c r="J301" s="110">
        <f t="shared" si="99"/>
        <v>7.0189048193527462E-2</v>
      </c>
      <c r="K301" s="30"/>
      <c r="L301" s="101"/>
      <c r="M301" s="114"/>
    </row>
    <row r="304" spans="1:13" ht="15.5" x14ac:dyDescent="0.35">
      <c r="A304" s="25" t="s">
        <v>65</v>
      </c>
    </row>
    <row r="305" spans="1:13" ht="15.5" x14ac:dyDescent="0.35">
      <c r="A305" s="26" t="s">
        <v>8</v>
      </c>
      <c r="B305" s="27" t="s">
        <v>9</v>
      </c>
      <c r="C305" s="26" t="s">
        <v>7</v>
      </c>
      <c r="D305" s="26" t="s">
        <v>6</v>
      </c>
      <c r="E305" s="99" t="s">
        <v>5</v>
      </c>
      <c r="F305" s="107" t="s">
        <v>12</v>
      </c>
      <c r="G305" s="107" t="s">
        <v>13</v>
      </c>
      <c r="H305" s="99" t="s">
        <v>4</v>
      </c>
      <c r="I305" s="26" t="s">
        <v>3</v>
      </c>
      <c r="J305" s="99" t="s">
        <v>14</v>
      </c>
      <c r="K305" s="28" t="s">
        <v>3</v>
      </c>
      <c r="L305" s="107" t="s">
        <v>15</v>
      </c>
      <c r="M305" s="107" t="s">
        <v>16</v>
      </c>
    </row>
    <row r="306" spans="1:13" ht="15.5" x14ac:dyDescent="0.35">
      <c r="A306" s="155" t="s">
        <v>11</v>
      </c>
      <c r="B306" s="9" t="s">
        <v>2</v>
      </c>
      <c r="C306" s="15">
        <v>23.923223735277698</v>
      </c>
      <c r="D306" s="15">
        <v>18.405856873784199</v>
      </c>
      <c r="E306" s="100">
        <f t="shared" ref="E306:E313" si="100">C306-D306</f>
        <v>5.5173668614934996</v>
      </c>
      <c r="F306" s="108"/>
      <c r="G306" s="108">
        <f t="shared" ref="G306:G313" si="101">E306-$F$309</f>
        <v>0.53246606135829921</v>
      </c>
      <c r="H306" s="108">
        <f t="shared" ref="H306:H313" si="102">2^-G306</f>
        <v>0.69137193133398533</v>
      </c>
      <c r="I306" s="12"/>
      <c r="J306" s="110">
        <f t="shared" ref="J306:J313" si="103">H306/$I$309</f>
        <v>0.65773561366677225</v>
      </c>
      <c r="K306" s="17"/>
      <c r="M306" s="112"/>
    </row>
    <row r="307" spans="1:13" ht="15.5" x14ac:dyDescent="0.35">
      <c r="A307" s="155"/>
      <c r="B307" s="9" t="s">
        <v>1</v>
      </c>
      <c r="C307" s="15">
        <v>23.500185755413799</v>
      </c>
      <c r="D307" s="15">
        <v>18.4389146645143</v>
      </c>
      <c r="E307" s="100">
        <f t="shared" si="100"/>
        <v>5.0612710908994991</v>
      </c>
      <c r="F307" s="108"/>
      <c r="G307" s="108">
        <f t="shared" si="101"/>
        <v>7.6370290764298687E-2</v>
      </c>
      <c r="H307" s="108">
        <f t="shared" si="102"/>
        <v>0.94844085137849665</v>
      </c>
      <c r="I307" s="14"/>
      <c r="J307" s="110">
        <f t="shared" si="103"/>
        <v>0.90229773170631833</v>
      </c>
      <c r="K307" s="17">
        <f>AVERAGE(J306:J309)</f>
        <v>0.99999999999999978</v>
      </c>
      <c r="L307" s="100">
        <f>STDEVA(J306:J309)</f>
        <v>0.38283936488614578</v>
      </c>
      <c r="M307" s="113">
        <f>L307/SQRT(4)</f>
        <v>0.19141968244307289</v>
      </c>
    </row>
    <row r="308" spans="1:13" ht="15.5" x14ac:dyDescent="0.35">
      <c r="A308" s="155"/>
      <c r="B308" s="9" t="s">
        <v>0</v>
      </c>
      <c r="C308" s="15">
        <v>22.742911829472501</v>
      </c>
      <c r="D308" s="15">
        <v>18.461102787305698</v>
      </c>
      <c r="E308" s="100">
        <f t="shared" si="100"/>
        <v>4.2818090421668025</v>
      </c>
      <c r="F308" s="108"/>
      <c r="G308" s="108">
        <f t="shared" si="101"/>
        <v>-0.70309175796839796</v>
      </c>
      <c r="H308" s="108">
        <f t="shared" si="102"/>
        <v>1.6279899098995303</v>
      </c>
      <c r="I308" s="14"/>
      <c r="J308" s="110">
        <f t="shared" si="103"/>
        <v>1.5487856736749834</v>
      </c>
      <c r="K308" s="17"/>
      <c r="L308" s="100"/>
      <c r="M308" s="113"/>
    </row>
    <row r="309" spans="1:13" ht="15.5" x14ac:dyDescent="0.35">
      <c r="A309" s="155"/>
      <c r="B309" s="9" t="s">
        <v>10</v>
      </c>
      <c r="C309" s="15">
        <v>23.4865371833815</v>
      </c>
      <c r="D309" s="15">
        <v>18.4073809774005</v>
      </c>
      <c r="E309" s="100">
        <f t="shared" si="100"/>
        <v>5.0791562059810005</v>
      </c>
      <c r="F309" s="108">
        <f>AVERAGE(E306:E309)</f>
        <v>4.9849008001352004</v>
      </c>
      <c r="G309" s="108">
        <f t="shared" si="101"/>
        <v>9.4255405845800055E-2</v>
      </c>
      <c r="H309" s="108">
        <f t="shared" si="102"/>
        <v>0.93675559475026571</v>
      </c>
      <c r="I309" s="12">
        <f>AVERAGE(H306:H309)</f>
        <v>1.0511395718405696</v>
      </c>
      <c r="J309" s="110">
        <f t="shared" si="103"/>
        <v>0.89118098095192544</v>
      </c>
      <c r="L309" s="100"/>
      <c r="M309" s="113"/>
    </row>
    <row r="310" spans="1:13" ht="15.5" x14ac:dyDescent="0.35">
      <c r="A310" s="156" t="s">
        <v>66</v>
      </c>
      <c r="B310" s="9" t="s">
        <v>2</v>
      </c>
      <c r="C310" s="15">
        <v>28.569529318555801</v>
      </c>
      <c r="D310" s="15">
        <v>17.72</v>
      </c>
      <c r="E310" s="100">
        <f t="shared" si="100"/>
        <v>10.849529318555803</v>
      </c>
      <c r="F310" s="108"/>
      <c r="G310" s="108">
        <f t="shared" si="101"/>
        <v>5.8646285184206022</v>
      </c>
      <c r="H310" s="108">
        <f t="shared" si="102"/>
        <v>1.7162118744675263E-2</v>
      </c>
      <c r="I310" s="12"/>
      <c r="J310" s="110">
        <f t="shared" si="103"/>
        <v>1.6327155027209182E-2</v>
      </c>
      <c r="K310" s="17"/>
      <c r="M310" s="112"/>
    </row>
    <row r="311" spans="1:13" ht="15.5" x14ac:dyDescent="0.35">
      <c r="A311" s="157"/>
      <c r="B311" s="9" t="s">
        <v>1</v>
      </c>
      <c r="C311" s="15">
        <v>27.3334972697319</v>
      </c>
      <c r="D311" s="15">
        <v>18.43</v>
      </c>
      <c r="E311" s="100">
        <f t="shared" si="100"/>
        <v>8.9034972697319006</v>
      </c>
      <c r="F311" s="108"/>
      <c r="G311" s="108">
        <f t="shared" si="101"/>
        <v>3.9185964695967002</v>
      </c>
      <c r="H311" s="108">
        <f t="shared" si="102"/>
        <v>6.6127929015574793E-2</v>
      </c>
      <c r="I311" s="14"/>
      <c r="J311" s="110">
        <f t="shared" si="103"/>
        <v>6.2910702619427855E-2</v>
      </c>
      <c r="K311" s="22">
        <f>AVERAGE(J310:J313)</f>
        <v>3.9874454031826004E-2</v>
      </c>
      <c r="L311" s="100">
        <f>STDEVA(J310:J313)</f>
        <v>1.90596486954119E-2</v>
      </c>
      <c r="M311" s="113">
        <f>L311/SQRT(4)</f>
        <v>9.5298243477059501E-3</v>
      </c>
    </row>
    <row r="312" spans="1:13" ht="15.5" x14ac:dyDescent="0.35">
      <c r="A312" s="157"/>
      <c r="B312" s="9" t="s">
        <v>0</v>
      </c>
      <c r="C312" s="15">
        <v>27.7389724064743</v>
      </c>
      <c r="D312" s="15">
        <v>18.239999999999998</v>
      </c>
      <c r="E312" s="100">
        <f t="shared" si="100"/>
        <v>9.4989724064743015</v>
      </c>
      <c r="F312" s="108"/>
      <c r="G312" s="108">
        <f t="shared" si="101"/>
        <v>4.5140716063391011</v>
      </c>
      <c r="H312" s="108">
        <f t="shared" si="102"/>
        <v>4.3765212742973535E-2</v>
      </c>
      <c r="I312" s="14"/>
      <c r="J312" s="110">
        <f t="shared" si="103"/>
        <v>4.1635967206847362E-2</v>
      </c>
      <c r="K312" s="17"/>
      <c r="L312" s="100"/>
      <c r="M312" s="113"/>
    </row>
    <row r="313" spans="1:13" ht="15.5" x14ac:dyDescent="0.35">
      <c r="A313" s="158"/>
      <c r="B313" s="19" t="s">
        <v>10</v>
      </c>
      <c r="C313" s="20">
        <v>27.697305489483</v>
      </c>
      <c r="D313" s="20">
        <v>18.09</v>
      </c>
      <c r="E313" s="101">
        <f t="shared" si="100"/>
        <v>9.6073054894830001</v>
      </c>
      <c r="F313" s="101"/>
      <c r="G313" s="108">
        <f t="shared" si="101"/>
        <v>4.6224046893477997</v>
      </c>
      <c r="H313" s="108">
        <f t="shared" si="102"/>
        <v>4.0599205650336617E-2</v>
      </c>
      <c r="I313" s="22"/>
      <c r="J313" s="110">
        <f t="shared" si="103"/>
        <v>3.8623991273819588E-2</v>
      </c>
      <c r="K313" s="30"/>
      <c r="L313" s="101"/>
      <c r="M313" s="114"/>
    </row>
    <row r="317" spans="1:13" ht="15.5" x14ac:dyDescent="0.35">
      <c r="A317" s="25" t="s">
        <v>67</v>
      </c>
    </row>
    <row r="318" spans="1:13" ht="15.5" x14ac:dyDescent="0.35">
      <c r="A318" s="26" t="s">
        <v>8</v>
      </c>
      <c r="B318" s="27" t="s">
        <v>9</v>
      </c>
      <c r="C318" s="26" t="s">
        <v>7</v>
      </c>
      <c r="D318" s="26" t="s">
        <v>6</v>
      </c>
      <c r="E318" s="99" t="s">
        <v>5</v>
      </c>
      <c r="F318" s="107" t="s">
        <v>12</v>
      </c>
      <c r="G318" s="107" t="s">
        <v>13</v>
      </c>
      <c r="H318" s="99" t="s">
        <v>4</v>
      </c>
      <c r="I318" s="26" t="s">
        <v>3</v>
      </c>
      <c r="J318" s="99" t="s">
        <v>14</v>
      </c>
      <c r="K318" s="28" t="s">
        <v>3</v>
      </c>
      <c r="L318" s="107" t="s">
        <v>15</v>
      </c>
      <c r="M318" s="107" t="s">
        <v>16</v>
      </c>
    </row>
    <row r="319" spans="1:13" ht="15.5" x14ac:dyDescent="0.35">
      <c r="A319" s="155" t="s">
        <v>11</v>
      </c>
      <c r="B319" s="9" t="s">
        <v>2</v>
      </c>
      <c r="C319" s="15">
        <v>23.176272300323099</v>
      </c>
      <c r="D319" s="15">
        <v>18.405856873784199</v>
      </c>
      <c r="E319" s="100">
        <f t="shared" ref="E319:E326" si="104">C319-D319</f>
        <v>4.7704154265389</v>
      </c>
      <c r="F319" s="108"/>
      <c r="G319" s="108">
        <f t="shared" ref="G319:G326" si="105">E319-$F$322</f>
        <v>-0.11797076450950073</v>
      </c>
      <c r="H319" s="108">
        <f t="shared" ref="H319:H326" si="106">2^-G319</f>
        <v>1.0852073804763984</v>
      </c>
      <c r="I319" s="12"/>
      <c r="J319" s="110">
        <f t="shared" ref="J319:J326" si="107">H319/$I$322</f>
        <v>1.0566680541165283</v>
      </c>
      <c r="K319" s="17"/>
      <c r="M319" s="112"/>
    </row>
    <row r="320" spans="1:13" ht="15.5" x14ac:dyDescent="0.35">
      <c r="A320" s="155"/>
      <c r="B320" s="9" t="s">
        <v>1</v>
      </c>
      <c r="C320" s="15">
        <v>23.815025342182601</v>
      </c>
      <c r="D320" s="15">
        <v>18.4389146645143</v>
      </c>
      <c r="E320" s="100">
        <f t="shared" si="104"/>
        <v>5.3761106776683008</v>
      </c>
      <c r="F320" s="108"/>
      <c r="G320" s="108">
        <f t="shared" si="105"/>
        <v>0.48772448661989998</v>
      </c>
      <c r="H320" s="108">
        <f t="shared" si="106"/>
        <v>0.71314903669337371</v>
      </c>
      <c r="I320" s="14"/>
      <c r="J320" s="110">
        <f t="shared" si="107"/>
        <v>0.6943942867095646</v>
      </c>
      <c r="K320" s="17">
        <f>AVERAGE(J319:J322)</f>
        <v>1</v>
      </c>
      <c r="L320" s="100">
        <f>STDEVA(J319:J322)</f>
        <v>0.26224935815221961</v>
      </c>
      <c r="M320" s="113">
        <f>L320/SQRT(4)</f>
        <v>0.13112467907610981</v>
      </c>
    </row>
    <row r="321" spans="1:24" ht="15.5" x14ac:dyDescent="0.35">
      <c r="A321" s="155"/>
      <c r="B321" s="9" t="s">
        <v>0</v>
      </c>
      <c r="C321" s="15">
        <v>22.907359495114399</v>
      </c>
      <c r="D321" s="15">
        <v>18.461102787305698</v>
      </c>
      <c r="E321" s="100">
        <f t="shared" si="104"/>
        <v>4.4462567078087005</v>
      </c>
      <c r="F321" s="108"/>
      <c r="G321" s="108">
        <f t="shared" si="105"/>
        <v>-0.44212948323970025</v>
      </c>
      <c r="H321" s="108">
        <f t="shared" si="106"/>
        <v>1.358608215445019</v>
      </c>
      <c r="I321" s="14"/>
      <c r="J321" s="110">
        <f t="shared" si="107"/>
        <v>1.322878857210499</v>
      </c>
      <c r="K321" s="17"/>
      <c r="L321" s="100"/>
      <c r="M321" s="113"/>
    </row>
    <row r="322" spans="1:24" ht="15.5" x14ac:dyDescent="0.35">
      <c r="A322" s="155"/>
      <c r="B322" s="9" t="s">
        <v>10</v>
      </c>
      <c r="C322" s="15">
        <v>23.368142929578202</v>
      </c>
      <c r="D322" s="15">
        <v>18.4073809774005</v>
      </c>
      <c r="E322" s="100">
        <f t="shared" si="104"/>
        <v>4.9607619521777018</v>
      </c>
      <c r="F322" s="108">
        <f>AVERAGE(E319:E322)</f>
        <v>4.8883861910484008</v>
      </c>
      <c r="G322" s="108">
        <f t="shared" si="105"/>
        <v>7.2375761129300997E-2</v>
      </c>
      <c r="H322" s="108">
        <f t="shared" si="106"/>
        <v>0.95107053036259848</v>
      </c>
      <c r="I322" s="12">
        <f>AVERAGE(H319:H322)</f>
        <v>1.0270087907443475</v>
      </c>
      <c r="J322" s="110">
        <f t="shared" si="107"/>
        <v>0.92605880196340773</v>
      </c>
      <c r="L322" s="100"/>
      <c r="M322" s="113"/>
    </row>
    <row r="323" spans="1:24" ht="15.5" x14ac:dyDescent="0.35">
      <c r="A323" s="156" t="s">
        <v>68</v>
      </c>
      <c r="B323" s="9" t="s">
        <v>2</v>
      </c>
      <c r="C323" s="15">
        <v>27.652413055044399</v>
      </c>
      <c r="D323" s="15">
        <v>18.559999999999999</v>
      </c>
      <c r="E323" s="100">
        <f t="shared" si="104"/>
        <v>9.0924130550443998</v>
      </c>
      <c r="F323" s="108"/>
      <c r="G323" s="108">
        <f t="shared" si="105"/>
        <v>4.204026863995999</v>
      </c>
      <c r="H323" s="108">
        <f t="shared" si="106"/>
        <v>5.425775389813331E-2</v>
      </c>
      <c r="I323" s="12"/>
      <c r="J323" s="110">
        <f t="shared" si="107"/>
        <v>5.2830856354022827E-2</v>
      </c>
      <c r="K323" s="17"/>
      <c r="M323" s="112"/>
    </row>
    <row r="324" spans="1:24" ht="15.5" x14ac:dyDescent="0.35">
      <c r="A324" s="157"/>
      <c r="B324" s="9" t="s">
        <v>1</v>
      </c>
      <c r="C324" s="15">
        <v>28.006243142581301</v>
      </c>
      <c r="D324" s="15">
        <v>18.27</v>
      </c>
      <c r="E324" s="100">
        <f t="shared" si="104"/>
        <v>9.7362431425813014</v>
      </c>
      <c r="F324" s="108"/>
      <c r="G324" s="108">
        <f t="shared" si="105"/>
        <v>4.8478569515329006</v>
      </c>
      <c r="H324" s="108">
        <f t="shared" si="106"/>
        <v>3.4725590768559224E-2</v>
      </c>
      <c r="I324" s="14"/>
      <c r="J324" s="110">
        <f t="shared" si="107"/>
        <v>3.381235981767116E-2</v>
      </c>
      <c r="K324" s="22">
        <f>AVERAGE(J323:J326)</f>
        <v>4.4319344204538175E-2</v>
      </c>
      <c r="L324" s="100">
        <f>STDEVA(J323:J326)</f>
        <v>1.4669979345462283E-2</v>
      </c>
      <c r="M324" s="113">
        <f>L324/SQRT(4)</f>
        <v>7.3349896727311417E-3</v>
      </c>
    </row>
    <row r="325" spans="1:24" ht="15.5" x14ac:dyDescent="0.35">
      <c r="A325" s="157"/>
      <c r="B325" s="9" t="s">
        <v>0</v>
      </c>
      <c r="C325" s="15">
        <v>27.982196299870001</v>
      </c>
      <c r="D325" s="15">
        <v>18.079999999999998</v>
      </c>
      <c r="E325" s="100">
        <f t="shared" si="104"/>
        <v>9.9021962998700026</v>
      </c>
      <c r="F325" s="108"/>
      <c r="G325" s="108">
        <f t="shared" si="105"/>
        <v>5.0138101088216018</v>
      </c>
      <c r="H325" s="108">
        <f t="shared" si="106"/>
        <v>3.0952288498476199E-2</v>
      </c>
      <c r="I325" s="14"/>
      <c r="J325" s="110">
        <f t="shared" si="107"/>
        <v>3.0138289737561875E-2</v>
      </c>
      <c r="K325" s="17"/>
      <c r="L325" s="100"/>
      <c r="M325" s="113"/>
    </row>
    <row r="326" spans="1:24" ht="15.5" x14ac:dyDescent="0.35">
      <c r="A326" s="158"/>
      <c r="B326" s="19" t="s">
        <v>10</v>
      </c>
      <c r="C326" s="20">
        <v>27.616957174379198</v>
      </c>
      <c r="D326" s="20">
        <v>18.72</v>
      </c>
      <c r="E326" s="101">
        <f t="shared" si="104"/>
        <v>8.8969571743791995</v>
      </c>
      <c r="F326" s="101"/>
      <c r="G326" s="108">
        <f t="shared" si="105"/>
        <v>4.0085709833307988</v>
      </c>
      <c r="H326" s="108">
        <f t="shared" si="106"/>
        <v>6.2129791227172292E-2</v>
      </c>
      <c r="I326" s="22"/>
      <c r="J326" s="110">
        <f t="shared" si="107"/>
        <v>6.049587090889684E-2</v>
      </c>
      <c r="K326" s="30"/>
      <c r="L326" s="101"/>
      <c r="M326" s="114"/>
    </row>
    <row r="328" spans="1:24" ht="36" x14ac:dyDescent="0.8">
      <c r="E328" s="104" t="s">
        <v>204</v>
      </c>
      <c r="F328" s="109"/>
      <c r="G328" s="109"/>
      <c r="H328" s="109"/>
      <c r="I328" s="73"/>
      <c r="J328" s="109"/>
      <c r="K328" s="73"/>
      <c r="L328" s="109"/>
      <c r="M328" s="109"/>
      <c r="N328" s="73"/>
      <c r="O328" s="73"/>
      <c r="P328" s="73"/>
    </row>
    <row r="329" spans="1:24" ht="15.5" x14ac:dyDescent="0.35">
      <c r="A329" s="37"/>
      <c r="B329" s="37"/>
      <c r="C329" s="37"/>
      <c r="D329" s="38"/>
      <c r="E329" s="118"/>
      <c r="F329" s="118"/>
      <c r="G329" s="118"/>
      <c r="H329" s="118"/>
      <c r="I329" s="38"/>
      <c r="J329" s="118"/>
      <c r="K329" s="38"/>
      <c r="L329" s="118"/>
      <c r="M329" s="118"/>
      <c r="N329" s="38"/>
      <c r="O329" s="38"/>
      <c r="P329" s="38"/>
      <c r="Q329" s="119"/>
      <c r="R329" s="119"/>
      <c r="S329" s="119"/>
      <c r="T329" s="119"/>
      <c r="U329" s="151" t="s">
        <v>213</v>
      </c>
      <c r="V329" s="151"/>
      <c r="W329" s="151"/>
      <c r="X329" s="151"/>
    </row>
    <row r="330" spans="1:24" ht="15.5" x14ac:dyDescent="0.35">
      <c r="A330" s="35"/>
      <c r="B330" s="38"/>
      <c r="C330" s="38"/>
      <c r="D330" s="151" t="s">
        <v>205</v>
      </c>
      <c r="E330" s="151"/>
      <c r="F330" s="151"/>
      <c r="G330" s="151"/>
      <c r="H330" s="151"/>
      <c r="I330" s="151"/>
      <c r="J330" s="151" t="s">
        <v>206</v>
      </c>
      <c r="K330" s="151"/>
      <c r="L330" s="151"/>
      <c r="M330" s="151"/>
      <c r="N330" s="151"/>
      <c r="O330" s="151"/>
      <c r="P330" s="151"/>
      <c r="Q330" s="151" t="s">
        <v>205</v>
      </c>
      <c r="R330" s="151"/>
      <c r="S330" s="151" t="s">
        <v>206</v>
      </c>
      <c r="T330" s="151"/>
      <c r="U330" s="151" t="s">
        <v>207</v>
      </c>
      <c r="V330" s="151"/>
      <c r="W330" s="151" t="s">
        <v>208</v>
      </c>
      <c r="X330" s="151"/>
    </row>
    <row r="331" spans="1:24" x14ac:dyDescent="0.35">
      <c r="A331" s="35"/>
      <c r="B331" s="92" t="s">
        <v>8</v>
      </c>
      <c r="C331" s="91" t="s">
        <v>209</v>
      </c>
      <c r="D331" s="91" t="s">
        <v>217</v>
      </c>
      <c r="E331" s="105" t="s">
        <v>218</v>
      </c>
      <c r="F331" s="105" t="s">
        <v>219</v>
      </c>
      <c r="G331" s="105" t="s">
        <v>223</v>
      </c>
      <c r="H331" s="115" t="s">
        <v>221</v>
      </c>
      <c r="I331" s="91" t="s">
        <v>222</v>
      </c>
      <c r="J331" s="111" t="s">
        <v>209</v>
      </c>
      <c r="K331" s="94" t="s">
        <v>217</v>
      </c>
      <c r="L331" s="111" t="s">
        <v>218</v>
      </c>
      <c r="M331" s="111" t="s">
        <v>219</v>
      </c>
      <c r="N331" s="94" t="s">
        <v>220</v>
      </c>
      <c r="O331" s="95" t="s">
        <v>221</v>
      </c>
      <c r="P331" s="94" t="s">
        <v>222</v>
      </c>
      <c r="Q331" s="38" t="s">
        <v>210</v>
      </c>
      <c r="R331" s="38" t="s">
        <v>211</v>
      </c>
      <c r="S331" s="38" t="s">
        <v>210</v>
      </c>
      <c r="T331" s="38" t="s">
        <v>211</v>
      </c>
      <c r="U331" s="38" t="s">
        <v>119</v>
      </c>
      <c r="V331" s="38" t="s">
        <v>212</v>
      </c>
      <c r="W331" s="38" t="s">
        <v>119</v>
      </c>
      <c r="X331" s="38" t="s">
        <v>212</v>
      </c>
    </row>
    <row r="332" spans="1:24" x14ac:dyDescent="0.35">
      <c r="A332" s="117">
        <v>1</v>
      </c>
      <c r="B332" s="88" t="s">
        <v>18</v>
      </c>
      <c r="C332" s="89">
        <f>SUM(D332:H332)</f>
        <v>10</v>
      </c>
      <c r="D332" s="89">
        <v>3</v>
      </c>
      <c r="E332" s="89">
        <v>7</v>
      </c>
      <c r="F332" s="89">
        <v>0</v>
      </c>
      <c r="G332" s="89">
        <v>0</v>
      </c>
      <c r="H332" s="89">
        <v>0</v>
      </c>
      <c r="I332" s="89"/>
      <c r="J332" s="93">
        <f>SUM(K332:O332)</f>
        <v>22</v>
      </c>
      <c r="K332" s="93">
        <v>7</v>
      </c>
      <c r="L332" s="93">
        <v>14</v>
      </c>
      <c r="M332" s="93">
        <v>0</v>
      </c>
      <c r="N332" s="93">
        <v>0</v>
      </c>
      <c r="O332" s="93">
        <v>1</v>
      </c>
      <c r="P332" s="93"/>
      <c r="Q332" s="89">
        <f t="shared" ref="Q332:Q349" si="108">(E332/C332)*100</f>
        <v>70</v>
      </c>
      <c r="R332" s="89">
        <f t="shared" ref="R332:R349" si="109">(G332/C332)*100</f>
        <v>0</v>
      </c>
      <c r="S332" s="93">
        <f t="shared" ref="S332:S349" si="110">(L332/J332)*100</f>
        <v>63.636363636363633</v>
      </c>
      <c r="T332" s="93">
        <f t="shared" ref="T332:T349" si="111">(N332/J332)*100</f>
        <v>0</v>
      </c>
      <c r="U332" s="116">
        <f>(Q332+S332)/2</f>
        <v>66.818181818181813</v>
      </c>
      <c r="V332" s="116">
        <f>STDEVA(Q332,S332)/SQRT(2)</f>
        <v>3.1818181818181834</v>
      </c>
      <c r="W332" s="116">
        <f>(R332+T332)/2</f>
        <v>0</v>
      </c>
      <c r="X332" s="116">
        <f>STDEVA(R332,T332)/SQRT(2)</f>
        <v>0</v>
      </c>
    </row>
    <row r="333" spans="1:24" x14ac:dyDescent="0.35">
      <c r="A333" s="117">
        <v>2</v>
      </c>
      <c r="B333" s="88" t="s">
        <v>20</v>
      </c>
      <c r="C333" s="89">
        <f>SUM(D333:H333)</f>
        <v>11</v>
      </c>
      <c r="D333" s="89">
        <v>0</v>
      </c>
      <c r="E333" s="89">
        <v>0</v>
      </c>
      <c r="F333" s="89">
        <v>2</v>
      </c>
      <c r="G333" s="89">
        <v>1</v>
      </c>
      <c r="H333" s="89">
        <v>8</v>
      </c>
      <c r="I333" s="89">
        <v>4</v>
      </c>
      <c r="J333" s="93">
        <f>SUM(K333:O333)</f>
        <v>22</v>
      </c>
      <c r="K333" s="93">
        <v>0</v>
      </c>
      <c r="L333" s="93">
        <v>11</v>
      </c>
      <c r="M333" s="93">
        <v>1</v>
      </c>
      <c r="N333" s="93">
        <v>6</v>
      </c>
      <c r="O333" s="93">
        <v>4</v>
      </c>
      <c r="P333" s="93"/>
      <c r="Q333" s="89">
        <f t="shared" si="108"/>
        <v>0</v>
      </c>
      <c r="R333" s="89">
        <f t="shared" si="109"/>
        <v>9.0909090909090917</v>
      </c>
      <c r="S333" s="93">
        <f t="shared" si="110"/>
        <v>50</v>
      </c>
      <c r="T333" s="93">
        <f t="shared" si="111"/>
        <v>27.27272727272727</v>
      </c>
      <c r="U333" s="116">
        <f t="shared" ref="U333:U349" si="112">(Q333+S333)/2</f>
        <v>25</v>
      </c>
      <c r="V333" s="116">
        <f t="shared" ref="V333:V349" si="113">STDEVA(Q333,S333)/SQRT(2)</f>
        <v>25</v>
      </c>
      <c r="W333" s="116">
        <f t="shared" ref="W333:W349" si="114">(R333+T333)/2</f>
        <v>18.18181818181818</v>
      </c>
      <c r="X333" s="116">
        <f t="shared" ref="X333:X349" si="115">STDEVA(R333,T333)/SQRT(2)</f>
        <v>9.0909090909090917</v>
      </c>
    </row>
    <row r="334" spans="1:24" x14ac:dyDescent="0.35">
      <c r="A334" s="117">
        <v>3</v>
      </c>
      <c r="B334" s="88" t="s">
        <v>22</v>
      </c>
      <c r="C334" s="89">
        <f>SUM(D334:H334)</f>
        <v>10</v>
      </c>
      <c r="D334" s="89">
        <v>3</v>
      </c>
      <c r="E334" s="89">
        <v>2</v>
      </c>
      <c r="F334" s="89">
        <v>2</v>
      </c>
      <c r="G334" s="89">
        <v>3</v>
      </c>
      <c r="H334" s="89">
        <v>0</v>
      </c>
      <c r="I334" s="89"/>
      <c r="J334" s="93">
        <f>SUM(K334:O334)</f>
        <v>20</v>
      </c>
      <c r="K334" s="93">
        <v>0</v>
      </c>
      <c r="L334" s="93">
        <v>10</v>
      </c>
      <c r="M334" s="93">
        <v>2</v>
      </c>
      <c r="N334" s="93">
        <v>8</v>
      </c>
      <c r="O334" s="93">
        <v>0</v>
      </c>
      <c r="P334" s="93"/>
      <c r="Q334" s="89">
        <f t="shared" si="108"/>
        <v>20</v>
      </c>
      <c r="R334" s="89">
        <f t="shared" si="109"/>
        <v>30</v>
      </c>
      <c r="S334" s="93">
        <f t="shared" si="110"/>
        <v>50</v>
      </c>
      <c r="T334" s="93">
        <f t="shared" si="111"/>
        <v>40</v>
      </c>
      <c r="U334" s="116">
        <f t="shared" si="112"/>
        <v>35</v>
      </c>
      <c r="V334" s="116">
        <f t="shared" si="113"/>
        <v>15</v>
      </c>
      <c r="W334" s="116">
        <f t="shared" si="114"/>
        <v>35</v>
      </c>
      <c r="X334" s="116">
        <f t="shared" si="115"/>
        <v>5</v>
      </c>
    </row>
    <row r="335" spans="1:24" x14ac:dyDescent="0.35">
      <c r="A335" s="117">
        <v>4</v>
      </c>
      <c r="B335" s="88" t="s">
        <v>70</v>
      </c>
      <c r="C335" s="89">
        <v>12</v>
      </c>
      <c r="D335" s="89">
        <v>0</v>
      </c>
      <c r="E335" s="89">
        <v>2</v>
      </c>
      <c r="F335" s="89">
        <v>0</v>
      </c>
      <c r="G335" s="89">
        <v>1</v>
      </c>
      <c r="H335" s="89">
        <v>9</v>
      </c>
      <c r="I335" s="89"/>
      <c r="J335" s="93">
        <v>15</v>
      </c>
      <c r="K335" s="93">
        <v>0</v>
      </c>
      <c r="L335" s="93">
        <v>1</v>
      </c>
      <c r="M335" s="93">
        <v>0</v>
      </c>
      <c r="N335" s="93">
        <v>5</v>
      </c>
      <c r="O335" s="93">
        <v>0</v>
      </c>
      <c r="P335" s="93"/>
      <c r="Q335" s="89">
        <f t="shared" si="108"/>
        <v>16.666666666666664</v>
      </c>
      <c r="R335" s="89">
        <f t="shared" si="109"/>
        <v>8.3333333333333321</v>
      </c>
      <c r="S335" s="93">
        <f t="shared" si="110"/>
        <v>6.666666666666667</v>
      </c>
      <c r="T335" s="93">
        <f t="shared" si="111"/>
        <v>33.333333333333329</v>
      </c>
      <c r="U335" s="116">
        <f t="shared" si="112"/>
        <v>11.666666666666666</v>
      </c>
      <c r="V335" s="116">
        <f t="shared" si="113"/>
        <v>5</v>
      </c>
      <c r="W335" s="116">
        <f>(R335+T335)/2</f>
        <v>20.833333333333329</v>
      </c>
      <c r="X335" s="116">
        <f t="shared" si="115"/>
        <v>12.5</v>
      </c>
    </row>
    <row r="336" spans="1:24" x14ac:dyDescent="0.35">
      <c r="A336" s="117">
        <v>5</v>
      </c>
      <c r="B336" s="88" t="s">
        <v>34</v>
      </c>
      <c r="C336" s="89">
        <v>16</v>
      </c>
      <c r="D336" s="89"/>
      <c r="E336" s="89">
        <v>6</v>
      </c>
      <c r="F336" s="89"/>
      <c r="G336" s="89">
        <v>2</v>
      </c>
      <c r="H336" s="89">
        <v>8</v>
      </c>
      <c r="I336" s="89"/>
      <c r="J336" s="93">
        <v>15</v>
      </c>
      <c r="K336" s="93"/>
      <c r="L336" s="93">
        <v>7</v>
      </c>
      <c r="M336" s="93"/>
      <c r="N336" s="93">
        <v>8</v>
      </c>
      <c r="O336" s="93"/>
      <c r="P336" s="93"/>
      <c r="Q336" s="89">
        <f t="shared" si="108"/>
        <v>37.5</v>
      </c>
      <c r="R336" s="89">
        <f t="shared" si="109"/>
        <v>12.5</v>
      </c>
      <c r="S336" s="93">
        <f t="shared" si="110"/>
        <v>46.666666666666664</v>
      </c>
      <c r="T336" s="93">
        <f t="shared" si="111"/>
        <v>53.333333333333336</v>
      </c>
      <c r="U336" s="116">
        <f t="shared" si="112"/>
        <v>42.083333333333329</v>
      </c>
      <c r="V336" s="116">
        <f t="shared" si="113"/>
        <v>4.5833333333333472</v>
      </c>
      <c r="W336" s="116">
        <f t="shared" si="114"/>
        <v>32.916666666666671</v>
      </c>
      <c r="X336" s="116">
        <f t="shared" si="115"/>
        <v>20.416666666666661</v>
      </c>
    </row>
    <row r="337" spans="1:24" x14ac:dyDescent="0.35">
      <c r="A337" s="117">
        <v>6</v>
      </c>
      <c r="B337" s="88" t="s">
        <v>36</v>
      </c>
      <c r="C337" s="87">
        <v>11</v>
      </c>
      <c r="D337" s="87"/>
      <c r="E337" s="89">
        <v>7</v>
      </c>
      <c r="F337" s="89"/>
      <c r="G337" s="89">
        <v>2</v>
      </c>
      <c r="H337" s="89"/>
      <c r="I337" s="89"/>
      <c r="J337" s="93">
        <v>15</v>
      </c>
      <c r="K337" s="93"/>
      <c r="L337" s="93">
        <v>2</v>
      </c>
      <c r="M337" s="93"/>
      <c r="N337" s="93">
        <v>3</v>
      </c>
      <c r="O337" s="93"/>
      <c r="P337" s="93">
        <v>10</v>
      </c>
      <c r="Q337" s="89">
        <f t="shared" si="108"/>
        <v>63.636363636363633</v>
      </c>
      <c r="R337" s="89">
        <f t="shared" si="109"/>
        <v>18.181818181818183</v>
      </c>
      <c r="S337" s="93">
        <f t="shared" si="110"/>
        <v>13.333333333333334</v>
      </c>
      <c r="T337" s="93">
        <f t="shared" si="111"/>
        <v>20</v>
      </c>
      <c r="U337" s="116">
        <f t="shared" si="112"/>
        <v>38.484848484848484</v>
      </c>
      <c r="V337" s="116">
        <f t="shared" si="113"/>
        <v>25.151515151515138</v>
      </c>
      <c r="W337" s="116">
        <f t="shared" si="114"/>
        <v>19.090909090909093</v>
      </c>
      <c r="X337" s="116">
        <f t="shared" si="115"/>
        <v>0.90909090909090828</v>
      </c>
    </row>
    <row r="338" spans="1:24" x14ac:dyDescent="0.35">
      <c r="A338" s="117">
        <v>7</v>
      </c>
      <c r="B338" s="88" t="s">
        <v>38</v>
      </c>
      <c r="C338" s="89">
        <f>SUM(D338:H338)</f>
        <v>10</v>
      </c>
      <c r="D338" s="89">
        <v>0</v>
      </c>
      <c r="E338" s="89">
        <v>1</v>
      </c>
      <c r="F338" s="89">
        <v>1</v>
      </c>
      <c r="G338" s="89">
        <v>8</v>
      </c>
      <c r="H338" s="89"/>
      <c r="I338" s="89"/>
      <c r="J338" s="93">
        <f>SUM(K338:O338)</f>
        <v>20</v>
      </c>
      <c r="K338" s="93">
        <v>1</v>
      </c>
      <c r="L338" s="93">
        <v>6</v>
      </c>
      <c r="M338" s="93">
        <v>2</v>
      </c>
      <c r="N338" s="93">
        <v>11</v>
      </c>
      <c r="O338" s="93">
        <v>0</v>
      </c>
      <c r="P338" s="93"/>
      <c r="Q338" s="89">
        <f t="shared" si="108"/>
        <v>10</v>
      </c>
      <c r="R338" s="89">
        <f t="shared" si="109"/>
        <v>80</v>
      </c>
      <c r="S338" s="93">
        <f t="shared" si="110"/>
        <v>30</v>
      </c>
      <c r="T338" s="93">
        <f t="shared" si="111"/>
        <v>55.000000000000007</v>
      </c>
      <c r="U338" s="116">
        <f t="shared" si="112"/>
        <v>20</v>
      </c>
      <c r="V338" s="116">
        <f t="shared" si="113"/>
        <v>10</v>
      </c>
      <c r="W338" s="116">
        <f t="shared" si="114"/>
        <v>67.5</v>
      </c>
      <c r="X338" s="116">
        <f t="shared" si="115"/>
        <v>12.5</v>
      </c>
    </row>
    <row r="339" spans="1:24" x14ac:dyDescent="0.35">
      <c r="A339" s="117">
        <v>8</v>
      </c>
      <c r="B339" s="88" t="s">
        <v>40</v>
      </c>
      <c r="C339" s="89">
        <f>SUM(D339:H339)</f>
        <v>11</v>
      </c>
      <c r="D339" s="89">
        <v>3</v>
      </c>
      <c r="E339" s="89">
        <v>5</v>
      </c>
      <c r="F339" s="89">
        <v>1</v>
      </c>
      <c r="G339" s="89">
        <v>2</v>
      </c>
      <c r="H339" s="89"/>
      <c r="I339" s="89"/>
      <c r="J339" s="93">
        <f>SUM(K339:O339)</f>
        <v>20</v>
      </c>
      <c r="K339" s="93">
        <v>5</v>
      </c>
      <c r="L339" s="93">
        <v>11</v>
      </c>
      <c r="M339" s="93">
        <v>1</v>
      </c>
      <c r="N339" s="93">
        <v>3</v>
      </c>
      <c r="O339" s="93">
        <v>0</v>
      </c>
      <c r="P339" s="93"/>
      <c r="Q339" s="89">
        <f t="shared" si="108"/>
        <v>45.454545454545453</v>
      </c>
      <c r="R339" s="89">
        <f t="shared" si="109"/>
        <v>18.181818181818183</v>
      </c>
      <c r="S339" s="93">
        <f t="shared" si="110"/>
        <v>55.000000000000007</v>
      </c>
      <c r="T339" s="93">
        <f t="shared" si="111"/>
        <v>15</v>
      </c>
      <c r="U339" s="116">
        <f t="shared" si="112"/>
        <v>50.227272727272734</v>
      </c>
      <c r="V339" s="116">
        <f t="shared" si="113"/>
        <v>4.7727272727272769</v>
      </c>
      <c r="W339" s="116">
        <f t="shared" si="114"/>
        <v>16.590909090909093</v>
      </c>
      <c r="X339" s="116">
        <f t="shared" si="115"/>
        <v>1.5909090909090917</v>
      </c>
    </row>
    <row r="340" spans="1:24" x14ac:dyDescent="0.35">
      <c r="A340" s="117">
        <v>9</v>
      </c>
      <c r="B340" s="88" t="s">
        <v>42</v>
      </c>
      <c r="C340" s="89">
        <f>SUM(D340:H340)</f>
        <v>10</v>
      </c>
      <c r="D340" s="89">
        <v>0</v>
      </c>
      <c r="E340" s="89">
        <v>10</v>
      </c>
      <c r="F340" s="89">
        <v>0</v>
      </c>
      <c r="G340" s="89">
        <v>0</v>
      </c>
      <c r="H340" s="89">
        <v>0</v>
      </c>
      <c r="I340" s="89"/>
      <c r="J340" s="93">
        <f>SUM(K340:O340)</f>
        <v>20</v>
      </c>
      <c r="K340" s="93">
        <v>0</v>
      </c>
      <c r="L340" s="93">
        <v>20</v>
      </c>
      <c r="M340" s="93">
        <v>0</v>
      </c>
      <c r="N340" s="93">
        <v>0</v>
      </c>
      <c r="O340" s="93">
        <v>0</v>
      </c>
      <c r="P340" s="93"/>
      <c r="Q340" s="89">
        <f t="shared" si="108"/>
        <v>100</v>
      </c>
      <c r="R340" s="89">
        <f t="shared" si="109"/>
        <v>0</v>
      </c>
      <c r="S340" s="93">
        <f t="shared" si="110"/>
        <v>100</v>
      </c>
      <c r="T340" s="93">
        <f t="shared" si="111"/>
        <v>0</v>
      </c>
      <c r="U340" s="116">
        <f t="shared" si="112"/>
        <v>100</v>
      </c>
      <c r="V340" s="116">
        <f t="shared" si="113"/>
        <v>0</v>
      </c>
      <c r="W340" s="116">
        <f t="shared" si="114"/>
        <v>0</v>
      </c>
      <c r="X340" s="116">
        <f t="shared" si="115"/>
        <v>0</v>
      </c>
    </row>
    <row r="341" spans="1:24" x14ac:dyDescent="0.35">
      <c r="A341" s="117">
        <v>10</v>
      </c>
      <c r="B341" s="88" t="s">
        <v>44</v>
      </c>
      <c r="C341" s="89">
        <v>14</v>
      </c>
      <c r="D341" s="89"/>
      <c r="E341" s="89">
        <v>3</v>
      </c>
      <c r="F341" s="89"/>
      <c r="G341" s="89">
        <v>6</v>
      </c>
      <c r="H341" s="89"/>
      <c r="I341" s="89"/>
      <c r="J341" s="93">
        <v>15</v>
      </c>
      <c r="K341" s="93"/>
      <c r="L341" s="93">
        <v>3</v>
      </c>
      <c r="M341" s="93"/>
      <c r="N341" s="93">
        <v>6</v>
      </c>
      <c r="O341" s="93"/>
      <c r="P341" s="93"/>
      <c r="Q341" s="89">
        <f t="shared" si="108"/>
        <v>21.428571428571427</v>
      </c>
      <c r="R341" s="89">
        <f t="shared" si="109"/>
        <v>42.857142857142854</v>
      </c>
      <c r="S341" s="93">
        <f t="shared" si="110"/>
        <v>20</v>
      </c>
      <c r="T341" s="93">
        <f t="shared" si="111"/>
        <v>40</v>
      </c>
      <c r="U341" s="116">
        <f t="shared" si="112"/>
        <v>20.714285714285715</v>
      </c>
      <c r="V341" s="116">
        <f t="shared" si="113"/>
        <v>0.71428571428571352</v>
      </c>
      <c r="W341" s="116">
        <f t="shared" si="114"/>
        <v>41.428571428571431</v>
      </c>
      <c r="X341" s="116">
        <f t="shared" si="115"/>
        <v>1.428571428571427</v>
      </c>
    </row>
    <row r="342" spans="1:24" x14ac:dyDescent="0.35">
      <c r="A342" s="117">
        <v>11</v>
      </c>
      <c r="B342" s="88" t="s">
        <v>46</v>
      </c>
      <c r="C342" s="89">
        <v>17</v>
      </c>
      <c r="D342" s="89"/>
      <c r="E342" s="89">
        <v>4</v>
      </c>
      <c r="F342" s="89"/>
      <c r="G342" s="89">
        <v>2</v>
      </c>
      <c r="H342" s="89"/>
      <c r="I342" s="89">
        <v>11</v>
      </c>
      <c r="J342" s="93">
        <v>15</v>
      </c>
      <c r="K342" s="93"/>
      <c r="L342" s="93">
        <v>7</v>
      </c>
      <c r="M342" s="93"/>
      <c r="N342" s="93">
        <v>7</v>
      </c>
      <c r="O342" s="93"/>
      <c r="P342" s="93">
        <v>1</v>
      </c>
      <c r="Q342" s="89">
        <f t="shared" si="108"/>
        <v>23.52941176470588</v>
      </c>
      <c r="R342" s="89">
        <f t="shared" si="109"/>
        <v>11.76470588235294</v>
      </c>
      <c r="S342" s="93">
        <f t="shared" si="110"/>
        <v>46.666666666666664</v>
      </c>
      <c r="T342" s="93">
        <f t="shared" si="111"/>
        <v>46.666666666666664</v>
      </c>
      <c r="U342" s="116">
        <f t="shared" si="112"/>
        <v>35.098039215686271</v>
      </c>
      <c r="V342" s="116">
        <f t="shared" si="113"/>
        <v>11.568627450980397</v>
      </c>
      <c r="W342" s="116">
        <f t="shared" si="114"/>
        <v>29.215686274509803</v>
      </c>
      <c r="X342" s="116">
        <f t="shared" si="115"/>
        <v>17.450980392156854</v>
      </c>
    </row>
    <row r="343" spans="1:24" x14ac:dyDescent="0.35">
      <c r="A343" s="117">
        <v>12</v>
      </c>
      <c r="B343" s="88" t="s">
        <v>48</v>
      </c>
      <c r="C343" s="89">
        <v>13</v>
      </c>
      <c r="D343" s="89"/>
      <c r="E343" s="89">
        <v>11</v>
      </c>
      <c r="F343" s="89"/>
      <c r="G343" s="89">
        <v>1</v>
      </c>
      <c r="H343" s="89"/>
      <c r="I343" s="89"/>
      <c r="J343" s="93">
        <v>15</v>
      </c>
      <c r="K343" s="93"/>
      <c r="L343" s="93">
        <v>15</v>
      </c>
      <c r="M343" s="93"/>
      <c r="N343" s="93">
        <v>0</v>
      </c>
      <c r="O343" s="93"/>
      <c r="P343" s="93"/>
      <c r="Q343" s="89">
        <f t="shared" si="108"/>
        <v>84.615384615384613</v>
      </c>
      <c r="R343" s="89">
        <f t="shared" si="109"/>
        <v>7.6923076923076925</v>
      </c>
      <c r="S343" s="93">
        <f t="shared" si="110"/>
        <v>100</v>
      </c>
      <c r="T343" s="93">
        <f t="shared" si="111"/>
        <v>0</v>
      </c>
      <c r="U343" s="116">
        <f t="shared" si="112"/>
        <v>92.307692307692307</v>
      </c>
      <c r="V343" s="116">
        <f t="shared" si="113"/>
        <v>7.6923076923076925</v>
      </c>
      <c r="W343" s="116">
        <f t="shared" si="114"/>
        <v>3.8461538461538463</v>
      </c>
      <c r="X343" s="116">
        <f t="shared" si="115"/>
        <v>3.8461538461538463</v>
      </c>
    </row>
    <row r="344" spans="1:24" x14ac:dyDescent="0.35">
      <c r="A344" s="117">
        <v>13</v>
      </c>
      <c r="B344" s="88" t="s">
        <v>52</v>
      </c>
      <c r="C344" s="89">
        <f>SUM(D344:H344)</f>
        <v>10</v>
      </c>
      <c r="D344" s="89">
        <v>1</v>
      </c>
      <c r="E344" s="89">
        <v>2</v>
      </c>
      <c r="F344" s="89">
        <v>1</v>
      </c>
      <c r="G344" s="89">
        <v>1</v>
      </c>
      <c r="H344" s="89">
        <v>5</v>
      </c>
      <c r="I344" s="89"/>
      <c r="J344" s="93">
        <f>SUM(K344:O344)</f>
        <v>20</v>
      </c>
      <c r="K344" s="93">
        <v>0</v>
      </c>
      <c r="L344" s="93">
        <v>0</v>
      </c>
      <c r="M344" s="93">
        <v>6</v>
      </c>
      <c r="N344" s="93">
        <v>0</v>
      </c>
      <c r="O344" s="93">
        <v>14</v>
      </c>
      <c r="P344" s="93"/>
      <c r="Q344" s="89">
        <f t="shared" si="108"/>
        <v>20</v>
      </c>
      <c r="R344" s="89">
        <f t="shared" si="109"/>
        <v>10</v>
      </c>
      <c r="S344" s="93">
        <f t="shared" si="110"/>
        <v>0</v>
      </c>
      <c r="T344" s="93">
        <f t="shared" si="111"/>
        <v>0</v>
      </c>
      <c r="U344" s="116">
        <f t="shared" si="112"/>
        <v>10</v>
      </c>
      <c r="V344" s="116">
        <f t="shared" si="113"/>
        <v>10</v>
      </c>
      <c r="W344" s="116">
        <f t="shared" si="114"/>
        <v>5</v>
      </c>
      <c r="X344" s="116">
        <f t="shared" si="115"/>
        <v>5</v>
      </c>
    </row>
    <row r="345" spans="1:24" x14ac:dyDescent="0.35">
      <c r="A345" s="117">
        <v>14</v>
      </c>
      <c r="B345" s="88" t="s">
        <v>54</v>
      </c>
      <c r="C345" s="89">
        <f>SUM(D345:H345)</f>
        <v>10</v>
      </c>
      <c r="D345" s="89">
        <v>0</v>
      </c>
      <c r="E345" s="89">
        <v>2</v>
      </c>
      <c r="F345" s="89">
        <v>2</v>
      </c>
      <c r="G345" s="89">
        <v>1</v>
      </c>
      <c r="H345" s="89">
        <v>5</v>
      </c>
      <c r="I345" s="89">
        <v>4</v>
      </c>
      <c r="J345" s="93">
        <f>SUM(K345:O345)</f>
        <v>20</v>
      </c>
      <c r="K345" s="93">
        <v>1</v>
      </c>
      <c r="L345" s="93">
        <v>2</v>
      </c>
      <c r="M345" s="93">
        <v>7</v>
      </c>
      <c r="N345" s="93">
        <v>3</v>
      </c>
      <c r="O345" s="93">
        <v>7</v>
      </c>
      <c r="P345" s="93">
        <v>3</v>
      </c>
      <c r="Q345" s="89">
        <f t="shared" si="108"/>
        <v>20</v>
      </c>
      <c r="R345" s="89">
        <f t="shared" si="109"/>
        <v>10</v>
      </c>
      <c r="S345" s="93">
        <f t="shared" si="110"/>
        <v>10</v>
      </c>
      <c r="T345" s="93">
        <f t="shared" si="111"/>
        <v>15</v>
      </c>
      <c r="U345" s="116">
        <f t="shared" si="112"/>
        <v>15</v>
      </c>
      <c r="V345" s="116">
        <f t="shared" si="113"/>
        <v>5</v>
      </c>
      <c r="W345" s="116">
        <f t="shared" si="114"/>
        <v>12.5</v>
      </c>
      <c r="X345" s="116">
        <f t="shared" si="115"/>
        <v>2.5</v>
      </c>
    </row>
    <row r="346" spans="1:24" x14ac:dyDescent="0.35">
      <c r="A346" s="117">
        <v>15</v>
      </c>
      <c r="B346" s="88" t="s">
        <v>56</v>
      </c>
      <c r="C346" s="89">
        <v>12</v>
      </c>
      <c r="D346" s="89"/>
      <c r="E346" s="89">
        <v>1</v>
      </c>
      <c r="F346" s="89"/>
      <c r="G346" s="89">
        <v>1</v>
      </c>
      <c r="H346" s="89"/>
      <c r="I346" s="89"/>
      <c r="J346" s="93">
        <v>15</v>
      </c>
      <c r="K346" s="93"/>
      <c r="L346" s="93">
        <v>5</v>
      </c>
      <c r="M346" s="93"/>
      <c r="N346" s="93">
        <v>1</v>
      </c>
      <c r="O346" s="93"/>
      <c r="P346" s="93"/>
      <c r="Q346" s="89">
        <f t="shared" si="108"/>
        <v>8.3333333333333321</v>
      </c>
      <c r="R346" s="89">
        <f t="shared" si="109"/>
        <v>8.3333333333333321</v>
      </c>
      <c r="S346" s="93">
        <f t="shared" si="110"/>
        <v>33.333333333333329</v>
      </c>
      <c r="T346" s="93">
        <f t="shared" si="111"/>
        <v>6.666666666666667</v>
      </c>
      <c r="U346" s="116">
        <f t="shared" si="112"/>
        <v>20.833333333333329</v>
      </c>
      <c r="V346" s="116">
        <f t="shared" si="113"/>
        <v>12.5</v>
      </c>
      <c r="W346" s="116">
        <f t="shared" si="114"/>
        <v>7.5</v>
      </c>
      <c r="X346" s="116">
        <f t="shared" si="115"/>
        <v>0.83333333333333237</v>
      </c>
    </row>
    <row r="347" spans="1:24" x14ac:dyDescent="0.35">
      <c r="A347" s="117">
        <v>16</v>
      </c>
      <c r="B347" s="88" t="s">
        <v>58</v>
      </c>
      <c r="C347" s="89">
        <v>14</v>
      </c>
      <c r="D347" s="89"/>
      <c r="E347" s="89">
        <v>14</v>
      </c>
      <c r="F347" s="89"/>
      <c r="G347" s="89"/>
      <c r="H347" s="89"/>
      <c r="I347" s="89"/>
      <c r="J347" s="93">
        <v>15</v>
      </c>
      <c r="K347" s="93"/>
      <c r="L347" s="93">
        <v>15</v>
      </c>
      <c r="M347" s="93"/>
      <c r="N347" s="93"/>
      <c r="O347" s="93"/>
      <c r="P347" s="93"/>
      <c r="Q347" s="89">
        <f t="shared" si="108"/>
        <v>100</v>
      </c>
      <c r="R347" s="89">
        <f t="shared" si="109"/>
        <v>0</v>
      </c>
      <c r="S347" s="93">
        <f t="shared" si="110"/>
        <v>100</v>
      </c>
      <c r="T347" s="93">
        <f t="shared" si="111"/>
        <v>0</v>
      </c>
      <c r="U347" s="116">
        <f t="shared" si="112"/>
        <v>100</v>
      </c>
      <c r="V347" s="116">
        <f t="shared" si="113"/>
        <v>0</v>
      </c>
      <c r="W347" s="116">
        <f t="shared" si="114"/>
        <v>0</v>
      </c>
      <c r="X347" s="116">
        <f t="shared" si="115"/>
        <v>0</v>
      </c>
    </row>
    <row r="348" spans="1:24" x14ac:dyDescent="0.35">
      <c r="A348" s="117">
        <v>17</v>
      </c>
      <c r="B348" s="88" t="s">
        <v>60</v>
      </c>
      <c r="C348" s="89">
        <f>SUM(D348:H348)</f>
        <v>12</v>
      </c>
      <c r="D348" s="89"/>
      <c r="E348" s="89">
        <v>1</v>
      </c>
      <c r="F348" s="89">
        <v>3</v>
      </c>
      <c r="G348" s="89"/>
      <c r="H348" s="89">
        <v>8</v>
      </c>
      <c r="I348" s="89"/>
      <c r="J348" s="93">
        <f>SUM(K348:O348)</f>
        <v>20</v>
      </c>
      <c r="K348" s="93">
        <v>1</v>
      </c>
      <c r="L348" s="93">
        <v>3</v>
      </c>
      <c r="M348" s="93">
        <v>6</v>
      </c>
      <c r="N348" s="93">
        <v>2</v>
      </c>
      <c r="O348" s="93">
        <v>8</v>
      </c>
      <c r="P348" s="93"/>
      <c r="Q348" s="89">
        <f t="shared" si="108"/>
        <v>8.3333333333333321</v>
      </c>
      <c r="R348" s="89">
        <f t="shared" si="109"/>
        <v>0</v>
      </c>
      <c r="S348" s="93">
        <f t="shared" si="110"/>
        <v>15</v>
      </c>
      <c r="T348" s="93">
        <f t="shared" si="111"/>
        <v>10</v>
      </c>
      <c r="U348" s="116">
        <f t="shared" si="112"/>
        <v>11.666666666666666</v>
      </c>
      <c r="V348" s="116">
        <f t="shared" si="113"/>
        <v>3.3333333333333375</v>
      </c>
      <c r="W348" s="116">
        <f t="shared" si="114"/>
        <v>5</v>
      </c>
      <c r="X348" s="116">
        <f t="shared" si="115"/>
        <v>5</v>
      </c>
    </row>
    <row r="349" spans="1:24" x14ac:dyDescent="0.35">
      <c r="A349" s="117">
        <v>18</v>
      </c>
      <c r="B349" s="88" t="s">
        <v>11</v>
      </c>
      <c r="C349" s="89">
        <v>54</v>
      </c>
      <c r="D349" s="89"/>
      <c r="E349" s="89">
        <v>8</v>
      </c>
      <c r="F349" s="89"/>
      <c r="G349" s="89"/>
      <c r="H349" s="89"/>
      <c r="I349" s="89"/>
      <c r="J349" s="93">
        <v>32</v>
      </c>
      <c r="K349" s="93"/>
      <c r="L349" s="93">
        <v>0</v>
      </c>
      <c r="M349" s="93"/>
      <c r="N349" s="93">
        <v>2</v>
      </c>
      <c r="O349" s="93"/>
      <c r="P349" s="93"/>
      <c r="Q349" s="89">
        <f t="shared" si="108"/>
        <v>14.814814814814813</v>
      </c>
      <c r="R349" s="89">
        <f t="shared" si="109"/>
        <v>0</v>
      </c>
      <c r="S349" s="93">
        <f t="shared" si="110"/>
        <v>0</v>
      </c>
      <c r="T349" s="93">
        <f t="shared" si="111"/>
        <v>6.25</v>
      </c>
      <c r="U349" s="116">
        <f t="shared" si="112"/>
        <v>7.4074074074074066</v>
      </c>
      <c r="V349" s="116">
        <f t="shared" si="113"/>
        <v>7.4074074074074066</v>
      </c>
      <c r="W349" s="116">
        <f t="shared" si="114"/>
        <v>3.125</v>
      </c>
      <c r="X349" s="116">
        <f t="shared" si="115"/>
        <v>3.125</v>
      </c>
    </row>
    <row r="350" spans="1:24" x14ac:dyDescent="0.35">
      <c r="A350" s="40"/>
      <c r="B350" s="37"/>
      <c r="C350" s="37"/>
      <c r="D350" s="152" t="s">
        <v>218</v>
      </c>
      <c r="E350" s="152"/>
      <c r="F350" s="152"/>
      <c r="G350" s="153" t="s">
        <v>223</v>
      </c>
      <c r="H350" s="153"/>
      <c r="I350" s="153"/>
      <c r="J350" s="152" t="s">
        <v>207</v>
      </c>
      <c r="K350" s="152"/>
      <c r="L350" s="152" t="s">
        <v>208</v>
      </c>
      <c r="M350" s="152"/>
    </row>
    <row r="351" spans="1:24" x14ac:dyDescent="0.35">
      <c r="A351" s="40"/>
      <c r="B351" s="37"/>
      <c r="C351" s="96" t="s">
        <v>209</v>
      </c>
      <c r="D351" s="96" t="s">
        <v>214</v>
      </c>
      <c r="E351" s="106" t="s">
        <v>215</v>
      </c>
      <c r="F351" s="106" t="s">
        <v>216</v>
      </c>
      <c r="G351" s="96" t="s">
        <v>214</v>
      </c>
      <c r="H351" s="106" t="s">
        <v>215</v>
      </c>
      <c r="I351" s="106" t="s">
        <v>216</v>
      </c>
      <c r="J351" s="37" t="s">
        <v>119</v>
      </c>
      <c r="K351" s="77" t="s">
        <v>212</v>
      </c>
      <c r="L351" s="37" t="s">
        <v>119</v>
      </c>
      <c r="M351" s="77" t="s">
        <v>212</v>
      </c>
    </row>
    <row r="352" spans="1:24" x14ac:dyDescent="0.35">
      <c r="A352" s="40">
        <v>19</v>
      </c>
      <c r="B352" s="37" t="s">
        <v>24</v>
      </c>
      <c r="C352" s="37">
        <v>34</v>
      </c>
      <c r="D352" s="97">
        <v>2</v>
      </c>
      <c r="E352" s="97">
        <v>1</v>
      </c>
      <c r="F352" s="97">
        <v>3</v>
      </c>
      <c r="G352" s="97">
        <v>7</v>
      </c>
      <c r="H352" s="97">
        <v>8</v>
      </c>
      <c r="I352" s="97">
        <v>6</v>
      </c>
      <c r="J352" s="90">
        <v>17.777777777777775</v>
      </c>
      <c r="K352" s="77">
        <v>4.9378857873975512</v>
      </c>
      <c r="L352" s="90">
        <v>62.222222222222221</v>
      </c>
      <c r="M352" s="77">
        <v>6.1864048475889373</v>
      </c>
    </row>
    <row r="353" spans="1:13" x14ac:dyDescent="0.35">
      <c r="A353" s="40">
        <v>20</v>
      </c>
      <c r="B353" s="37" t="s">
        <v>26</v>
      </c>
      <c r="C353" s="37">
        <v>30</v>
      </c>
      <c r="D353" s="97">
        <v>1</v>
      </c>
      <c r="E353" s="97">
        <v>1</v>
      </c>
      <c r="F353" s="97">
        <v>0</v>
      </c>
      <c r="G353" s="97">
        <v>1</v>
      </c>
      <c r="H353" s="97">
        <v>2</v>
      </c>
      <c r="I353" s="97">
        <v>0</v>
      </c>
      <c r="J353" s="77">
        <v>6.666666666666667</v>
      </c>
      <c r="K353" s="37">
        <v>3.3333333333333335</v>
      </c>
      <c r="L353" s="77">
        <v>10</v>
      </c>
      <c r="M353" s="77">
        <v>5.7735026918962582</v>
      </c>
    </row>
    <row r="354" spans="1:13" x14ac:dyDescent="0.35">
      <c r="A354" s="40">
        <v>21</v>
      </c>
      <c r="B354" s="37" t="s">
        <v>28</v>
      </c>
      <c r="C354" s="37">
        <v>32</v>
      </c>
      <c r="D354" s="97">
        <v>10</v>
      </c>
      <c r="E354" s="97">
        <v>10</v>
      </c>
      <c r="F354" s="97">
        <v>12</v>
      </c>
      <c r="G354" s="97">
        <v>0</v>
      </c>
      <c r="H354" s="97">
        <v>0</v>
      </c>
      <c r="I354" s="97">
        <v>0</v>
      </c>
      <c r="J354" s="77">
        <v>100</v>
      </c>
      <c r="K354" s="37">
        <v>0</v>
      </c>
      <c r="L354" s="77">
        <v>0</v>
      </c>
      <c r="M354" s="77">
        <v>0</v>
      </c>
    </row>
    <row r="355" spans="1:13" x14ac:dyDescent="0.35">
      <c r="A355" s="40">
        <v>22</v>
      </c>
      <c r="B355" s="37" t="s">
        <v>30</v>
      </c>
      <c r="C355" s="37">
        <v>29</v>
      </c>
      <c r="D355" s="97">
        <v>4</v>
      </c>
      <c r="E355" s="97">
        <v>3</v>
      </c>
      <c r="F355" s="97">
        <v>3</v>
      </c>
      <c r="G355" s="97">
        <v>6</v>
      </c>
      <c r="H355" s="97">
        <v>7</v>
      </c>
      <c r="I355" s="97">
        <v>6</v>
      </c>
      <c r="J355" s="77">
        <v>35.989583333333329</v>
      </c>
      <c r="K355" s="37">
        <v>2.5900659914909316</v>
      </c>
      <c r="L355" s="77">
        <v>60.885416666666664</v>
      </c>
      <c r="M355" s="77">
        <v>5.1118670655479033</v>
      </c>
    </row>
    <row r="356" spans="1:13" x14ac:dyDescent="0.35">
      <c r="A356" s="40">
        <v>23</v>
      </c>
      <c r="B356" s="37" t="s">
        <v>32</v>
      </c>
      <c r="C356" s="37">
        <v>32</v>
      </c>
      <c r="D356" s="97">
        <v>3</v>
      </c>
      <c r="E356" s="97">
        <v>3</v>
      </c>
      <c r="F356" s="97">
        <v>4</v>
      </c>
      <c r="G356" s="97">
        <v>3</v>
      </c>
      <c r="H356" s="97">
        <v>4</v>
      </c>
      <c r="I356" s="97">
        <v>3</v>
      </c>
      <c r="J356" s="77">
        <v>31.111111111111111</v>
      </c>
      <c r="K356" s="37">
        <v>1.1111111111111096</v>
      </c>
      <c r="L356" s="77">
        <v>31.666666666666668</v>
      </c>
      <c r="M356" s="77">
        <v>4.4095855184409816</v>
      </c>
    </row>
    <row r="357" spans="1:13" x14ac:dyDescent="0.35">
      <c r="A357" s="40">
        <v>24</v>
      </c>
      <c r="B357" s="37" t="s">
        <v>50</v>
      </c>
      <c r="C357" s="37">
        <v>28</v>
      </c>
      <c r="D357" s="97">
        <v>7</v>
      </c>
      <c r="E357" s="97">
        <v>7</v>
      </c>
      <c r="F357" s="97">
        <v>7</v>
      </c>
      <c r="G357" s="97">
        <v>0</v>
      </c>
      <c r="H357" s="97">
        <v>0</v>
      </c>
      <c r="I357" s="97">
        <v>1</v>
      </c>
      <c r="J357" s="77">
        <v>75.18518518518519</v>
      </c>
      <c r="K357" s="37">
        <v>2.5925925925925952</v>
      </c>
      <c r="L357" s="77">
        <v>3.3333333333333335</v>
      </c>
      <c r="M357" s="77">
        <v>3.3333333333333335</v>
      </c>
    </row>
    <row r="358" spans="1:13" x14ac:dyDescent="0.35">
      <c r="A358" s="40">
        <v>25</v>
      </c>
      <c r="B358" s="37" t="s">
        <v>61</v>
      </c>
      <c r="C358" s="37">
        <v>32</v>
      </c>
      <c r="D358" s="97">
        <v>7</v>
      </c>
      <c r="E358" s="97">
        <v>5</v>
      </c>
      <c r="F358" s="97">
        <v>7</v>
      </c>
      <c r="G358" s="97">
        <v>1</v>
      </c>
      <c r="H358" s="97">
        <v>3</v>
      </c>
      <c r="I358" s="97">
        <v>1</v>
      </c>
      <c r="J358" s="77">
        <v>59.44444444444445</v>
      </c>
      <c r="K358" s="37">
        <v>5.8001702827280628</v>
      </c>
      <c r="L358" s="77">
        <v>16.111111111111111</v>
      </c>
      <c r="M358" s="77">
        <v>6.9610911589675935</v>
      </c>
    </row>
    <row r="359" spans="1:13" x14ac:dyDescent="0.35">
      <c r="A359" s="40">
        <v>26</v>
      </c>
      <c r="B359" s="37" t="s">
        <v>63</v>
      </c>
      <c r="C359" s="37">
        <v>34</v>
      </c>
      <c r="D359" s="97">
        <v>3</v>
      </c>
      <c r="E359" s="97">
        <v>4</v>
      </c>
      <c r="F359" s="97">
        <v>3</v>
      </c>
      <c r="G359" s="97">
        <v>7</v>
      </c>
      <c r="H359" s="97">
        <v>7</v>
      </c>
      <c r="I359" s="97">
        <v>4</v>
      </c>
      <c r="J359" s="77">
        <v>29.444444444444443</v>
      </c>
      <c r="K359" s="37">
        <v>2.4216105241892647</v>
      </c>
      <c r="L359" s="77">
        <v>52.222222222222229</v>
      </c>
      <c r="M359" s="77">
        <v>6.1111111111110841</v>
      </c>
    </row>
    <row r="360" spans="1:13" x14ac:dyDescent="0.35">
      <c r="A360" s="40">
        <v>27</v>
      </c>
      <c r="B360" s="37" t="s">
        <v>65</v>
      </c>
      <c r="C360" s="37">
        <v>29</v>
      </c>
      <c r="D360" s="97">
        <v>3</v>
      </c>
      <c r="E360" s="97">
        <v>3</v>
      </c>
      <c r="F360" s="97">
        <v>3</v>
      </c>
      <c r="G360" s="97">
        <v>2</v>
      </c>
      <c r="H360" s="97">
        <v>2</v>
      </c>
      <c r="I360" s="97">
        <v>1</v>
      </c>
      <c r="J360" s="77">
        <v>31.111111111111111</v>
      </c>
      <c r="K360" s="37">
        <v>1.1111111111111096</v>
      </c>
      <c r="L360" s="77">
        <v>17.037037037037038</v>
      </c>
      <c r="M360" s="77">
        <v>2.962962962962961</v>
      </c>
    </row>
    <row r="361" spans="1:13" x14ac:dyDescent="0.35">
      <c r="A361" s="40">
        <v>28</v>
      </c>
      <c r="B361" s="37" t="s">
        <v>67</v>
      </c>
      <c r="C361" s="37">
        <v>10</v>
      </c>
      <c r="D361" s="116">
        <v>2</v>
      </c>
      <c r="E361" s="116">
        <v>0</v>
      </c>
      <c r="F361" s="116">
        <v>0</v>
      </c>
      <c r="G361" s="116">
        <v>0</v>
      </c>
      <c r="H361" s="116">
        <v>0</v>
      </c>
      <c r="I361" s="97">
        <v>0</v>
      </c>
      <c r="J361" s="77">
        <v>20</v>
      </c>
      <c r="K361" s="116">
        <v>0</v>
      </c>
      <c r="L361" s="77">
        <v>0</v>
      </c>
      <c r="M361" s="77">
        <v>0</v>
      </c>
    </row>
  </sheetData>
  <mergeCells count="66">
    <mergeCell ref="A319:A322"/>
    <mergeCell ref="A323:A326"/>
    <mergeCell ref="A294:A297"/>
    <mergeCell ref="A298:A301"/>
    <mergeCell ref="A306:A309"/>
    <mergeCell ref="A310:A313"/>
    <mergeCell ref="A262:A265"/>
    <mergeCell ref="A270:A273"/>
    <mergeCell ref="A274:A277"/>
    <mergeCell ref="A282:A285"/>
    <mergeCell ref="A286:A289"/>
    <mergeCell ref="A234:A237"/>
    <mergeCell ref="A238:A241"/>
    <mergeCell ref="A246:A249"/>
    <mergeCell ref="A250:A253"/>
    <mergeCell ref="A258:A261"/>
    <mergeCell ref="A202:A205"/>
    <mergeCell ref="A210:A213"/>
    <mergeCell ref="A214:A217"/>
    <mergeCell ref="A222:A225"/>
    <mergeCell ref="A226:A229"/>
    <mergeCell ref="A173:A176"/>
    <mergeCell ref="A177:A180"/>
    <mergeCell ref="A185:A188"/>
    <mergeCell ref="A189:A192"/>
    <mergeCell ref="A198:A201"/>
    <mergeCell ref="A33:A36"/>
    <mergeCell ref="A41:A44"/>
    <mergeCell ref="A45:A48"/>
    <mergeCell ref="A9:A12"/>
    <mergeCell ref="A5:A8"/>
    <mergeCell ref="A17:A20"/>
    <mergeCell ref="A21:A24"/>
    <mergeCell ref="A29:A32"/>
    <mergeCell ref="A89:A92"/>
    <mergeCell ref="A93:A96"/>
    <mergeCell ref="A53:A56"/>
    <mergeCell ref="A57:A60"/>
    <mergeCell ref="A65:A68"/>
    <mergeCell ref="A2:M2"/>
    <mergeCell ref="A161:A164"/>
    <mergeCell ref="A165:A168"/>
    <mergeCell ref="A129:A132"/>
    <mergeCell ref="A137:A140"/>
    <mergeCell ref="A141:A144"/>
    <mergeCell ref="A149:A152"/>
    <mergeCell ref="A153:A156"/>
    <mergeCell ref="A101:A104"/>
    <mergeCell ref="A105:A108"/>
    <mergeCell ref="A113:A116"/>
    <mergeCell ref="A117:A120"/>
    <mergeCell ref="A125:A128"/>
    <mergeCell ref="A69:A72"/>
    <mergeCell ref="A77:A80"/>
    <mergeCell ref="A81:A84"/>
    <mergeCell ref="Q330:R330"/>
    <mergeCell ref="S330:T330"/>
    <mergeCell ref="U330:V330"/>
    <mergeCell ref="W330:X330"/>
    <mergeCell ref="U329:X329"/>
    <mergeCell ref="J330:P330"/>
    <mergeCell ref="D330:I330"/>
    <mergeCell ref="J350:K350"/>
    <mergeCell ref="L350:M350"/>
    <mergeCell ref="D350:F350"/>
    <mergeCell ref="G350:I35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1CF10-73F7-4E95-8223-C51E99DDE8FD}">
  <dimension ref="A1:Z156"/>
  <sheetViews>
    <sheetView topLeftCell="B1" workbookViewId="0">
      <selection activeCell="N19" sqref="N19"/>
    </sheetView>
  </sheetViews>
  <sheetFormatPr defaultColWidth="8.81640625" defaultRowHeight="12.5" x14ac:dyDescent="0.25"/>
  <cols>
    <col min="1" max="1" width="23.54296875" style="49" customWidth="1"/>
    <col min="2" max="2" width="12" style="49" customWidth="1"/>
    <col min="3" max="3" width="13.7265625" style="49" bestFit="1" customWidth="1"/>
    <col min="4" max="5" width="8.81640625" style="49"/>
    <col min="6" max="6" width="11.81640625" style="49" bestFit="1" customWidth="1"/>
    <col min="7" max="12" width="8.81640625" style="49" customWidth="1"/>
    <col min="13" max="15" width="8.81640625" style="49"/>
    <col min="16" max="16" width="14.453125" style="49" customWidth="1"/>
    <col min="17" max="16384" width="8.81640625" style="49"/>
  </cols>
  <sheetData>
    <row r="1" spans="1:26" ht="18" customHeight="1" x14ac:dyDescent="0.8">
      <c r="A1" s="163" t="s">
        <v>166</v>
      </c>
      <c r="B1" s="163"/>
      <c r="C1" s="163"/>
      <c r="D1" s="163"/>
      <c r="E1" s="163"/>
      <c r="F1" s="163"/>
      <c r="G1" s="163"/>
      <c r="H1" s="163"/>
      <c r="I1" s="73"/>
      <c r="J1" s="73"/>
      <c r="K1" s="73"/>
      <c r="L1" s="73"/>
      <c r="M1" s="73"/>
    </row>
    <row r="2" spans="1:26" ht="14.5" x14ac:dyDescent="0.35">
      <c r="A2" s="180" t="s">
        <v>167</v>
      </c>
      <c r="B2" s="180"/>
      <c r="C2" s="180"/>
      <c r="D2" s="180"/>
      <c r="E2" s="180"/>
      <c r="F2" s="180"/>
      <c r="G2" s="180"/>
      <c r="H2" s="180"/>
    </row>
    <row r="3" spans="1:26" ht="15" thickBot="1" x14ac:dyDescent="0.4">
      <c r="A3" s="50" t="s">
        <v>168</v>
      </c>
      <c r="B3" s="51" t="s">
        <v>9</v>
      </c>
      <c r="C3" s="50" t="s">
        <v>7</v>
      </c>
      <c r="D3" s="50" t="s">
        <v>6</v>
      </c>
      <c r="E3" s="50" t="s">
        <v>5</v>
      </c>
      <c r="F3" s="50" t="s">
        <v>4</v>
      </c>
      <c r="G3" s="50" t="s">
        <v>3</v>
      </c>
      <c r="H3" s="50" t="s">
        <v>72</v>
      </c>
    </row>
    <row r="4" spans="1:26" ht="14.5" x14ac:dyDescent="0.35">
      <c r="A4" s="181" t="s">
        <v>235</v>
      </c>
      <c r="B4" s="52" t="s">
        <v>169</v>
      </c>
      <c r="C4" s="53">
        <v>20.365411758422852</v>
      </c>
      <c r="D4" s="53">
        <v>13.143362998962402</v>
      </c>
      <c r="E4" s="54">
        <f>C4-D4</f>
        <v>7.2220487594604492</v>
      </c>
      <c r="F4" s="54">
        <f>2^-E4</f>
        <v>6.698023906032957E-3</v>
      </c>
      <c r="G4" s="52">
        <f>AVERAGE(F4:F7)</f>
        <v>7.0056684603024043E-3</v>
      </c>
      <c r="H4" s="55">
        <f>STDEV(F4:F7)/SQRT(4)</f>
        <v>9.1080351323595662E-4</v>
      </c>
    </row>
    <row r="5" spans="1:26" ht="14.5" x14ac:dyDescent="0.35">
      <c r="A5" s="182"/>
      <c r="B5" s="56" t="s">
        <v>170</v>
      </c>
      <c r="C5" s="57">
        <v>21.785205841064453</v>
      </c>
      <c r="D5" s="57">
        <v>14.692389488220215</v>
      </c>
      <c r="E5" s="58">
        <f t="shared" ref="E5:E9" si="0">C5-D5</f>
        <v>7.0928163528442383</v>
      </c>
      <c r="F5" s="58">
        <f t="shared" ref="F5:F9" si="1">2^-E5</f>
        <v>7.3257066539471928E-3</v>
      </c>
      <c r="G5" s="59"/>
      <c r="H5" s="60"/>
    </row>
    <row r="6" spans="1:26" ht="14.5" x14ac:dyDescent="0.35">
      <c r="A6" s="182"/>
      <c r="B6" s="56" t="s">
        <v>171</v>
      </c>
      <c r="C6" s="57">
        <v>22.2203369140625</v>
      </c>
      <c r="D6" s="57">
        <v>15.457483291625977</v>
      </c>
      <c r="E6" s="58">
        <f t="shared" si="0"/>
        <v>6.7628536224365234</v>
      </c>
      <c r="F6" s="58">
        <f t="shared" si="1"/>
        <v>9.2082733585563854E-3</v>
      </c>
      <c r="G6" s="59"/>
      <c r="H6" s="60"/>
    </row>
    <row r="7" spans="1:26" ht="14.5" x14ac:dyDescent="0.35">
      <c r="A7" s="182"/>
      <c r="B7" s="56" t="s">
        <v>172</v>
      </c>
      <c r="C7" s="57">
        <v>21.894792556762695</v>
      </c>
      <c r="D7" s="57">
        <v>14.189235687255859</v>
      </c>
      <c r="E7" s="58">
        <f t="shared" si="0"/>
        <v>7.7055568695068359</v>
      </c>
      <c r="F7" s="58">
        <f t="shared" si="1"/>
        <v>4.7906699226730812E-3</v>
      </c>
      <c r="G7" s="59"/>
      <c r="H7" s="60"/>
    </row>
    <row r="8" spans="1:26" ht="14.5" x14ac:dyDescent="0.35">
      <c r="A8" s="182"/>
      <c r="B8" s="56" t="s">
        <v>173</v>
      </c>
      <c r="C8" s="57">
        <v>22.017854690551758</v>
      </c>
      <c r="D8" s="57">
        <v>14.764588356018066</v>
      </c>
      <c r="E8" s="58">
        <f t="shared" si="0"/>
        <v>7.2532663345336914</v>
      </c>
      <c r="F8" s="58">
        <f t="shared" si="1"/>
        <v>6.5546463812774479E-3</v>
      </c>
      <c r="G8" s="56">
        <f t="shared" ref="G8" si="2">AVERAGE(F8:F11)</f>
        <v>9.8232475061416445E-3</v>
      </c>
      <c r="H8" s="61">
        <f t="shared" ref="H8" si="3">STDEV(F8:F11)/SQRT(4)</f>
        <v>1.7283607196401049E-3</v>
      </c>
    </row>
    <row r="9" spans="1:26" ht="14.5" x14ac:dyDescent="0.35">
      <c r="A9" s="182"/>
      <c r="B9" s="56" t="s">
        <v>174</v>
      </c>
      <c r="C9" s="57">
        <v>23.173625946044922</v>
      </c>
      <c r="D9" s="57">
        <v>16.255035400390625</v>
      </c>
      <c r="E9" s="58">
        <f t="shared" si="0"/>
        <v>6.9185905456542969</v>
      </c>
      <c r="F9" s="58">
        <f t="shared" si="1"/>
        <v>8.2660250685315118E-3</v>
      </c>
      <c r="G9" s="59"/>
      <c r="H9" s="60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</row>
    <row r="10" spans="1:26" ht="12.5" customHeight="1" x14ac:dyDescent="0.25">
      <c r="A10" s="182"/>
      <c r="B10" s="56" t="s">
        <v>175</v>
      </c>
      <c r="C10" s="57">
        <v>22.439886093139648</v>
      </c>
      <c r="D10" s="57">
        <v>16.341142654418945</v>
      </c>
      <c r="E10" s="57">
        <f>C10-D10</f>
        <v>6.0987434387207031</v>
      </c>
      <c r="F10" s="57">
        <f>2^-E10</f>
        <v>1.4591343756227509E-2</v>
      </c>
      <c r="G10" s="59"/>
      <c r="H10" s="60"/>
    </row>
    <row r="11" spans="1:26" ht="12.5" customHeight="1" x14ac:dyDescent="0.25">
      <c r="A11" s="182"/>
      <c r="B11" s="56" t="s">
        <v>176</v>
      </c>
      <c r="C11" s="57">
        <v>22.257303237915039</v>
      </c>
      <c r="D11" s="57">
        <v>15.596172332763672</v>
      </c>
      <c r="E11" s="57">
        <f>C11-D11</f>
        <v>6.6611309051513672</v>
      </c>
      <c r="F11" s="57">
        <f>2^-E11</f>
        <v>9.8809748185301072E-3</v>
      </c>
      <c r="G11" s="59"/>
      <c r="H11" s="60"/>
    </row>
    <row r="12" spans="1:26" ht="12.5" customHeight="1" x14ac:dyDescent="0.25">
      <c r="A12" s="182"/>
      <c r="B12" s="56" t="s">
        <v>177</v>
      </c>
      <c r="C12" s="57">
        <v>22.099790573120117</v>
      </c>
      <c r="D12" s="57">
        <v>15.875783920288086</v>
      </c>
      <c r="E12" s="57">
        <f>C12-D12</f>
        <v>6.2240066528320313</v>
      </c>
      <c r="F12" s="57">
        <f>2^-E12</f>
        <v>1.3377880255249308E-2</v>
      </c>
      <c r="G12" s="56">
        <f t="shared" ref="G12" si="4">AVERAGE(F12:F15)</f>
        <v>1.3191107958772638E-2</v>
      </c>
      <c r="H12" s="61">
        <f t="shared" ref="H12" si="5">STDEV(F12:F15)/SQRT(4)</f>
        <v>4.1067912252029496E-4</v>
      </c>
    </row>
    <row r="13" spans="1:26" ht="14.5" x14ac:dyDescent="0.25">
      <c r="A13" s="182"/>
      <c r="B13" s="56" t="s">
        <v>178</v>
      </c>
      <c r="C13" s="57">
        <v>20.925626754760742</v>
      </c>
      <c r="D13" s="57">
        <v>14.627914428710938</v>
      </c>
      <c r="E13" s="57">
        <f t="shared" ref="E13:E67" si="6">C13-D13</f>
        <v>6.2977123260498047</v>
      </c>
      <c r="F13" s="57">
        <f t="shared" ref="F13:F67" si="7">2^-E13</f>
        <v>1.2711584412979364E-2</v>
      </c>
      <c r="G13" s="59"/>
      <c r="H13" s="60"/>
    </row>
    <row r="14" spans="1:26" ht="14.5" x14ac:dyDescent="0.25">
      <c r="A14" s="182"/>
      <c r="B14" s="56" t="s">
        <v>179</v>
      </c>
      <c r="C14" s="57">
        <v>20.593093872070313</v>
      </c>
      <c r="D14" s="57">
        <v>14.46159839630127</v>
      </c>
      <c r="E14" s="57">
        <f t="shared" si="6"/>
        <v>6.131495475769043</v>
      </c>
      <c r="F14" s="57">
        <f t="shared" si="7"/>
        <v>1.4263823081508977E-2</v>
      </c>
      <c r="G14" s="59"/>
      <c r="H14" s="60"/>
    </row>
    <row r="15" spans="1:26" ht="14.5" x14ac:dyDescent="0.25">
      <c r="A15" s="182"/>
      <c r="B15" s="56" t="s">
        <v>180</v>
      </c>
      <c r="C15" s="57">
        <v>21.124776840209961</v>
      </c>
      <c r="D15" s="57">
        <v>14.792556762695313</v>
      </c>
      <c r="E15" s="57">
        <f t="shared" si="6"/>
        <v>6.3322200775146484</v>
      </c>
      <c r="F15" s="57">
        <f t="shared" si="7"/>
        <v>1.2411144085352906E-2</v>
      </c>
      <c r="G15" s="59"/>
      <c r="H15" s="60"/>
    </row>
    <row r="16" spans="1:26" ht="12.5" customHeight="1" x14ac:dyDescent="0.25">
      <c r="A16" s="182"/>
      <c r="B16" s="56" t="s">
        <v>181</v>
      </c>
      <c r="C16" s="57">
        <v>21.918392181396484</v>
      </c>
      <c r="D16" s="57">
        <v>15.931900024414063</v>
      </c>
      <c r="E16" s="57">
        <f t="shared" si="6"/>
        <v>5.9864921569824219</v>
      </c>
      <c r="F16" s="57">
        <f t="shared" si="7"/>
        <v>1.5771982696708618E-2</v>
      </c>
      <c r="G16" s="56">
        <f t="shared" ref="G16:G64" si="8">AVERAGE(F16:F19)</f>
        <v>1.625815283629187E-2</v>
      </c>
      <c r="H16" s="61">
        <f t="shared" ref="H16" si="9">STDEV(F16:F19)/SQRT(4)</f>
        <v>3.5935250044317494E-3</v>
      </c>
    </row>
    <row r="17" spans="1:8" ht="14.5" x14ac:dyDescent="0.25">
      <c r="A17" s="182"/>
      <c r="B17" s="56" t="s">
        <v>182</v>
      </c>
      <c r="C17" s="57">
        <v>21.00163459777832</v>
      </c>
      <c r="D17" s="57">
        <v>15.732988357543945</v>
      </c>
      <c r="E17" s="57">
        <f t="shared" si="6"/>
        <v>5.268646240234375</v>
      </c>
      <c r="F17" s="57">
        <f t="shared" si="7"/>
        <v>2.5940565843371254E-2</v>
      </c>
      <c r="G17" s="59"/>
      <c r="H17" s="60"/>
    </row>
    <row r="18" spans="1:8" ht="14.5" x14ac:dyDescent="0.25">
      <c r="A18" s="182"/>
      <c r="B18" s="56" t="s">
        <v>183</v>
      </c>
      <c r="C18" s="57">
        <v>22.800289154052734</v>
      </c>
      <c r="D18" s="57">
        <v>15.93935489654541</v>
      </c>
      <c r="E18" s="57">
        <f t="shared" si="6"/>
        <v>6.8609342575073242</v>
      </c>
      <c r="F18" s="57">
        <f t="shared" si="7"/>
        <v>8.6030607610062104E-3</v>
      </c>
      <c r="G18" s="59"/>
      <c r="H18" s="60"/>
    </row>
    <row r="19" spans="1:8" ht="15" thickBot="1" x14ac:dyDescent="0.3">
      <c r="A19" s="183"/>
      <c r="B19" s="62" t="s">
        <v>184</v>
      </c>
      <c r="C19" s="63">
        <v>21.788406372070313</v>
      </c>
      <c r="D19" s="63">
        <v>15.702033996582031</v>
      </c>
      <c r="E19" s="63">
        <f t="shared" si="6"/>
        <v>6.0863723754882813</v>
      </c>
      <c r="F19" s="63">
        <f t="shared" si="7"/>
        <v>1.4717002044081396E-2</v>
      </c>
      <c r="G19" s="64"/>
      <c r="H19" s="65"/>
    </row>
    <row r="20" spans="1:8" ht="12.5" customHeight="1" x14ac:dyDescent="0.25">
      <c r="A20" s="181" t="s">
        <v>234</v>
      </c>
      <c r="B20" s="52" t="s">
        <v>169</v>
      </c>
      <c r="C20" s="53">
        <v>21.977113723754883</v>
      </c>
      <c r="D20" s="53">
        <v>15.772278785705566</v>
      </c>
      <c r="E20" s="53">
        <f t="shared" si="6"/>
        <v>6.2048349380493164</v>
      </c>
      <c r="F20" s="53">
        <f t="shared" si="7"/>
        <v>1.3556842966601578E-2</v>
      </c>
      <c r="G20" s="52">
        <f t="shared" si="8"/>
        <v>1.1779546763157761E-2</v>
      </c>
      <c r="H20" s="55">
        <f t="shared" ref="H20" si="10">STDEV(F20:F23)/SQRT(4)</f>
        <v>8.9085114304695819E-4</v>
      </c>
    </row>
    <row r="21" spans="1:8" ht="14.5" x14ac:dyDescent="0.25">
      <c r="A21" s="182"/>
      <c r="B21" s="56" t="s">
        <v>170</v>
      </c>
      <c r="C21" s="57">
        <v>20.652671813964844</v>
      </c>
      <c r="D21" s="57">
        <v>14.008115768432617</v>
      </c>
      <c r="E21" s="57">
        <f t="shared" si="6"/>
        <v>6.6445560455322266</v>
      </c>
      <c r="F21" s="57">
        <f t="shared" si="7"/>
        <v>9.9951501459834748E-3</v>
      </c>
      <c r="G21" s="59"/>
      <c r="H21" s="60"/>
    </row>
    <row r="22" spans="1:8" ht="14.5" x14ac:dyDescent="0.25">
      <c r="A22" s="182"/>
      <c r="B22" s="56" t="s">
        <v>171</v>
      </c>
      <c r="C22" s="57">
        <v>20.899696350097656</v>
      </c>
      <c r="D22" s="57">
        <v>14.329255104064941</v>
      </c>
      <c r="E22" s="57">
        <f t="shared" si="6"/>
        <v>6.5704412460327148</v>
      </c>
      <c r="F22" s="57">
        <f t="shared" si="7"/>
        <v>1.052204367639888E-2</v>
      </c>
      <c r="G22" s="59"/>
      <c r="H22" s="60"/>
    </row>
    <row r="23" spans="1:8" ht="14.5" x14ac:dyDescent="0.25">
      <c r="A23" s="182"/>
      <c r="B23" s="56" t="s">
        <v>172</v>
      </c>
      <c r="C23" s="57">
        <v>21.16459846496582</v>
      </c>
      <c r="D23" s="57">
        <v>14.904145240783691</v>
      </c>
      <c r="E23" s="57">
        <f t="shared" si="6"/>
        <v>6.2604532241821289</v>
      </c>
      <c r="F23" s="57">
        <f t="shared" si="7"/>
        <v>1.3044150263647107E-2</v>
      </c>
      <c r="G23" s="59"/>
      <c r="H23" s="60"/>
    </row>
    <row r="24" spans="1:8" ht="13" customHeight="1" x14ac:dyDescent="0.25">
      <c r="A24" s="182"/>
      <c r="B24" s="56" t="s">
        <v>173</v>
      </c>
      <c r="C24" s="57">
        <v>21.269191741943359</v>
      </c>
      <c r="D24" s="57">
        <v>14.89580249786377</v>
      </c>
      <c r="E24" s="57">
        <f t="shared" si="6"/>
        <v>6.3733892440795898</v>
      </c>
      <c r="F24" s="57">
        <f t="shared" si="7"/>
        <v>1.2061981651401999E-2</v>
      </c>
      <c r="G24" s="56">
        <f t="shared" si="8"/>
        <v>1.1642385112767249E-2</v>
      </c>
      <c r="H24" s="61">
        <f t="shared" ref="H24" si="11">STDEV(F24:F27)/SQRT(4)</f>
        <v>1.1342285466638617E-3</v>
      </c>
    </row>
    <row r="25" spans="1:8" ht="14.5" x14ac:dyDescent="0.25">
      <c r="A25" s="182"/>
      <c r="B25" s="56" t="s">
        <v>174</v>
      </c>
      <c r="C25" s="57">
        <v>21.939401626586914</v>
      </c>
      <c r="D25" s="57">
        <v>15.845026016235352</v>
      </c>
      <c r="E25" s="57">
        <f t="shared" si="6"/>
        <v>6.0943756103515625</v>
      </c>
      <c r="F25" s="57">
        <f t="shared" si="7"/>
        <v>1.4635586688660216E-2</v>
      </c>
      <c r="G25" s="59"/>
      <c r="H25" s="60"/>
    </row>
    <row r="26" spans="1:8" ht="14.5" x14ac:dyDescent="0.25">
      <c r="A26" s="182"/>
      <c r="B26" s="56" t="s">
        <v>175</v>
      </c>
      <c r="C26" s="57">
        <v>21.770246505737305</v>
      </c>
      <c r="D26" s="57">
        <v>15.04427433013916</v>
      </c>
      <c r="E26" s="57">
        <f t="shared" si="6"/>
        <v>6.7259721755981445</v>
      </c>
      <c r="F26" s="57">
        <f t="shared" si="7"/>
        <v>9.4467109087903144E-3</v>
      </c>
      <c r="G26" s="59"/>
      <c r="H26" s="60"/>
    </row>
    <row r="27" spans="1:8" ht="14.5" x14ac:dyDescent="0.25">
      <c r="A27" s="182"/>
      <c r="B27" s="56" t="s">
        <v>176</v>
      </c>
      <c r="C27" s="57">
        <v>21.505334854125977</v>
      </c>
      <c r="D27" s="57">
        <v>14.921562194824219</v>
      </c>
      <c r="E27" s="57">
        <f t="shared" si="6"/>
        <v>6.5837726593017578</v>
      </c>
      <c r="F27" s="57">
        <f t="shared" si="7"/>
        <v>1.0425261202216464E-2</v>
      </c>
      <c r="G27" s="59"/>
      <c r="H27" s="60"/>
    </row>
    <row r="28" spans="1:8" ht="13" customHeight="1" x14ac:dyDescent="0.25">
      <c r="A28" s="182"/>
      <c r="B28" s="56" t="s">
        <v>177</v>
      </c>
      <c r="C28" s="57">
        <v>21.941057205200195</v>
      </c>
      <c r="D28" s="57">
        <v>16.615705490112305</v>
      </c>
      <c r="E28" s="57">
        <f t="shared" si="6"/>
        <v>5.3253517150878906</v>
      </c>
      <c r="F28" s="57">
        <f t="shared" si="7"/>
        <v>2.4940743520542367E-2</v>
      </c>
      <c r="G28" s="56">
        <f t="shared" si="8"/>
        <v>1.7364798944089779E-2</v>
      </c>
      <c r="H28" s="61">
        <f t="shared" ref="H28" si="12">STDEV(F28:F31)/SQRT(4)</f>
        <v>3.0134585765727077E-3</v>
      </c>
    </row>
    <row r="29" spans="1:8" ht="14.5" x14ac:dyDescent="0.25">
      <c r="A29" s="182"/>
      <c r="B29" s="56" t="s">
        <v>178</v>
      </c>
      <c r="C29" s="57">
        <v>22.167499542236328</v>
      </c>
      <c r="D29" s="57">
        <v>15.550689697265625</v>
      </c>
      <c r="E29" s="57">
        <f t="shared" si="6"/>
        <v>6.6168098449707031</v>
      </c>
      <c r="F29" s="57">
        <f t="shared" si="7"/>
        <v>1.0189239277691452E-2</v>
      </c>
      <c r="G29" s="59"/>
      <c r="H29" s="60"/>
    </row>
    <row r="30" spans="1:8" ht="14.5" x14ac:dyDescent="0.25">
      <c r="A30" s="182"/>
      <c r="B30" s="56" t="s">
        <v>179</v>
      </c>
      <c r="C30" s="57">
        <v>21.914047241210938</v>
      </c>
      <c r="D30" s="57">
        <v>16.054746627807617</v>
      </c>
      <c r="E30" s="57">
        <f t="shared" si="6"/>
        <v>5.8593006134033203</v>
      </c>
      <c r="F30" s="57">
        <f t="shared" si="7"/>
        <v>1.7225616008859381E-2</v>
      </c>
      <c r="G30" s="59"/>
      <c r="H30" s="60"/>
    </row>
    <row r="31" spans="1:8" ht="14.5" x14ac:dyDescent="0.25">
      <c r="A31" s="182"/>
      <c r="B31" s="56" t="s">
        <v>180</v>
      </c>
      <c r="C31" s="57">
        <v>22.140331268310547</v>
      </c>
      <c r="D31" s="57">
        <v>16.270774841308594</v>
      </c>
      <c r="E31" s="57">
        <f t="shared" si="6"/>
        <v>5.8695564270019531</v>
      </c>
      <c r="F31" s="57">
        <f t="shared" si="7"/>
        <v>1.7103596969265923E-2</v>
      </c>
      <c r="G31" s="59"/>
      <c r="H31" s="60"/>
    </row>
    <row r="32" spans="1:8" ht="13" customHeight="1" x14ac:dyDescent="0.25">
      <c r="A32" s="182"/>
      <c r="B32" s="56" t="s">
        <v>181</v>
      </c>
      <c r="C32" s="57">
        <v>20.464992523193359</v>
      </c>
      <c r="D32" s="57">
        <v>15.242685317993164</v>
      </c>
      <c r="E32" s="57">
        <f t="shared" si="6"/>
        <v>5.2223072052001953</v>
      </c>
      <c r="F32" s="57">
        <f t="shared" si="7"/>
        <v>2.6787296492922073E-2</v>
      </c>
      <c r="G32" s="56">
        <f t="shared" si="8"/>
        <v>3.1857921691279781E-2</v>
      </c>
      <c r="H32" s="61">
        <f t="shared" ref="H32" si="13">STDEV(F32:F35)/SQRT(4)</f>
        <v>2.5700946672328412E-3</v>
      </c>
    </row>
    <row r="33" spans="1:8" ht="14.5" x14ac:dyDescent="0.25">
      <c r="A33" s="182"/>
      <c r="B33" s="56" t="s">
        <v>182</v>
      </c>
      <c r="C33" s="57">
        <v>21.484336853027344</v>
      </c>
      <c r="D33" s="57">
        <v>16.355316162109375</v>
      </c>
      <c r="E33" s="57">
        <f t="shared" si="6"/>
        <v>5.1290206909179688</v>
      </c>
      <c r="F33" s="57">
        <f t="shared" si="7"/>
        <v>2.8576624202233621E-2</v>
      </c>
      <c r="G33" s="59"/>
      <c r="H33" s="60"/>
    </row>
    <row r="34" spans="1:8" ht="14.5" x14ac:dyDescent="0.25">
      <c r="A34" s="182"/>
      <c r="B34" s="56" t="s">
        <v>183</v>
      </c>
      <c r="C34" s="57">
        <v>20.874292373657227</v>
      </c>
      <c r="D34" s="57">
        <v>16.157289505004883</v>
      </c>
      <c r="E34" s="57">
        <f t="shared" si="6"/>
        <v>4.7170028686523438</v>
      </c>
      <c r="F34" s="57">
        <f t="shared" si="7"/>
        <v>3.8022498103369474E-2</v>
      </c>
      <c r="G34" s="59"/>
      <c r="H34" s="60"/>
    </row>
    <row r="35" spans="1:8" ht="14.5" x14ac:dyDescent="0.25">
      <c r="A35" s="182"/>
      <c r="B35" s="56" t="s">
        <v>184</v>
      </c>
      <c r="C35" s="57">
        <v>20.845956802368164</v>
      </c>
      <c r="D35" s="57">
        <v>15.969554901123047</v>
      </c>
      <c r="E35" s="57">
        <f t="shared" si="6"/>
        <v>4.8764019012451172</v>
      </c>
      <c r="F35" s="57">
        <f t="shared" si="7"/>
        <v>3.4045267966593969E-2</v>
      </c>
      <c r="G35" s="59"/>
      <c r="H35" s="60"/>
    </row>
    <row r="36" spans="1:8" ht="13" customHeight="1" x14ac:dyDescent="0.25">
      <c r="A36" s="182"/>
      <c r="B36" s="56" t="s">
        <v>185</v>
      </c>
      <c r="C36" s="57">
        <v>19.743812561035156</v>
      </c>
      <c r="D36" s="57">
        <v>15.713719367980957</v>
      </c>
      <c r="E36" s="57">
        <f t="shared" si="6"/>
        <v>4.0300931930541992</v>
      </c>
      <c r="F36" s="57">
        <f t="shared" si="7"/>
        <v>6.1209814531521162E-2</v>
      </c>
      <c r="G36" s="56">
        <f t="shared" si="8"/>
        <v>4.9872431742484812E-2</v>
      </c>
      <c r="H36" s="61">
        <f t="shared" ref="H36" si="14">STDEV(F36:F39)/SQRT(4)</f>
        <v>1.1123491257540138E-2</v>
      </c>
    </row>
    <row r="37" spans="1:8" ht="14.5" x14ac:dyDescent="0.25">
      <c r="A37" s="182"/>
      <c r="B37" s="56" t="s">
        <v>186</v>
      </c>
      <c r="C37" s="57">
        <v>21.499563217163086</v>
      </c>
      <c r="D37" s="57">
        <v>15.948805809020996</v>
      </c>
      <c r="E37" s="57">
        <f t="shared" si="6"/>
        <v>5.5507574081420898</v>
      </c>
      <c r="F37" s="57">
        <f t="shared" si="7"/>
        <v>2.1333176253690959E-2</v>
      </c>
      <c r="G37" s="59"/>
      <c r="H37" s="60"/>
    </row>
    <row r="38" spans="1:8" ht="14.5" x14ac:dyDescent="0.25">
      <c r="A38" s="182"/>
      <c r="B38" s="56" t="s">
        <v>187</v>
      </c>
      <c r="C38" s="57">
        <v>19.735267639160156</v>
      </c>
      <c r="D38" s="57">
        <v>15.949503898620605</v>
      </c>
      <c r="E38" s="57">
        <f t="shared" si="6"/>
        <v>3.7857637405395508</v>
      </c>
      <c r="F38" s="57">
        <f t="shared" si="7"/>
        <v>7.2505601138635023E-2</v>
      </c>
      <c r="G38" s="59"/>
      <c r="H38" s="60"/>
    </row>
    <row r="39" spans="1:8" ht="14.5" x14ac:dyDescent="0.25">
      <c r="A39" s="182"/>
      <c r="B39" s="56" t="s">
        <v>188</v>
      </c>
      <c r="C39" s="57">
        <v>20.282203674316406</v>
      </c>
      <c r="D39" s="57">
        <v>15.790243148803711</v>
      </c>
      <c r="E39" s="57">
        <f t="shared" si="6"/>
        <v>4.4919605255126953</v>
      </c>
      <c r="F39" s="57">
        <f t="shared" si="7"/>
        <v>4.4441135046092095E-2</v>
      </c>
      <c r="G39" s="59"/>
      <c r="H39" s="60"/>
    </row>
    <row r="40" spans="1:8" ht="13" customHeight="1" x14ac:dyDescent="0.25">
      <c r="A40" s="182"/>
      <c r="B40" s="56" t="s">
        <v>189</v>
      </c>
      <c r="C40" s="57">
        <v>20.602495193481445</v>
      </c>
      <c r="D40" s="57">
        <v>16.158330917358398</v>
      </c>
      <c r="E40" s="57">
        <f t="shared" si="6"/>
        <v>4.4441642761230469</v>
      </c>
      <c r="F40" s="57">
        <f t="shared" si="7"/>
        <v>4.5938123103653E-2</v>
      </c>
      <c r="G40" s="56">
        <f t="shared" si="8"/>
        <v>3.4495518051876707E-2</v>
      </c>
      <c r="H40" s="61">
        <f t="shared" ref="H40" si="15">STDEV(F40:F43)/SQRT(4)</f>
        <v>5.3230556704919373E-3</v>
      </c>
    </row>
    <row r="41" spans="1:8" ht="14.5" x14ac:dyDescent="0.25">
      <c r="A41" s="182"/>
      <c r="B41" s="56" t="s">
        <v>190</v>
      </c>
      <c r="C41" s="57">
        <v>20.600215911865234</v>
      </c>
      <c r="D41" s="57">
        <v>15.979501724243164</v>
      </c>
      <c r="E41" s="57">
        <f t="shared" si="6"/>
        <v>4.6207141876220703</v>
      </c>
      <c r="F41" s="57">
        <f t="shared" si="7"/>
        <v>4.0646806322634337E-2</v>
      </c>
      <c r="G41" s="59"/>
      <c r="H41" s="60"/>
    </row>
    <row r="42" spans="1:8" ht="14.5" x14ac:dyDescent="0.25">
      <c r="A42" s="182"/>
      <c r="B42" s="56" t="s">
        <v>191</v>
      </c>
      <c r="C42" s="57">
        <v>20.990795135498047</v>
      </c>
      <c r="D42" s="57">
        <v>15.861372947692871</v>
      </c>
      <c r="E42" s="57">
        <f t="shared" si="6"/>
        <v>5.1294221878051758</v>
      </c>
      <c r="F42" s="57">
        <f t="shared" si="7"/>
        <v>2.8568672536094693E-2</v>
      </c>
      <c r="G42" s="59"/>
      <c r="H42" s="60"/>
    </row>
    <row r="43" spans="1:8" ht="15" thickBot="1" x14ac:dyDescent="0.3">
      <c r="A43" s="183"/>
      <c r="B43" s="62" t="s">
        <v>192</v>
      </c>
      <c r="C43" s="63">
        <v>20.964439392089844</v>
      </c>
      <c r="D43" s="63">
        <v>15.511417388916016</v>
      </c>
      <c r="E43" s="63">
        <f t="shared" si="6"/>
        <v>5.4530220031738281</v>
      </c>
      <c r="F43" s="63">
        <f t="shared" si="7"/>
        <v>2.2828470245124795E-2</v>
      </c>
      <c r="G43" s="64"/>
      <c r="H43" s="65"/>
    </row>
    <row r="44" spans="1:8" ht="13" thickBot="1" x14ac:dyDescent="0.3">
      <c r="A44" s="185" t="s">
        <v>193</v>
      </c>
      <c r="B44" s="66" t="s">
        <v>169</v>
      </c>
      <c r="C44" s="53">
        <v>19.182729721069336</v>
      </c>
      <c r="D44" s="53">
        <v>15.461529731750488</v>
      </c>
      <c r="E44" s="67">
        <f t="shared" si="6"/>
        <v>3.7211999893188477</v>
      </c>
      <c r="F44" s="67">
        <f t="shared" si="7"/>
        <v>7.5824085898089519E-2</v>
      </c>
      <c r="G44" s="52">
        <f t="shared" si="8"/>
        <v>6.6530241834366982E-2</v>
      </c>
      <c r="H44" s="55">
        <f t="shared" ref="H44" si="16">STDEV(F44:F47)/SQRT(4)</f>
        <v>3.3276443924363961E-3</v>
      </c>
    </row>
    <row r="45" spans="1:8" ht="15" thickBot="1" x14ac:dyDescent="0.3">
      <c r="A45" s="186"/>
      <c r="B45" s="68" t="s">
        <v>170</v>
      </c>
      <c r="C45" s="57">
        <v>17.956295013427734</v>
      </c>
      <c r="D45" s="57">
        <v>14.042346000671387</v>
      </c>
      <c r="E45" s="69">
        <f t="shared" si="6"/>
        <v>3.9139490127563477</v>
      </c>
      <c r="F45" s="69">
        <f t="shared" si="7"/>
        <v>6.6341295129705297E-2</v>
      </c>
      <c r="G45" s="59"/>
      <c r="H45" s="60"/>
    </row>
    <row r="46" spans="1:8" ht="15" thickBot="1" x14ac:dyDescent="0.3">
      <c r="A46" s="186"/>
      <c r="B46" s="68" t="s">
        <v>171</v>
      </c>
      <c r="C46" s="57">
        <v>17.881692886352539</v>
      </c>
      <c r="D46" s="57">
        <v>13.90599536895752</v>
      </c>
      <c r="E46" s="69">
        <f t="shared" si="6"/>
        <v>3.9756975173950195</v>
      </c>
      <c r="F46" s="69">
        <f t="shared" si="7"/>
        <v>6.3561742354250952E-2</v>
      </c>
      <c r="G46" s="59"/>
      <c r="H46" s="60"/>
    </row>
    <row r="47" spans="1:8" ht="15" thickBot="1" x14ac:dyDescent="0.3">
      <c r="A47" s="186"/>
      <c r="B47" s="68" t="s">
        <v>172</v>
      </c>
      <c r="C47" s="57">
        <v>18.474014282226563</v>
      </c>
      <c r="D47" s="57">
        <v>14.424559593200684</v>
      </c>
      <c r="E47" s="69">
        <f t="shared" si="6"/>
        <v>4.0494546890258789</v>
      </c>
      <c r="F47" s="69">
        <f t="shared" si="7"/>
        <v>6.0393843955422168E-2</v>
      </c>
      <c r="G47" s="70"/>
      <c r="H47" s="71"/>
    </row>
    <row r="48" spans="1:8" ht="13" thickBot="1" x14ac:dyDescent="0.3">
      <c r="A48" s="186"/>
      <c r="B48" s="68" t="s">
        <v>173</v>
      </c>
      <c r="C48" s="57">
        <v>19.985458374023438</v>
      </c>
      <c r="D48" s="57">
        <v>15.848531723022461</v>
      </c>
      <c r="E48" s="69">
        <f t="shared" si="6"/>
        <v>4.1369266510009766</v>
      </c>
      <c r="F48" s="69">
        <f t="shared" si="7"/>
        <v>5.6840905549615732E-2</v>
      </c>
      <c r="G48" s="56">
        <f t="shared" si="8"/>
        <v>6.6460460937307356E-2</v>
      </c>
      <c r="H48" s="61">
        <f t="shared" ref="H48" si="17">STDEV(F48:F51)/SQRT(4)</f>
        <v>7.3667025568683233E-3</v>
      </c>
    </row>
    <row r="49" spans="1:8" ht="15" thickBot="1" x14ac:dyDescent="0.3">
      <c r="A49" s="186"/>
      <c r="B49" s="68" t="s">
        <v>174</v>
      </c>
      <c r="C49" s="57">
        <v>19.812461853027344</v>
      </c>
      <c r="D49" s="57">
        <v>15.533806800842285</v>
      </c>
      <c r="E49" s="69">
        <f t="shared" si="6"/>
        <v>4.2786550521850586</v>
      </c>
      <c r="F49" s="69">
        <f t="shared" si="7"/>
        <v>5.1522447833905888E-2</v>
      </c>
      <c r="G49" s="59"/>
      <c r="H49" s="60"/>
    </row>
    <row r="50" spans="1:8" ht="15" thickBot="1" x14ac:dyDescent="0.3">
      <c r="A50" s="186"/>
      <c r="B50" s="68" t="s">
        <v>175</v>
      </c>
      <c r="C50" s="57">
        <v>19.536367416381836</v>
      </c>
      <c r="D50" s="57">
        <v>15.943230628967285</v>
      </c>
      <c r="E50" s="69">
        <f t="shared" si="6"/>
        <v>3.5931367874145508</v>
      </c>
      <c r="F50" s="69">
        <f t="shared" si="7"/>
        <v>8.2862503136512375E-2</v>
      </c>
      <c r="G50" s="59"/>
      <c r="H50" s="60"/>
    </row>
    <row r="51" spans="1:8" ht="15" thickBot="1" x14ac:dyDescent="0.3">
      <c r="A51" s="186"/>
      <c r="B51" s="68" t="s">
        <v>176</v>
      </c>
      <c r="C51" s="57">
        <v>19.028833389282227</v>
      </c>
      <c r="D51" s="57">
        <v>15.284461975097656</v>
      </c>
      <c r="E51" s="69">
        <f t="shared" si="6"/>
        <v>3.7443714141845703</v>
      </c>
      <c r="F51" s="69">
        <f t="shared" si="7"/>
        <v>7.4615987229195449E-2</v>
      </c>
      <c r="G51" s="70"/>
      <c r="H51" s="71"/>
    </row>
    <row r="52" spans="1:8" ht="13" thickBot="1" x14ac:dyDescent="0.3">
      <c r="A52" s="186"/>
      <c r="B52" s="68" t="s">
        <v>177</v>
      </c>
      <c r="C52" s="57">
        <v>20.953874588012695</v>
      </c>
      <c r="D52" s="57">
        <v>16.130392074584961</v>
      </c>
      <c r="E52" s="69">
        <f t="shared" si="6"/>
        <v>4.8234825134277344</v>
      </c>
      <c r="F52" s="69">
        <f t="shared" si="7"/>
        <v>3.5317266287775838E-2</v>
      </c>
      <c r="G52" s="56">
        <f t="shared" si="8"/>
        <v>3.3991202837430255E-2</v>
      </c>
      <c r="H52" s="61">
        <f t="shared" ref="H52" si="18">STDEV(F52:F55)/SQRT(4)</f>
        <v>6.3154448886419343E-3</v>
      </c>
    </row>
    <row r="53" spans="1:8" ht="15" thickBot="1" x14ac:dyDescent="0.3">
      <c r="A53" s="186"/>
      <c r="B53" s="68" t="s">
        <v>178</v>
      </c>
      <c r="C53" s="57">
        <v>20.67268180847168</v>
      </c>
      <c r="D53" s="57">
        <v>16.037849426269531</v>
      </c>
      <c r="E53" s="69">
        <f t="shared" si="6"/>
        <v>4.6348323822021484</v>
      </c>
      <c r="F53" s="69">
        <f t="shared" si="7"/>
        <v>4.0250977162166232E-2</v>
      </c>
      <c r="G53" s="59"/>
      <c r="H53" s="60"/>
    </row>
    <row r="54" spans="1:8" ht="15" thickBot="1" x14ac:dyDescent="0.3">
      <c r="A54" s="186"/>
      <c r="B54" s="68" t="s">
        <v>179</v>
      </c>
      <c r="C54" s="57">
        <v>21.592391967773438</v>
      </c>
      <c r="D54" s="57">
        <v>15.61752986907959</v>
      </c>
      <c r="E54" s="69">
        <f t="shared" si="6"/>
        <v>5.9748620986938477</v>
      </c>
      <c r="F54" s="69">
        <f t="shared" si="7"/>
        <v>1.5899639897885995E-2</v>
      </c>
      <c r="G54" s="59"/>
      <c r="H54" s="60"/>
    </row>
    <row r="55" spans="1:8" ht="15" thickBot="1" x14ac:dyDescent="0.3">
      <c r="A55" s="186"/>
      <c r="B55" s="68" t="s">
        <v>180</v>
      </c>
      <c r="C55" s="57">
        <v>20.198537826538086</v>
      </c>
      <c r="D55" s="57">
        <v>15.70838737487793</v>
      </c>
      <c r="E55" s="69">
        <f t="shared" si="6"/>
        <v>4.4901504516601563</v>
      </c>
      <c r="F55" s="69">
        <f t="shared" si="7"/>
        <v>4.4496928001892963E-2</v>
      </c>
      <c r="G55" s="70"/>
      <c r="H55" s="71"/>
    </row>
    <row r="56" spans="1:8" ht="13" thickBot="1" x14ac:dyDescent="0.3">
      <c r="A56" s="186"/>
      <c r="B56" s="68" t="s">
        <v>181</v>
      </c>
      <c r="C56" s="57">
        <v>20.362022399902344</v>
      </c>
      <c r="D56" s="57">
        <v>16.070079803466797</v>
      </c>
      <c r="E56" s="69">
        <f t="shared" si="6"/>
        <v>4.2919425964355469</v>
      </c>
      <c r="F56" s="69">
        <f t="shared" si="7"/>
        <v>5.1050093142189966E-2</v>
      </c>
      <c r="G56" s="56">
        <f t="shared" si="8"/>
        <v>3.5494374896551897E-2</v>
      </c>
      <c r="H56" s="61">
        <f t="shared" ref="H56" si="19">STDEV(F56:F59)/SQRT(4)</f>
        <v>5.1921761645235863E-3</v>
      </c>
    </row>
    <row r="57" spans="1:8" ht="15" thickBot="1" x14ac:dyDescent="0.3">
      <c r="A57" s="186"/>
      <c r="B57" s="68" t="s">
        <v>182</v>
      </c>
      <c r="C57" s="57">
        <v>20.733852386474609</v>
      </c>
      <c r="D57" s="57">
        <v>15.656217575073242</v>
      </c>
      <c r="E57" s="69">
        <f t="shared" si="6"/>
        <v>5.0776348114013672</v>
      </c>
      <c r="F57" s="69">
        <f t="shared" si="7"/>
        <v>2.9612809631735366E-2</v>
      </c>
      <c r="G57" s="59"/>
      <c r="H57" s="60"/>
    </row>
    <row r="58" spans="1:8" ht="15" thickBot="1" x14ac:dyDescent="0.3">
      <c r="A58" s="186"/>
      <c r="B58" s="68" t="s">
        <v>183</v>
      </c>
      <c r="C58" s="57">
        <v>19.550210952758789</v>
      </c>
      <c r="D58" s="57">
        <v>14.534828186035156</v>
      </c>
      <c r="E58" s="69">
        <f t="shared" si="6"/>
        <v>5.0153827667236328</v>
      </c>
      <c r="F58" s="69">
        <f t="shared" si="7"/>
        <v>3.0918566306217563E-2</v>
      </c>
      <c r="G58" s="59"/>
      <c r="H58" s="60"/>
    </row>
    <row r="59" spans="1:8" ht="15" thickBot="1" x14ac:dyDescent="0.3">
      <c r="A59" s="186"/>
      <c r="B59" s="68" t="s">
        <v>184</v>
      </c>
      <c r="C59" s="57">
        <v>20.180416107177734</v>
      </c>
      <c r="D59" s="57">
        <v>15.140442848205566</v>
      </c>
      <c r="E59" s="69">
        <f t="shared" si="6"/>
        <v>5.039973258972168</v>
      </c>
      <c r="F59" s="69">
        <f t="shared" si="7"/>
        <v>3.0396030506064681E-2</v>
      </c>
      <c r="G59" s="70"/>
      <c r="H59" s="71"/>
    </row>
    <row r="60" spans="1:8" ht="13" thickBot="1" x14ac:dyDescent="0.3">
      <c r="A60" s="186"/>
      <c r="B60" s="68" t="s">
        <v>185</v>
      </c>
      <c r="C60" s="57">
        <v>21.034074783325195</v>
      </c>
      <c r="D60" s="57">
        <v>16.05830192565918</v>
      </c>
      <c r="E60" s="69">
        <f t="shared" si="6"/>
        <v>4.9757728576660156</v>
      </c>
      <c r="F60" s="69">
        <f t="shared" si="7"/>
        <v>3.1779211563097085E-2</v>
      </c>
      <c r="G60" s="56">
        <f t="shared" si="8"/>
        <v>5.3931791360219042E-2</v>
      </c>
      <c r="H60" s="61">
        <f t="shared" ref="H60" si="20">STDEV(F60:F63)/SQRT(4)</f>
        <v>2.8589823820268697E-2</v>
      </c>
    </row>
    <row r="61" spans="1:8" ht="15" thickBot="1" x14ac:dyDescent="0.3">
      <c r="A61" s="186"/>
      <c r="B61" s="68" t="s">
        <v>186</v>
      </c>
      <c r="C61" s="57">
        <v>19.906665802001953</v>
      </c>
      <c r="D61" s="57">
        <v>17.062593460083008</v>
      </c>
      <c r="E61" s="69">
        <f t="shared" si="6"/>
        <v>2.8440723419189453</v>
      </c>
      <c r="F61" s="69">
        <f t="shared" si="7"/>
        <v>0.13926722281781062</v>
      </c>
      <c r="G61" s="59"/>
      <c r="H61" s="60"/>
    </row>
    <row r="62" spans="1:8" ht="15" thickBot="1" x14ac:dyDescent="0.3">
      <c r="A62" s="186"/>
      <c r="B62" s="68" t="s">
        <v>187</v>
      </c>
      <c r="C62" s="57">
        <v>21.22868537902832</v>
      </c>
      <c r="D62" s="57">
        <v>15.423911094665527</v>
      </c>
      <c r="E62" s="69">
        <f t="shared" si="6"/>
        <v>5.804774284362793</v>
      </c>
      <c r="F62" s="69">
        <f t="shared" si="7"/>
        <v>1.788911361662187E-2</v>
      </c>
      <c r="G62" s="59"/>
      <c r="H62" s="60"/>
    </row>
    <row r="63" spans="1:8" ht="15" thickBot="1" x14ac:dyDescent="0.3">
      <c r="A63" s="186"/>
      <c r="B63" s="68" t="s">
        <v>188</v>
      </c>
      <c r="C63" s="57">
        <v>20.934663772583008</v>
      </c>
      <c r="D63" s="57">
        <v>15.712589263916016</v>
      </c>
      <c r="E63" s="69">
        <f t="shared" si="6"/>
        <v>5.2220745086669922</v>
      </c>
      <c r="F63" s="69">
        <f t="shared" si="7"/>
        <v>2.6791617443346582E-2</v>
      </c>
      <c r="G63" s="70"/>
      <c r="H63" s="71"/>
    </row>
    <row r="64" spans="1:8" ht="13" thickBot="1" x14ac:dyDescent="0.3">
      <c r="A64" s="186"/>
      <c r="B64" s="68" t="s">
        <v>189</v>
      </c>
      <c r="C64" s="57">
        <v>22.360361099243164</v>
      </c>
      <c r="D64" s="57">
        <v>16.400459289550781</v>
      </c>
      <c r="E64" s="69">
        <f t="shared" si="6"/>
        <v>5.9599018096923828</v>
      </c>
      <c r="F64" s="69">
        <f t="shared" si="7"/>
        <v>1.6065371918885622E-2</v>
      </c>
      <c r="G64" s="56">
        <f t="shared" si="8"/>
        <v>1.2767897178352663E-2</v>
      </c>
      <c r="H64" s="61">
        <f t="shared" ref="H64" si="21">STDEV(F64:F67)/SQRT(4)</f>
        <v>2.8680292420562945E-3</v>
      </c>
    </row>
    <row r="65" spans="1:8" ht="15" thickBot="1" x14ac:dyDescent="0.3">
      <c r="A65" s="186"/>
      <c r="B65" s="68" t="s">
        <v>190</v>
      </c>
      <c r="C65" s="57">
        <v>22.854381561279297</v>
      </c>
      <c r="D65" s="57">
        <v>16.927064895629883</v>
      </c>
      <c r="E65" s="69">
        <f t="shared" si="6"/>
        <v>5.9273166656494141</v>
      </c>
      <c r="F65" s="69">
        <f t="shared" si="7"/>
        <v>1.6432358068931265E-2</v>
      </c>
      <c r="G65" s="59"/>
      <c r="H65" s="60"/>
    </row>
    <row r="66" spans="1:8" ht="15" thickBot="1" x14ac:dyDescent="0.3">
      <c r="A66" s="186"/>
      <c r="B66" s="68" t="s">
        <v>191</v>
      </c>
      <c r="C66" s="57">
        <v>21.359338760375977</v>
      </c>
      <c r="D66" s="57">
        <v>15.23104190826416</v>
      </c>
      <c r="E66" s="69">
        <f t="shared" si="6"/>
        <v>6.1282968521118164</v>
      </c>
      <c r="F66" s="69">
        <f t="shared" si="7"/>
        <v>1.4295482729317834E-2</v>
      </c>
      <c r="G66" s="59"/>
      <c r="H66" s="60"/>
    </row>
    <row r="67" spans="1:8" ht="15" thickBot="1" x14ac:dyDescent="0.3">
      <c r="A67" s="187"/>
      <c r="B67" s="72" t="s">
        <v>192</v>
      </c>
      <c r="C67" s="69">
        <v>23.975353240966797</v>
      </c>
      <c r="D67" s="69">
        <v>16.106632232666016</v>
      </c>
      <c r="E67" s="69">
        <f t="shared" si="6"/>
        <v>7.8687210083007813</v>
      </c>
      <c r="F67" s="69">
        <f t="shared" si="7"/>
        <v>4.2783759962759307E-3</v>
      </c>
      <c r="G67" s="70"/>
      <c r="H67" s="71"/>
    </row>
    <row r="70" spans="1:8" ht="21" x14ac:dyDescent="0.5">
      <c r="A70" s="163" t="s">
        <v>194</v>
      </c>
      <c r="B70" s="163"/>
      <c r="C70" s="163"/>
      <c r="D70" s="163"/>
      <c r="E70" s="163"/>
      <c r="F70" s="163"/>
      <c r="G70" s="163"/>
      <c r="H70" s="163"/>
    </row>
    <row r="71" spans="1:8" ht="16" thickBot="1" x14ac:dyDescent="0.4">
      <c r="A71" s="159" t="s">
        <v>79</v>
      </c>
      <c r="B71" s="159"/>
      <c r="C71" s="159"/>
      <c r="D71" s="159"/>
      <c r="E71" s="159"/>
      <c r="F71" s="159"/>
      <c r="G71" s="159"/>
      <c r="H71" s="79"/>
    </row>
    <row r="72" spans="1:8" ht="14.5" x14ac:dyDescent="0.35">
      <c r="A72" s="74" t="s">
        <v>8</v>
      </c>
      <c r="B72" s="75" t="s">
        <v>7</v>
      </c>
      <c r="C72" s="75" t="s">
        <v>6</v>
      </c>
      <c r="D72" s="75" t="s">
        <v>5</v>
      </c>
      <c r="E72" s="75" t="s">
        <v>4</v>
      </c>
      <c r="F72" s="75" t="s">
        <v>3</v>
      </c>
      <c r="G72" s="76" t="s">
        <v>72</v>
      </c>
    </row>
    <row r="73" spans="1:8" ht="14.5" x14ac:dyDescent="0.35">
      <c r="A73" s="152" t="s">
        <v>143</v>
      </c>
      <c r="B73" s="77">
        <v>17.795892715454102</v>
      </c>
      <c r="C73" s="77">
        <v>14.072407722473145</v>
      </c>
      <c r="D73" s="77">
        <f>B73-C73</f>
        <v>3.723484992980957</v>
      </c>
      <c r="E73" s="77">
        <f>2^-D73</f>
        <v>7.5704087440758641E-2</v>
      </c>
      <c r="F73" s="169">
        <f>AVERAGE(E73:E76)</f>
        <v>7.1612317066991643E-2</v>
      </c>
      <c r="G73" s="172">
        <f>STDEVA(E73:E76)/SQRT(4)</f>
        <v>4.9211735550527772E-3</v>
      </c>
    </row>
    <row r="74" spans="1:8" ht="14.5" x14ac:dyDescent="0.35">
      <c r="A74" s="152"/>
      <c r="B74" s="77">
        <v>18.400812149047852</v>
      </c>
      <c r="C74" s="77">
        <v>14.3985595703125</v>
      </c>
      <c r="D74" s="77">
        <f t="shared" ref="D74:D76" si="22">B74-C74</f>
        <v>4.0022525787353516</v>
      </c>
      <c r="E74" s="77">
        <f t="shared" ref="E74:E76" si="23">2^-D74</f>
        <v>6.2402490606399887E-2</v>
      </c>
      <c r="F74" s="170"/>
      <c r="G74" s="173"/>
    </row>
    <row r="75" spans="1:8" ht="14.5" x14ac:dyDescent="0.35">
      <c r="A75" s="152"/>
      <c r="B75" s="77">
        <v>17.944248199462891</v>
      </c>
      <c r="C75" s="77">
        <v>14.363048553466797</v>
      </c>
      <c r="D75" s="77">
        <f t="shared" si="22"/>
        <v>3.5811996459960938</v>
      </c>
      <c r="E75" s="77">
        <f t="shared" si="23"/>
        <v>8.3550968040661158E-2</v>
      </c>
      <c r="F75" s="170"/>
      <c r="G75" s="173"/>
    </row>
    <row r="76" spans="1:8" ht="14.5" x14ac:dyDescent="0.35">
      <c r="A76" s="152"/>
      <c r="B76" s="77">
        <v>18.308784484863281</v>
      </c>
      <c r="C76" s="77">
        <v>14.360737800598145</v>
      </c>
      <c r="D76" s="77">
        <f t="shared" si="22"/>
        <v>3.9480466842651367</v>
      </c>
      <c r="E76" s="77">
        <f t="shared" si="23"/>
        <v>6.4791722180146907E-2</v>
      </c>
      <c r="F76" s="171"/>
      <c r="G76" s="174"/>
    </row>
    <row r="77" spans="1:8" ht="14.5" x14ac:dyDescent="0.35">
      <c r="A77" s="152" t="s">
        <v>195</v>
      </c>
      <c r="B77" s="77">
        <v>17.737384796142578</v>
      </c>
      <c r="C77" s="77">
        <v>13.787725448608398</v>
      </c>
      <c r="D77" s="77">
        <f t="shared" ref="D77:D84" si="24">B77-C77</f>
        <v>3.9496593475341797</v>
      </c>
      <c r="E77" s="77">
        <f t="shared" ref="E77:E84" si="25">2^-D77</f>
        <v>6.4719337614663905E-2</v>
      </c>
      <c r="F77" s="169">
        <f t="shared" ref="F77" si="26">AVERAGE(E77:E80)</f>
        <v>6.9623724030485348E-2</v>
      </c>
      <c r="G77" s="172">
        <f t="shared" ref="G77" si="27">STDEVA(E77:E80)/SQRT(4)</f>
        <v>3.3327863665717542E-3</v>
      </c>
    </row>
    <row r="78" spans="1:8" ht="14.5" x14ac:dyDescent="0.35">
      <c r="A78" s="152"/>
      <c r="B78" s="77">
        <v>16.914106369018555</v>
      </c>
      <c r="C78" s="77">
        <v>12.928448677062988</v>
      </c>
      <c r="D78" s="77">
        <f t="shared" si="24"/>
        <v>3.9856576919555664</v>
      </c>
      <c r="E78" s="77">
        <f t="shared" si="25"/>
        <v>6.312443184792299E-2</v>
      </c>
      <c r="F78" s="170"/>
      <c r="G78" s="173"/>
    </row>
    <row r="79" spans="1:8" ht="14.5" x14ac:dyDescent="0.35">
      <c r="A79" s="152"/>
      <c r="B79" s="77">
        <v>17.252414703369141</v>
      </c>
      <c r="C79" s="77">
        <v>13.540600776672363</v>
      </c>
      <c r="D79" s="77">
        <f t="shared" si="24"/>
        <v>3.7118139266967773</v>
      </c>
      <c r="E79" s="77">
        <f t="shared" si="25"/>
        <v>7.6318999740538587E-2</v>
      </c>
      <c r="F79" s="170"/>
      <c r="G79" s="173"/>
    </row>
    <row r="80" spans="1:8" ht="14.5" x14ac:dyDescent="0.35">
      <c r="A80" s="152"/>
      <c r="B80" s="77">
        <v>17.383621215820313</v>
      </c>
      <c r="C80" s="77">
        <v>13.633750915527344</v>
      </c>
      <c r="D80" s="77">
        <f t="shared" si="24"/>
        <v>3.7498703002929688</v>
      </c>
      <c r="E80" s="77">
        <f t="shared" si="25"/>
        <v>7.4332126918815924E-2</v>
      </c>
      <c r="F80" s="171"/>
      <c r="G80" s="174"/>
    </row>
    <row r="81" spans="1:8" ht="14.5" x14ac:dyDescent="0.35">
      <c r="A81" s="177" t="s">
        <v>144</v>
      </c>
      <c r="B81" s="77">
        <v>16.885133743286133</v>
      </c>
      <c r="C81" s="77">
        <v>13.783455848693848</v>
      </c>
      <c r="D81" s="77">
        <f t="shared" si="24"/>
        <v>3.1016778945922852</v>
      </c>
      <c r="E81" s="77">
        <f t="shared" si="25"/>
        <v>0.116493559863997</v>
      </c>
      <c r="F81" s="169">
        <f t="shared" ref="F81" si="28">AVERAGE(E81:E84)</f>
        <v>0.10724231871858945</v>
      </c>
      <c r="G81" s="172">
        <f t="shared" ref="G81" si="29">STDEVA(E81:E84)/SQRT(4)</f>
        <v>8.4277297019168841E-3</v>
      </c>
    </row>
    <row r="82" spans="1:8" ht="14.5" x14ac:dyDescent="0.35">
      <c r="A82" s="178"/>
      <c r="B82" s="77">
        <v>17.48021125793457</v>
      </c>
      <c r="C82" s="77">
        <v>14.458217620849609</v>
      </c>
      <c r="D82" s="77">
        <f t="shared" si="24"/>
        <v>3.0219936370849609</v>
      </c>
      <c r="E82" s="77">
        <f t="shared" si="25"/>
        <v>0.12310884832451929</v>
      </c>
      <c r="F82" s="170"/>
      <c r="G82" s="173"/>
    </row>
    <row r="83" spans="1:8" ht="14.5" x14ac:dyDescent="0.35">
      <c r="A83" s="178"/>
      <c r="B83" s="77">
        <v>17.154546737670898</v>
      </c>
      <c r="C83" s="77">
        <v>13.898491859436035</v>
      </c>
      <c r="D83" s="77">
        <f t="shared" si="24"/>
        <v>3.2560548782348633</v>
      </c>
      <c r="E83" s="77">
        <f t="shared" si="25"/>
        <v>0.10467182928316493</v>
      </c>
      <c r="F83" s="170"/>
      <c r="G83" s="173"/>
    </row>
    <row r="84" spans="1:8" ht="15" thickBot="1" x14ac:dyDescent="0.4">
      <c r="A84" s="179"/>
      <c r="B84" s="78">
        <v>17.083332061767578</v>
      </c>
      <c r="C84" s="78">
        <v>13.521753311157227</v>
      </c>
      <c r="D84" s="78">
        <f t="shared" si="24"/>
        <v>3.5615787506103516</v>
      </c>
      <c r="E84" s="78">
        <f t="shared" si="25"/>
        <v>8.4695037402676587E-2</v>
      </c>
      <c r="F84" s="175"/>
      <c r="G84" s="176"/>
    </row>
    <row r="87" spans="1:8" ht="14.5" x14ac:dyDescent="0.35">
      <c r="A87" s="168" t="s">
        <v>196</v>
      </c>
      <c r="B87" s="168"/>
      <c r="C87" s="168"/>
      <c r="D87" s="168"/>
      <c r="E87" s="168"/>
      <c r="F87" s="168"/>
      <c r="G87" s="168"/>
      <c r="H87" s="168"/>
    </row>
    <row r="88" spans="1:8" ht="14.5" x14ac:dyDescent="0.35">
      <c r="A88" s="33" t="s">
        <v>8</v>
      </c>
      <c r="B88" s="48" t="s">
        <v>9</v>
      </c>
      <c r="C88" s="33" t="s">
        <v>7</v>
      </c>
      <c r="D88" s="33" t="s">
        <v>6</v>
      </c>
      <c r="E88" s="33" t="s">
        <v>5</v>
      </c>
      <c r="F88" s="33" t="s">
        <v>4</v>
      </c>
      <c r="G88" s="33" t="s">
        <v>3</v>
      </c>
      <c r="H88" s="33" t="s">
        <v>72</v>
      </c>
    </row>
    <row r="89" spans="1:8" ht="14.5" x14ac:dyDescent="0.35">
      <c r="A89" s="167" t="s">
        <v>143</v>
      </c>
      <c r="B89" s="35" t="s">
        <v>2</v>
      </c>
      <c r="C89">
        <v>25.515623092651367</v>
      </c>
      <c r="D89">
        <v>13.452986717224121</v>
      </c>
      <c r="E89" s="34">
        <f t="shared" ref="E89:E94" si="30">C89-D89</f>
        <v>12.062636375427246</v>
      </c>
      <c r="F89" s="34">
        <f t="shared" ref="F89:F94" si="31">2^-E89</f>
        <v>2.3376776475129402E-4</v>
      </c>
      <c r="G89" s="167">
        <f>AVERAGE(F89:F91)</f>
        <v>2.3013134648419641E-4</v>
      </c>
      <c r="H89" s="167">
        <f>STDEV(F89:F91)/SQRT(3)</f>
        <v>2.1731769714855607E-5</v>
      </c>
    </row>
    <row r="90" spans="1:8" ht="14.5" x14ac:dyDescent="0.35">
      <c r="A90" s="167"/>
      <c r="B90" s="35" t="s">
        <v>1</v>
      </c>
      <c r="C90">
        <v>25.92010498046875</v>
      </c>
      <c r="D90">
        <v>13.564488410949707</v>
      </c>
      <c r="E90" s="34">
        <f t="shared" si="30"/>
        <v>12.355616569519043</v>
      </c>
      <c r="F90" s="34">
        <f t="shared" si="31"/>
        <v>1.9080458110732378E-4</v>
      </c>
      <c r="G90" s="167"/>
      <c r="H90" s="167"/>
    </row>
    <row r="91" spans="1:8" ht="14.5" x14ac:dyDescent="0.35">
      <c r="A91" s="167"/>
      <c r="B91" s="35" t="s">
        <v>0</v>
      </c>
      <c r="C91">
        <v>25.809423446655273</v>
      </c>
      <c r="D91">
        <v>13.932169914245605</v>
      </c>
      <c r="E91" s="34">
        <f t="shared" si="30"/>
        <v>11.877253532409668</v>
      </c>
      <c r="F91" s="34">
        <f t="shared" si="31"/>
        <v>2.6582169359397139E-4</v>
      </c>
      <c r="G91" s="167"/>
      <c r="H91" s="167"/>
    </row>
    <row r="92" spans="1:8" ht="14.5" x14ac:dyDescent="0.35">
      <c r="A92" s="164" t="s">
        <v>197</v>
      </c>
      <c r="B92" s="35" t="s">
        <v>2</v>
      </c>
      <c r="C92">
        <v>21.414682388305664</v>
      </c>
      <c r="D92">
        <v>14.394384384155273</v>
      </c>
      <c r="E92" s="34">
        <f t="shared" si="30"/>
        <v>7.0202980041503906</v>
      </c>
      <c r="F92" s="34">
        <f t="shared" si="31"/>
        <v>7.7033516295151221E-3</v>
      </c>
      <c r="G92" s="167">
        <f t="shared" ref="G92" si="32">AVERAGE(F92:F94)</f>
        <v>5.7396307267396475E-3</v>
      </c>
      <c r="H92" s="167">
        <f t="shared" ref="H92" si="33">STDEV(F92:F94)/SQRT(3)</f>
        <v>1.4748722374630326E-3</v>
      </c>
    </row>
    <row r="93" spans="1:8" ht="14.5" x14ac:dyDescent="0.35">
      <c r="A93" s="165"/>
      <c r="B93" s="35" t="s">
        <v>1</v>
      </c>
      <c r="C93">
        <v>21.183944702148438</v>
      </c>
      <c r="D93">
        <v>13.95454216003418</v>
      </c>
      <c r="E93" s="34">
        <f t="shared" si="30"/>
        <v>7.2294025421142578</v>
      </c>
      <c r="F93" s="34">
        <f t="shared" si="31"/>
        <v>6.6639692451658291E-3</v>
      </c>
      <c r="G93" s="167"/>
      <c r="H93" s="167"/>
    </row>
    <row r="94" spans="1:8" ht="14.5" x14ac:dyDescent="0.35">
      <c r="A94" s="166"/>
      <c r="B94" s="35" t="s">
        <v>0</v>
      </c>
      <c r="C94">
        <v>22.4085693359375</v>
      </c>
      <c r="D94">
        <v>13.95454216003418</v>
      </c>
      <c r="E94" s="34">
        <f t="shared" si="30"/>
        <v>8.4540271759033203</v>
      </c>
      <c r="F94" s="34">
        <f t="shared" si="31"/>
        <v>2.8515713055379923E-3</v>
      </c>
      <c r="G94" s="167"/>
      <c r="H94" s="167"/>
    </row>
    <row r="95" spans="1:8" ht="14.5" x14ac:dyDescent="0.35">
      <c r="A95" s="167" t="s">
        <v>144</v>
      </c>
      <c r="B95" s="35" t="s">
        <v>74</v>
      </c>
      <c r="C95">
        <v>29.040206909179702</v>
      </c>
      <c r="D95">
        <v>13.298671722410001</v>
      </c>
      <c r="E95" s="37">
        <f>C95-D95</f>
        <v>15.741535186769701</v>
      </c>
      <c r="F95" s="37">
        <f>2^-E95</f>
        <v>1.8252641797316173E-5</v>
      </c>
      <c r="G95" s="167">
        <f t="shared" ref="G95" si="34">AVERAGE(F95:F97)</f>
        <v>2.1221933504690949E-5</v>
      </c>
      <c r="H95" s="167">
        <f t="shared" ref="H95" si="35">STDEV(F95:F97)/SQRT(3)</f>
        <v>2.3506936360369438E-6</v>
      </c>
    </row>
    <row r="96" spans="1:8" ht="14.5" x14ac:dyDescent="0.35">
      <c r="A96" s="167"/>
      <c r="B96" s="35" t="s">
        <v>75</v>
      </c>
      <c r="C96">
        <v>28.883619308471701</v>
      </c>
      <c r="D96">
        <v>13.644884109496999</v>
      </c>
      <c r="E96" s="37">
        <f>C96-D96</f>
        <v>15.238735198974702</v>
      </c>
      <c r="F96" s="37">
        <f>2^-E96</f>
        <v>2.5863280449533516E-5</v>
      </c>
      <c r="G96" s="167"/>
      <c r="H96" s="167"/>
    </row>
    <row r="97" spans="1:8" ht="14.5" x14ac:dyDescent="0.35">
      <c r="A97" s="167"/>
      <c r="B97" s="35" t="s">
        <v>76</v>
      </c>
      <c r="C97">
        <v>28.964179992675799</v>
      </c>
      <c r="D97">
        <v>13.321699142456</v>
      </c>
      <c r="E97" s="37">
        <f>C97-D97</f>
        <v>15.642480850219799</v>
      </c>
      <c r="F97" s="37">
        <f>2^-E97</f>
        <v>1.9549878267223157E-5</v>
      </c>
      <c r="G97" s="167"/>
      <c r="H97" s="167"/>
    </row>
    <row r="100" spans="1:8" ht="21" x14ac:dyDescent="0.5">
      <c r="A100" s="163" t="s">
        <v>198</v>
      </c>
      <c r="B100" s="163"/>
      <c r="C100" s="163"/>
      <c r="D100" s="163"/>
      <c r="E100" s="163"/>
      <c r="F100" s="163"/>
      <c r="G100" s="163"/>
      <c r="H100" s="163"/>
    </row>
    <row r="101" spans="1:8" ht="16" thickBot="1" x14ac:dyDescent="0.4">
      <c r="A101" s="159" t="s">
        <v>79</v>
      </c>
      <c r="B101" s="159"/>
      <c r="C101" s="159"/>
      <c r="D101" s="159"/>
      <c r="E101" s="159"/>
      <c r="F101" s="159"/>
      <c r="G101" s="159"/>
      <c r="H101" s="159"/>
    </row>
    <row r="102" spans="1:8" ht="14.5" x14ac:dyDescent="0.35">
      <c r="A102" s="80" t="s">
        <v>8</v>
      </c>
      <c r="B102" s="74" t="s">
        <v>201</v>
      </c>
      <c r="C102" s="75" t="s">
        <v>7</v>
      </c>
      <c r="D102" s="75" t="s">
        <v>6</v>
      </c>
      <c r="E102" s="75" t="s">
        <v>5</v>
      </c>
      <c r="F102" s="75" t="s">
        <v>4</v>
      </c>
      <c r="G102" s="75" t="s">
        <v>3</v>
      </c>
      <c r="H102" s="75" t="s">
        <v>72</v>
      </c>
    </row>
    <row r="103" spans="1:8" ht="14.5" x14ac:dyDescent="0.35">
      <c r="A103" s="161" t="s">
        <v>199</v>
      </c>
      <c r="B103" s="161" t="s">
        <v>143</v>
      </c>
      <c r="C103" s="37">
        <v>18.262018203735352</v>
      </c>
      <c r="D103" s="37">
        <v>15.136336326599121</v>
      </c>
      <c r="E103" s="37">
        <f>C103-D103</f>
        <v>3.1256818771362305</v>
      </c>
      <c r="F103" s="37">
        <f>2^-E103</f>
        <v>0.11457134146356536</v>
      </c>
      <c r="G103" s="37">
        <f>AVERAGE(F103:F106)</f>
        <v>8.4386102734859247E-2</v>
      </c>
      <c r="H103" s="37">
        <f>STDEVA(F103:F106)/SQRT(4)</f>
        <v>1.1618157205822759E-2</v>
      </c>
    </row>
    <row r="104" spans="1:8" ht="14.5" x14ac:dyDescent="0.35">
      <c r="A104" s="161"/>
      <c r="B104" s="161"/>
      <c r="C104" s="37">
        <v>21.012102127075195</v>
      </c>
      <c r="D104" s="37">
        <v>16.918663024902344</v>
      </c>
      <c r="E104" s="37">
        <f t="shared" ref="E104:E118" si="36">C104-D104</f>
        <v>4.0934391021728516</v>
      </c>
      <c r="F104" s="37">
        <f t="shared" ref="F104:F118" si="37">2^-E104</f>
        <v>5.8580361153702513E-2</v>
      </c>
      <c r="G104" s="37"/>
      <c r="H104" s="37"/>
    </row>
    <row r="105" spans="1:8" ht="14.5" x14ac:dyDescent="0.35">
      <c r="A105" s="161"/>
      <c r="B105" s="161"/>
      <c r="C105" s="37">
        <v>18.257450103759766</v>
      </c>
      <c r="D105" s="37">
        <v>14.722365379333496</v>
      </c>
      <c r="E105" s="37">
        <f t="shared" si="36"/>
        <v>3.5350847244262695</v>
      </c>
      <c r="F105" s="37">
        <f t="shared" si="37"/>
        <v>8.6264768410851442E-2</v>
      </c>
      <c r="G105" s="37"/>
      <c r="H105" s="37"/>
    </row>
    <row r="106" spans="1:8" ht="14.5" x14ac:dyDescent="0.35">
      <c r="A106" s="161"/>
      <c r="B106" s="161"/>
      <c r="C106" s="37">
        <v>19.611976623535156</v>
      </c>
      <c r="D106" s="37">
        <v>15.933959007263184</v>
      </c>
      <c r="E106" s="37">
        <f t="shared" si="36"/>
        <v>3.6780176162719727</v>
      </c>
      <c r="F106" s="37">
        <f t="shared" si="37"/>
        <v>7.8127939911317681E-2</v>
      </c>
      <c r="G106" s="37"/>
      <c r="H106" s="37"/>
    </row>
    <row r="107" spans="1:8" ht="14.5" x14ac:dyDescent="0.35">
      <c r="A107" s="161"/>
      <c r="B107" s="161" t="s">
        <v>144</v>
      </c>
      <c r="C107" s="37">
        <v>18.98760986328125</v>
      </c>
      <c r="D107" s="37">
        <v>15.928277015686035</v>
      </c>
      <c r="E107" s="37">
        <f t="shared" si="36"/>
        <v>3.0593328475952148</v>
      </c>
      <c r="F107" s="37">
        <f t="shared" si="37"/>
        <v>0.11996347737845717</v>
      </c>
      <c r="G107" s="37">
        <f t="shared" ref="G107" si="38">AVERAGE(F107:F110)</f>
        <v>0.11956675740419957</v>
      </c>
      <c r="H107" s="37">
        <f t="shared" ref="H107" si="39">STDEVA(F107:F110)/SQRT(4)</f>
        <v>4.0600399650313965E-3</v>
      </c>
    </row>
    <row r="108" spans="1:8" ht="14.5" x14ac:dyDescent="0.35">
      <c r="A108" s="161"/>
      <c r="B108" s="161"/>
      <c r="C108" s="37">
        <v>18.401918411254883</v>
      </c>
      <c r="D108" s="37">
        <v>15.419187545776367</v>
      </c>
      <c r="E108" s="37">
        <f t="shared" si="36"/>
        <v>2.9827308654785156</v>
      </c>
      <c r="F108" s="37">
        <f t="shared" si="37"/>
        <v>0.12650524746026826</v>
      </c>
      <c r="G108" s="37"/>
      <c r="H108" s="37"/>
    </row>
    <row r="109" spans="1:8" ht="14.5" x14ac:dyDescent="0.35">
      <c r="A109" s="161"/>
      <c r="B109" s="161"/>
      <c r="C109" s="37">
        <v>17.379287719726563</v>
      </c>
      <c r="D109" s="37">
        <v>14.169320106506348</v>
      </c>
      <c r="E109" s="37">
        <f t="shared" si="36"/>
        <v>3.2099676132202148</v>
      </c>
      <c r="F109" s="37">
        <f t="shared" si="37"/>
        <v>0.10806957991918896</v>
      </c>
      <c r="G109" s="37"/>
      <c r="H109" s="37"/>
    </row>
    <row r="110" spans="1:8" ht="14.5" x14ac:dyDescent="0.35">
      <c r="A110" s="161"/>
      <c r="B110" s="161"/>
      <c r="C110" s="37">
        <v>17.330715179443359</v>
      </c>
      <c r="D110" s="37">
        <v>14.315967559814453</v>
      </c>
      <c r="E110" s="37">
        <f t="shared" si="36"/>
        <v>3.0147476196289063</v>
      </c>
      <c r="F110" s="37">
        <f t="shared" si="37"/>
        <v>0.12372872485888393</v>
      </c>
      <c r="G110" s="37"/>
      <c r="H110" s="37"/>
    </row>
    <row r="111" spans="1:8" ht="14.5" x14ac:dyDescent="0.35">
      <c r="A111" s="161" t="s">
        <v>200</v>
      </c>
      <c r="B111" s="161" t="s">
        <v>143</v>
      </c>
      <c r="C111" s="37">
        <v>17.907304763793945</v>
      </c>
      <c r="D111" s="37">
        <v>14.500044822692871</v>
      </c>
      <c r="E111" s="37">
        <f t="shared" si="36"/>
        <v>3.4072599411010742</v>
      </c>
      <c r="F111" s="37">
        <f t="shared" si="37"/>
        <v>9.4256770319144312E-2</v>
      </c>
      <c r="G111" s="37">
        <f t="shared" ref="G111" si="40">AVERAGE(F111:F114)</f>
        <v>8.0390514911415703E-2</v>
      </c>
      <c r="H111" s="37">
        <f t="shared" ref="H111" si="41">STDEVA(F111:F114)/SQRT(4)</f>
        <v>6.5373102986219841E-3</v>
      </c>
    </row>
    <row r="112" spans="1:8" ht="14.5" x14ac:dyDescent="0.35">
      <c r="A112" s="161"/>
      <c r="B112" s="161"/>
      <c r="C112" s="37">
        <v>20.26966667175293</v>
      </c>
      <c r="D112" s="37">
        <v>16.356414794921875</v>
      </c>
      <c r="E112" s="37">
        <f t="shared" si="36"/>
        <v>3.9132518768310547</v>
      </c>
      <c r="F112" s="37">
        <f t="shared" si="37"/>
        <v>6.6373360171034387E-2</v>
      </c>
      <c r="G112" s="37"/>
      <c r="H112" s="37"/>
    </row>
    <row r="113" spans="1:8" ht="14.5" x14ac:dyDescent="0.35">
      <c r="A113" s="161"/>
      <c r="B113" s="161"/>
      <c r="C113" s="37">
        <v>18.521215438842773</v>
      </c>
      <c r="D113" s="37">
        <v>15.020462989807129</v>
      </c>
      <c r="E113" s="37">
        <f t="shared" si="36"/>
        <v>3.5007524490356445</v>
      </c>
      <c r="F113" s="37">
        <f t="shared" si="37"/>
        <v>8.8342260024624961E-2</v>
      </c>
      <c r="G113" s="37"/>
      <c r="H113" s="37"/>
    </row>
    <row r="114" spans="1:8" ht="14.5" x14ac:dyDescent="0.35">
      <c r="A114" s="161"/>
      <c r="B114" s="161"/>
      <c r="C114" s="37">
        <v>19.747119903564453</v>
      </c>
      <c r="D114" s="37">
        <v>15.963027954101563</v>
      </c>
      <c r="E114" s="37">
        <f t="shared" si="36"/>
        <v>3.7840919494628906</v>
      </c>
      <c r="F114" s="37">
        <f t="shared" si="37"/>
        <v>7.2589669130859139E-2</v>
      </c>
      <c r="G114" s="37"/>
      <c r="H114" s="37"/>
    </row>
    <row r="115" spans="1:8" ht="14.5" x14ac:dyDescent="0.35">
      <c r="A115" s="161"/>
      <c r="B115" s="161" t="s">
        <v>144</v>
      </c>
      <c r="C115" s="37">
        <v>19.814859390258789</v>
      </c>
      <c r="D115" s="37">
        <v>15.976191520690918</v>
      </c>
      <c r="E115" s="37">
        <f t="shared" si="36"/>
        <v>3.8386678695678711</v>
      </c>
      <c r="F115" s="37">
        <f t="shared" si="37"/>
        <v>6.9894954719379315E-2</v>
      </c>
      <c r="G115" s="37">
        <f t="shared" ref="G115" si="42">AVERAGE(F115:F118)</f>
        <v>7.8434258679592972E-2</v>
      </c>
      <c r="H115" s="37">
        <f t="shared" ref="H115" si="43">STDEVA(F115:F118)/SQRT(4)</f>
        <v>9.8345359990304176E-3</v>
      </c>
    </row>
    <row r="116" spans="1:8" ht="14.5" x14ac:dyDescent="0.35">
      <c r="A116" s="161"/>
      <c r="B116" s="161"/>
      <c r="C116" s="37">
        <v>17.781000137329102</v>
      </c>
      <c r="D116" s="37">
        <v>14.561838150024414</v>
      </c>
      <c r="E116" s="37">
        <f t="shared" si="36"/>
        <v>3.2191619873046875</v>
      </c>
      <c r="F116" s="37">
        <f t="shared" si="37"/>
        <v>0.10738303661207375</v>
      </c>
      <c r="G116" s="37"/>
      <c r="H116" s="37"/>
    </row>
    <row r="117" spans="1:8" ht="14.5" x14ac:dyDescent="0.35">
      <c r="A117" s="161"/>
      <c r="B117" s="161"/>
      <c r="C117" s="37">
        <v>20.055509567260742</v>
      </c>
      <c r="D117" s="37">
        <v>16.082498550415039</v>
      </c>
      <c r="E117" s="37">
        <f t="shared" si="36"/>
        <v>3.9730110168457031</v>
      </c>
      <c r="F117" s="37">
        <f t="shared" si="37"/>
        <v>6.368021350575824E-2</v>
      </c>
      <c r="G117" s="37"/>
      <c r="H117" s="37"/>
    </row>
    <row r="118" spans="1:8" ht="14.5" x14ac:dyDescent="0.35">
      <c r="A118" s="161"/>
      <c r="B118" s="161"/>
      <c r="C118" s="37">
        <v>19.315853118896484</v>
      </c>
      <c r="D118" s="37">
        <v>15.535515785217285</v>
      </c>
      <c r="E118" s="37">
        <f t="shared" si="36"/>
        <v>3.7803373336791992</v>
      </c>
      <c r="F118" s="37">
        <f t="shared" si="37"/>
        <v>7.2778829881160578E-2</v>
      </c>
      <c r="G118" s="37"/>
      <c r="H118" s="37"/>
    </row>
    <row r="120" spans="1:8" ht="16" thickBot="1" x14ac:dyDescent="0.4">
      <c r="A120" s="159" t="s">
        <v>202</v>
      </c>
      <c r="B120" s="159"/>
      <c r="C120" s="159"/>
      <c r="D120" s="159"/>
      <c r="E120" s="159"/>
      <c r="F120" s="159"/>
      <c r="G120" s="159"/>
      <c r="H120" s="159"/>
    </row>
    <row r="121" spans="1:8" ht="15" thickBot="1" x14ac:dyDescent="0.4">
      <c r="A121" s="80" t="s">
        <v>8</v>
      </c>
      <c r="B121" s="74" t="s">
        <v>201</v>
      </c>
      <c r="C121" s="75" t="s">
        <v>7</v>
      </c>
      <c r="D121" s="75" t="s">
        <v>6</v>
      </c>
      <c r="E121" s="75" t="s">
        <v>5</v>
      </c>
      <c r="F121" s="75" t="s">
        <v>4</v>
      </c>
      <c r="G121" s="75" t="s">
        <v>3</v>
      </c>
      <c r="H121" s="75" t="s">
        <v>72</v>
      </c>
    </row>
    <row r="122" spans="1:8" ht="14.5" x14ac:dyDescent="0.35">
      <c r="A122" s="160" t="s">
        <v>199</v>
      </c>
      <c r="B122" s="160" t="s">
        <v>143</v>
      </c>
      <c r="C122" s="81">
        <v>26.857906341552734</v>
      </c>
      <c r="D122" s="81">
        <v>15.136336326599121</v>
      </c>
      <c r="E122" s="81">
        <f>C122-D122</f>
        <v>11.721570014953613</v>
      </c>
      <c r="F122" s="82">
        <f t="shared" ref="F122:F137" si="44">2^-E122</f>
        <v>2.9611187836544391E-4</v>
      </c>
      <c r="G122" s="81">
        <f>AVERAGE(F122:F125)</f>
        <v>1.8477836541985483E-4</v>
      </c>
      <c r="H122" s="81">
        <f>STDEVA(F122:F125)/SQRT(4)</f>
        <v>4.2834172682080315E-5</v>
      </c>
    </row>
    <row r="123" spans="1:8" ht="14.5" x14ac:dyDescent="0.35">
      <c r="A123" s="161"/>
      <c r="B123" s="161"/>
      <c r="C123" s="37">
        <v>30.009170532226563</v>
      </c>
      <c r="D123" s="37">
        <v>16.918663024902344</v>
      </c>
      <c r="E123" s="37">
        <f t="shared" ref="E123:E137" si="45">C123-D123</f>
        <v>13.090507507324219</v>
      </c>
      <c r="F123" s="37">
        <f t="shared" si="44"/>
        <v>1.1464749811892216E-4</v>
      </c>
      <c r="G123" s="37"/>
      <c r="H123" s="37"/>
    </row>
    <row r="124" spans="1:8" ht="14.5" x14ac:dyDescent="0.35">
      <c r="A124" s="161"/>
      <c r="B124" s="161"/>
      <c r="C124" s="37">
        <v>26.95294189453125</v>
      </c>
      <c r="D124" s="37">
        <v>14.722365379333496</v>
      </c>
      <c r="E124" s="37">
        <f t="shared" si="45"/>
        <v>12.230576515197754</v>
      </c>
      <c r="F124" s="37">
        <f t="shared" si="44"/>
        <v>2.0807964807290289E-4</v>
      </c>
      <c r="G124" s="37"/>
      <c r="H124" s="37"/>
    </row>
    <row r="125" spans="1:8" ht="14.5" x14ac:dyDescent="0.35">
      <c r="A125" s="161"/>
      <c r="B125" s="161"/>
      <c r="C125" s="37">
        <v>28.955341339111328</v>
      </c>
      <c r="D125" s="37">
        <v>15.933959007263184</v>
      </c>
      <c r="E125" s="37">
        <f t="shared" si="45"/>
        <v>13.021382331848145</v>
      </c>
      <c r="F125" s="37">
        <f t="shared" si="44"/>
        <v>1.2027443712215045E-4</v>
      </c>
      <c r="G125" s="37"/>
      <c r="H125" s="37"/>
    </row>
    <row r="126" spans="1:8" ht="14.5" x14ac:dyDescent="0.35">
      <c r="A126" s="161"/>
      <c r="B126" s="161" t="s">
        <v>144</v>
      </c>
      <c r="C126" s="37">
        <v>29.377582550048828</v>
      </c>
      <c r="D126" s="37">
        <v>15.928277015686035</v>
      </c>
      <c r="E126" s="37">
        <f t="shared" si="45"/>
        <v>13.449305534362793</v>
      </c>
      <c r="F126" s="37">
        <f t="shared" si="44"/>
        <v>8.940372485278169E-5</v>
      </c>
      <c r="G126" s="37">
        <f>AVERAGE(F126:F129)</f>
        <v>2.5132646079368398E-4</v>
      </c>
      <c r="H126" s="37">
        <f t="shared" ref="H126" si="46">STDEVA(F126:F129)/SQRT(4)</f>
        <v>6.6445541181406469E-5</v>
      </c>
    </row>
    <row r="127" spans="1:8" ht="14.5" x14ac:dyDescent="0.35">
      <c r="A127" s="161"/>
      <c r="B127" s="161"/>
      <c r="C127" s="37">
        <v>27.405403137207031</v>
      </c>
      <c r="D127" s="37">
        <v>15.419187545776367</v>
      </c>
      <c r="E127" s="37">
        <f t="shared" si="45"/>
        <v>11.986215591430664</v>
      </c>
      <c r="F127" s="37">
        <f t="shared" si="44"/>
        <v>2.4648447633731708E-4</v>
      </c>
      <c r="G127" s="37"/>
      <c r="H127" s="37"/>
    </row>
    <row r="128" spans="1:8" ht="14.5" x14ac:dyDescent="0.35">
      <c r="A128" s="161"/>
      <c r="B128" s="161"/>
      <c r="C128" s="37">
        <v>25.404581069946289</v>
      </c>
      <c r="D128" s="37">
        <v>14.169320106506348</v>
      </c>
      <c r="E128" s="37">
        <f t="shared" si="45"/>
        <v>11.235260963439941</v>
      </c>
      <c r="F128" s="37">
        <f t="shared" si="44"/>
        <v>4.1481021330864239E-4</v>
      </c>
      <c r="G128" s="37"/>
      <c r="H128" s="37"/>
    </row>
    <row r="129" spans="1:8" ht="14.5" x14ac:dyDescent="0.35">
      <c r="A129" s="161"/>
      <c r="B129" s="161"/>
      <c r="C129" s="37">
        <v>26.255405426025391</v>
      </c>
      <c r="D129" s="37">
        <v>14.315967559814453</v>
      </c>
      <c r="E129" s="37">
        <f t="shared" si="45"/>
        <v>11.939437866210938</v>
      </c>
      <c r="F129" s="37">
        <f t="shared" si="44"/>
        <v>2.5460742867599483E-4</v>
      </c>
      <c r="G129" s="37"/>
      <c r="H129" s="37"/>
    </row>
    <row r="130" spans="1:8" ht="14.5" x14ac:dyDescent="0.35">
      <c r="A130" s="161" t="s">
        <v>200</v>
      </c>
      <c r="B130" s="161" t="s">
        <v>143</v>
      </c>
      <c r="C130" s="37">
        <v>28.765129089355469</v>
      </c>
      <c r="D130" s="37">
        <v>14.500044822692871</v>
      </c>
      <c r="E130" s="37">
        <f t="shared" si="45"/>
        <v>14.265084266662598</v>
      </c>
      <c r="F130" s="37">
        <f t="shared" si="44"/>
        <v>5.0790413090153691E-5</v>
      </c>
      <c r="G130" s="37">
        <f t="shared" ref="G130" si="47">AVERAGE(F130:F133)</f>
        <v>5.9514033928282865E-5</v>
      </c>
      <c r="H130" s="37">
        <f t="shared" ref="H130" si="48">STDEVA(F130:F133)/SQRT(4)</f>
        <v>4.4614774857525015E-6</v>
      </c>
    </row>
    <row r="131" spans="1:8" ht="14.5" x14ac:dyDescent="0.35">
      <c r="A131" s="161"/>
      <c r="B131" s="161"/>
      <c r="C131" s="37">
        <v>30.119348526000977</v>
      </c>
      <c r="D131" s="37">
        <v>16.356414794921875</v>
      </c>
      <c r="E131" s="37">
        <f t="shared" si="45"/>
        <v>13.762933731079102</v>
      </c>
      <c r="F131" s="37">
        <f t="shared" si="44"/>
        <v>7.1935641126740559E-5</v>
      </c>
      <c r="G131" s="37"/>
      <c r="H131" s="37"/>
    </row>
    <row r="132" spans="1:8" ht="14.5" x14ac:dyDescent="0.35">
      <c r="A132" s="161"/>
      <c r="B132" s="161"/>
      <c r="C132" s="37">
        <v>29.125114440917969</v>
      </c>
      <c r="D132" s="37">
        <v>15.020462989807129</v>
      </c>
      <c r="E132" s="37">
        <f t="shared" si="45"/>
        <v>14.10465145111084</v>
      </c>
      <c r="F132" s="37">
        <f t="shared" si="44"/>
        <v>5.6764502356457221E-5</v>
      </c>
      <c r="G132" s="37"/>
      <c r="H132" s="37"/>
    </row>
    <row r="133" spans="1:8" ht="14.5" x14ac:dyDescent="0.35">
      <c r="A133" s="161"/>
      <c r="B133" s="161"/>
      <c r="C133" s="37">
        <v>30.022615432739258</v>
      </c>
      <c r="D133" s="37">
        <v>15.963027954101563</v>
      </c>
      <c r="E133" s="37">
        <f t="shared" si="45"/>
        <v>14.059587478637695</v>
      </c>
      <c r="F133" s="37">
        <f t="shared" si="44"/>
        <v>5.8565579139780002E-5</v>
      </c>
      <c r="G133" s="37"/>
      <c r="H133" s="37"/>
    </row>
    <row r="134" spans="1:8" ht="14.5" x14ac:dyDescent="0.35">
      <c r="A134" s="161"/>
      <c r="B134" s="161" t="s">
        <v>144</v>
      </c>
      <c r="C134" s="83">
        <v>29.948040008544922</v>
      </c>
      <c r="D134" s="37">
        <v>15.976191520690918</v>
      </c>
      <c r="E134" s="37">
        <f t="shared" si="45"/>
        <v>13.971848487854004</v>
      </c>
      <c r="F134" s="37">
        <f t="shared" si="44"/>
        <v>6.2237839782154522E-5</v>
      </c>
      <c r="G134" s="37">
        <f t="shared" ref="G134" si="49">AVERAGE(F134:F137)</f>
        <v>8.4795016858283084E-5</v>
      </c>
      <c r="H134" s="37">
        <f t="shared" ref="H134" si="50">STDEVA(F134:F137)/SQRT(4)</f>
        <v>2.7421208457963721E-5</v>
      </c>
    </row>
    <row r="135" spans="1:8" ht="14.5" x14ac:dyDescent="0.35">
      <c r="A135" s="161"/>
      <c r="B135" s="161"/>
      <c r="C135" s="83">
        <v>27.111026763916016</v>
      </c>
      <c r="D135" s="37">
        <v>14.561838150024414</v>
      </c>
      <c r="E135" s="37">
        <f t="shared" si="45"/>
        <v>12.549188613891602</v>
      </c>
      <c r="F135" s="37">
        <f t="shared" si="44"/>
        <v>1.66846770938641E-4</v>
      </c>
      <c r="G135" s="37"/>
      <c r="H135" s="37"/>
    </row>
    <row r="136" spans="1:8" ht="14.5" x14ac:dyDescent="0.35">
      <c r="A136" s="161"/>
      <c r="B136" s="161"/>
      <c r="C136" s="83">
        <v>30.296993255615234</v>
      </c>
      <c r="D136" s="37">
        <v>16.082498550415039</v>
      </c>
      <c r="E136" s="37">
        <f t="shared" si="45"/>
        <v>14.214494705200195</v>
      </c>
      <c r="F136" s="37">
        <f t="shared" si="44"/>
        <v>5.2603025124917871E-5</v>
      </c>
      <c r="G136" s="37"/>
      <c r="H136" s="37"/>
    </row>
    <row r="137" spans="1:8" ht="15" thickBot="1" x14ac:dyDescent="0.4">
      <c r="A137" s="162"/>
      <c r="B137" s="162"/>
      <c r="C137" s="84">
        <v>29.621784210205078</v>
      </c>
      <c r="D137" s="85">
        <v>15.535515785217285</v>
      </c>
      <c r="E137" s="85">
        <f t="shared" si="45"/>
        <v>14.086268424987793</v>
      </c>
      <c r="F137" s="85">
        <f t="shared" si="44"/>
        <v>5.7492431587418945E-5</v>
      </c>
      <c r="G137" s="85"/>
      <c r="H137" s="85"/>
    </row>
    <row r="139" spans="1:8" ht="16" thickBot="1" x14ac:dyDescent="0.4">
      <c r="A139" s="159" t="s">
        <v>203</v>
      </c>
      <c r="B139" s="159"/>
      <c r="C139" s="159"/>
      <c r="D139" s="159"/>
      <c r="E139" s="159"/>
      <c r="F139" s="159"/>
      <c r="G139" s="159"/>
      <c r="H139" s="159"/>
    </row>
    <row r="140" spans="1:8" ht="15" thickBot="1" x14ac:dyDescent="0.4">
      <c r="A140" s="80" t="s">
        <v>8</v>
      </c>
      <c r="B140" s="74" t="s">
        <v>201</v>
      </c>
      <c r="C140" s="75" t="s">
        <v>7</v>
      </c>
      <c r="D140" s="75" t="s">
        <v>6</v>
      </c>
      <c r="E140" s="75" t="s">
        <v>5</v>
      </c>
      <c r="F140" s="75" t="s">
        <v>4</v>
      </c>
      <c r="G140" s="75" t="s">
        <v>3</v>
      </c>
      <c r="H140" s="75" t="s">
        <v>72</v>
      </c>
    </row>
    <row r="141" spans="1:8" ht="14.5" x14ac:dyDescent="0.35">
      <c r="A141" s="160" t="s">
        <v>199</v>
      </c>
      <c r="B141" s="160" t="s">
        <v>143</v>
      </c>
      <c r="C141" s="81">
        <v>32.965950012207031</v>
      </c>
      <c r="D141" s="81">
        <v>15.136336326599121</v>
      </c>
      <c r="E141" s="86">
        <f>C141-D141</f>
        <v>17.82961368560791</v>
      </c>
      <c r="F141" s="81">
        <f t="shared" ref="F141:F156" si="51">2^-E141</f>
        <v>4.2929068947249143E-6</v>
      </c>
      <c r="G141" s="81">
        <f>AVERAGE(F141:F144)</f>
        <v>5.198207410768779E-6</v>
      </c>
      <c r="H141" s="81">
        <f>STDEVA(F141:F144)/SQRT(4)</f>
        <v>1.2753528647930079E-6</v>
      </c>
    </row>
    <row r="142" spans="1:8" ht="14.5" x14ac:dyDescent="0.35">
      <c r="A142" s="161"/>
      <c r="B142" s="161"/>
      <c r="C142" s="37">
        <v>33.849113464355469</v>
      </c>
      <c r="D142" s="37">
        <v>16.918663024902344</v>
      </c>
      <c r="E142" s="77">
        <f t="shared" ref="E142:E156" si="52">C142-D142</f>
        <v>16.930450439453125</v>
      </c>
      <c r="F142" s="37">
        <f t="shared" si="51"/>
        <v>8.0062026318388959E-6</v>
      </c>
      <c r="G142" s="37"/>
      <c r="H142" s="37"/>
    </row>
    <row r="143" spans="1:8" ht="14.5" x14ac:dyDescent="0.35">
      <c r="A143" s="161"/>
      <c r="B143" s="161"/>
      <c r="C143" s="37">
        <v>33.56640625</v>
      </c>
      <c r="D143" s="37">
        <v>14.722365379333496</v>
      </c>
      <c r="E143" s="77">
        <f t="shared" si="52"/>
        <v>18.844040870666504</v>
      </c>
      <c r="F143" s="37">
        <f t="shared" si="51"/>
        <v>2.1250955330715531E-6</v>
      </c>
      <c r="G143" s="37"/>
      <c r="H143" s="37"/>
    </row>
    <row r="144" spans="1:8" ht="14.5" x14ac:dyDescent="0.35">
      <c r="A144" s="161"/>
      <c r="B144" s="161"/>
      <c r="C144" s="37">
        <v>33.194545745849609</v>
      </c>
      <c r="D144" s="37">
        <v>15.933959007263184</v>
      </c>
      <c r="E144" s="77">
        <f t="shared" si="52"/>
        <v>17.260586738586426</v>
      </c>
      <c r="F144" s="37">
        <f t="shared" si="51"/>
        <v>6.3686245834397535E-6</v>
      </c>
      <c r="G144" s="37"/>
      <c r="H144" s="37"/>
    </row>
    <row r="145" spans="1:8" ht="14.5" x14ac:dyDescent="0.35">
      <c r="A145" s="161"/>
      <c r="B145" s="161" t="s">
        <v>144</v>
      </c>
      <c r="C145" s="37">
        <v>31.386407852172852</v>
      </c>
      <c r="D145" s="37">
        <v>15.928277015686035</v>
      </c>
      <c r="E145" s="77">
        <f t="shared" si="52"/>
        <v>15.458130836486816</v>
      </c>
      <c r="F145" s="37">
        <f>2^-E145</f>
        <v>2.2214622693398988E-5</v>
      </c>
      <c r="G145" s="37">
        <f>AVERAGE(F145:F148)</f>
        <v>1.9493220489755127E-5</v>
      </c>
      <c r="H145" s="37">
        <f t="shared" ref="H145" si="53">STDEVA(F145:F148)/SQRT(4)</f>
        <v>4.7844925165434606E-6</v>
      </c>
    </row>
    <row r="146" spans="1:8" ht="14.5" x14ac:dyDescent="0.35">
      <c r="A146" s="161"/>
      <c r="B146" s="161"/>
      <c r="C146" s="37">
        <v>30.357370376586914</v>
      </c>
      <c r="D146" s="37">
        <v>15.419187545776367</v>
      </c>
      <c r="E146" s="77">
        <f t="shared" si="52"/>
        <v>14.938182830810547</v>
      </c>
      <c r="F146" s="37">
        <f t="shared" si="51"/>
        <v>3.1853626777449049E-5</v>
      </c>
      <c r="G146" s="37"/>
      <c r="H146" s="37"/>
    </row>
    <row r="147" spans="1:8" ht="14.5" x14ac:dyDescent="0.35">
      <c r="A147" s="161"/>
      <c r="B147" s="161"/>
      <c r="C147" s="37">
        <v>30.44818115234375</v>
      </c>
      <c r="D147" s="37">
        <v>14.169320106506348</v>
      </c>
      <c r="E147" s="77">
        <f t="shared" si="52"/>
        <v>16.278861045837402</v>
      </c>
      <c r="F147" s="37">
        <f t="shared" si="51"/>
        <v>1.2576926704601048E-5</v>
      </c>
      <c r="G147" s="37"/>
      <c r="H147" s="37"/>
    </row>
    <row r="148" spans="1:8" ht="14.5" x14ac:dyDescent="0.35">
      <c r="A148" s="161"/>
      <c r="B148" s="161"/>
      <c r="C148" s="37">
        <v>30.745752334594727</v>
      </c>
      <c r="D148" s="37">
        <v>14.315967559814453</v>
      </c>
      <c r="E148" s="77">
        <f t="shared" si="52"/>
        <v>16.429784774780273</v>
      </c>
      <c r="F148" s="37">
        <f t="shared" si="51"/>
        <v>1.1327705783571418E-5</v>
      </c>
      <c r="G148" s="37"/>
      <c r="H148" s="37"/>
    </row>
    <row r="149" spans="1:8" ht="14.5" x14ac:dyDescent="0.35">
      <c r="A149" s="161" t="s">
        <v>200</v>
      </c>
      <c r="B149" s="161" t="s">
        <v>143</v>
      </c>
      <c r="C149" s="37">
        <v>33.754093170166016</v>
      </c>
      <c r="D149" s="37">
        <v>14.500044822692871</v>
      </c>
      <c r="E149" s="77">
        <f t="shared" si="52"/>
        <v>19.254048347473145</v>
      </c>
      <c r="F149" s="37">
        <f t="shared" si="51"/>
        <v>1.5993882806517363E-6</v>
      </c>
      <c r="G149" s="37">
        <f t="shared" ref="G149" si="54">AVERAGE(F149:F152)</f>
        <v>3.3367948560634436E-6</v>
      </c>
      <c r="H149" s="37">
        <f t="shared" ref="H149" si="55">STDEVA(F149:F152)/SQRT(4)</f>
        <v>1.0975890830967951E-6</v>
      </c>
    </row>
    <row r="150" spans="1:8" ht="14.5" x14ac:dyDescent="0.35">
      <c r="A150" s="161"/>
      <c r="B150" s="161"/>
      <c r="C150" s="37">
        <v>33.854377746582031</v>
      </c>
      <c r="D150" s="37">
        <v>16.356414794921875</v>
      </c>
      <c r="E150" s="77">
        <f t="shared" si="52"/>
        <v>17.497962951660156</v>
      </c>
      <c r="F150" s="37">
        <f t="shared" si="51"/>
        <v>5.4024193038910477E-6</v>
      </c>
      <c r="G150" s="37"/>
      <c r="H150" s="37"/>
    </row>
    <row r="151" spans="1:8" ht="14.5" x14ac:dyDescent="0.35">
      <c r="A151" s="161"/>
      <c r="B151" s="161"/>
      <c r="C151" s="37">
        <v>34.588844299316406</v>
      </c>
      <c r="D151" s="37">
        <v>15.020462989807129</v>
      </c>
      <c r="E151" s="77">
        <f t="shared" si="52"/>
        <v>19.568381309509277</v>
      </c>
      <c r="F151" s="37">
        <f t="shared" si="51"/>
        <v>1.2862644279341345E-6</v>
      </c>
      <c r="G151" s="37"/>
      <c r="H151" s="37"/>
    </row>
    <row r="152" spans="1:8" ht="14.5" x14ac:dyDescent="0.35">
      <c r="A152" s="161"/>
      <c r="B152" s="161"/>
      <c r="C152" s="37">
        <v>33.555713653564453</v>
      </c>
      <c r="D152" s="37">
        <v>15.963027954101563</v>
      </c>
      <c r="E152" s="77">
        <f t="shared" si="52"/>
        <v>17.592685699462891</v>
      </c>
      <c r="F152" s="37">
        <f t="shared" si="51"/>
        <v>5.0591074117768549E-6</v>
      </c>
      <c r="G152" s="37"/>
      <c r="H152" s="37"/>
    </row>
    <row r="153" spans="1:8" ht="14.5" x14ac:dyDescent="0.35">
      <c r="A153" s="161"/>
      <c r="B153" s="161" t="s">
        <v>144</v>
      </c>
      <c r="C153" s="37">
        <v>33.285503387451172</v>
      </c>
      <c r="D153" s="37">
        <v>15.976191520690918</v>
      </c>
      <c r="E153" s="77">
        <f t="shared" si="52"/>
        <v>17.309311866760254</v>
      </c>
      <c r="F153" s="37">
        <f t="shared" si="51"/>
        <v>6.157124336683332E-6</v>
      </c>
      <c r="G153" s="37">
        <f t="shared" ref="G153" si="56">AVERAGE(F153:F156)</f>
        <v>1.2895422095808185E-5</v>
      </c>
      <c r="H153" s="37">
        <f t="shared" ref="H153" si="57">STDEVA(F153:F156)/SQRT(4)</f>
        <v>2.6881370114444236E-6</v>
      </c>
    </row>
    <row r="154" spans="1:8" ht="14.5" x14ac:dyDescent="0.35">
      <c r="A154" s="161"/>
      <c r="B154" s="161"/>
      <c r="C154" s="37">
        <v>30.507865905761719</v>
      </c>
      <c r="D154" s="37">
        <v>14.561838150024414</v>
      </c>
      <c r="E154" s="77">
        <f t="shared" si="52"/>
        <v>15.946027755737305</v>
      </c>
      <c r="F154" s="37">
        <f t="shared" si="51"/>
        <v>1.5840443392485113E-5</v>
      </c>
      <c r="G154" s="37"/>
      <c r="H154" s="37"/>
    </row>
    <row r="155" spans="1:8" ht="14.5" x14ac:dyDescent="0.35">
      <c r="A155" s="161"/>
      <c r="B155" s="161"/>
      <c r="C155" s="37">
        <v>31.815681457519531</v>
      </c>
      <c r="D155" s="37">
        <v>16.082498550415039</v>
      </c>
      <c r="E155" s="77">
        <f t="shared" si="52"/>
        <v>15.733182907104492</v>
      </c>
      <c r="F155" s="37">
        <f t="shared" si="51"/>
        <v>1.8358619370338447E-5</v>
      </c>
      <c r="G155" s="37"/>
      <c r="H155" s="37"/>
    </row>
    <row r="156" spans="1:8" ht="15" thickBot="1" x14ac:dyDescent="0.4">
      <c r="A156" s="162"/>
      <c r="B156" s="162"/>
      <c r="C156" s="85">
        <v>31.978376388549805</v>
      </c>
      <c r="D156" s="85">
        <v>15.535515785217285</v>
      </c>
      <c r="E156" s="78">
        <f t="shared" si="52"/>
        <v>16.44286060333252</v>
      </c>
      <c r="F156" s="85">
        <f t="shared" si="51"/>
        <v>1.1225501283725846E-5</v>
      </c>
      <c r="G156" s="85"/>
      <c r="H156" s="85"/>
    </row>
  </sheetData>
  <mergeCells count="51">
    <mergeCell ref="K9:N9"/>
    <mergeCell ref="O9:T9"/>
    <mergeCell ref="U9:Z9"/>
    <mergeCell ref="A20:A43"/>
    <mergeCell ref="A44:A67"/>
    <mergeCell ref="A1:H1"/>
    <mergeCell ref="A70:H70"/>
    <mergeCell ref="A73:A76"/>
    <mergeCell ref="A2:H2"/>
    <mergeCell ref="A4:A19"/>
    <mergeCell ref="A71:G71"/>
    <mergeCell ref="A87:H87"/>
    <mergeCell ref="A89:A91"/>
    <mergeCell ref="G89:G91"/>
    <mergeCell ref="H89:H91"/>
    <mergeCell ref="F73:F76"/>
    <mergeCell ref="G73:G76"/>
    <mergeCell ref="F77:F80"/>
    <mergeCell ref="G77:G80"/>
    <mergeCell ref="F81:F84"/>
    <mergeCell ref="G81:G84"/>
    <mergeCell ref="A77:A80"/>
    <mergeCell ref="A81:A84"/>
    <mergeCell ref="A100:H100"/>
    <mergeCell ref="A92:A94"/>
    <mergeCell ref="G92:G94"/>
    <mergeCell ref="H92:H94"/>
    <mergeCell ref="A95:A97"/>
    <mergeCell ref="G95:G97"/>
    <mergeCell ref="H95:H97"/>
    <mergeCell ref="A111:A118"/>
    <mergeCell ref="B111:B114"/>
    <mergeCell ref="B115:B118"/>
    <mergeCell ref="A101:H101"/>
    <mergeCell ref="A120:H120"/>
    <mergeCell ref="A103:A110"/>
    <mergeCell ref="B103:B106"/>
    <mergeCell ref="B107:B110"/>
    <mergeCell ref="A122:A129"/>
    <mergeCell ref="B122:B125"/>
    <mergeCell ref="B126:B129"/>
    <mergeCell ref="A130:A137"/>
    <mergeCell ref="B130:B133"/>
    <mergeCell ref="B134:B137"/>
    <mergeCell ref="A139:H139"/>
    <mergeCell ref="A141:A148"/>
    <mergeCell ref="B141:B144"/>
    <mergeCell ref="B145:B148"/>
    <mergeCell ref="A149:A156"/>
    <mergeCell ref="B149:B152"/>
    <mergeCell ref="B153:B1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1D7DF-AE53-4F03-8A99-CC5C1DABD08B}">
  <dimension ref="A1:H110"/>
  <sheetViews>
    <sheetView topLeftCell="A84" zoomScale="70" zoomScaleNormal="70" workbookViewId="0">
      <selection sqref="A1:H2"/>
    </sheetView>
  </sheetViews>
  <sheetFormatPr defaultColWidth="10.26953125" defaultRowHeight="12.5" x14ac:dyDescent="0.25"/>
  <cols>
    <col min="1" max="4" width="10.26953125" style="142" customWidth="1"/>
    <col min="5" max="5" width="15.1796875" style="142" customWidth="1"/>
    <col min="6" max="6" width="12.54296875" style="142" customWidth="1"/>
    <col min="7" max="7" width="11.7265625" style="142" customWidth="1"/>
    <col min="8" max="260" width="10.26953125" style="142"/>
    <col min="261" max="261" width="15.1796875" style="142" customWidth="1"/>
    <col min="262" max="262" width="12.54296875" style="142" customWidth="1"/>
    <col min="263" max="263" width="11.7265625" style="142" customWidth="1"/>
    <col min="264" max="516" width="10.26953125" style="142"/>
    <col min="517" max="517" width="15.1796875" style="142" customWidth="1"/>
    <col min="518" max="518" width="12.54296875" style="142" customWidth="1"/>
    <col min="519" max="519" width="11.7265625" style="142" customWidth="1"/>
    <col min="520" max="772" width="10.26953125" style="142"/>
    <col min="773" max="773" width="15.1796875" style="142" customWidth="1"/>
    <col min="774" max="774" width="12.54296875" style="142" customWidth="1"/>
    <col min="775" max="775" width="11.7265625" style="142" customWidth="1"/>
    <col min="776" max="1028" width="10.26953125" style="142"/>
    <col min="1029" max="1029" width="15.1796875" style="142" customWidth="1"/>
    <col min="1030" max="1030" width="12.54296875" style="142" customWidth="1"/>
    <col min="1031" max="1031" width="11.7265625" style="142" customWidth="1"/>
    <col min="1032" max="1284" width="10.26953125" style="142"/>
    <col min="1285" max="1285" width="15.1796875" style="142" customWidth="1"/>
    <col min="1286" max="1286" width="12.54296875" style="142" customWidth="1"/>
    <col min="1287" max="1287" width="11.7265625" style="142" customWidth="1"/>
    <col min="1288" max="1540" width="10.26953125" style="142"/>
    <col min="1541" max="1541" width="15.1796875" style="142" customWidth="1"/>
    <col min="1542" max="1542" width="12.54296875" style="142" customWidth="1"/>
    <col min="1543" max="1543" width="11.7265625" style="142" customWidth="1"/>
    <col min="1544" max="1796" width="10.26953125" style="142"/>
    <col min="1797" max="1797" width="15.1796875" style="142" customWidth="1"/>
    <col min="1798" max="1798" width="12.54296875" style="142" customWidth="1"/>
    <col min="1799" max="1799" width="11.7265625" style="142" customWidth="1"/>
    <col min="1800" max="2052" width="10.26953125" style="142"/>
    <col min="2053" max="2053" width="15.1796875" style="142" customWidth="1"/>
    <col min="2054" max="2054" width="12.54296875" style="142" customWidth="1"/>
    <col min="2055" max="2055" width="11.7265625" style="142" customWidth="1"/>
    <col min="2056" max="2308" width="10.26953125" style="142"/>
    <col min="2309" max="2309" width="15.1796875" style="142" customWidth="1"/>
    <col min="2310" max="2310" width="12.54296875" style="142" customWidth="1"/>
    <col min="2311" max="2311" width="11.7265625" style="142" customWidth="1"/>
    <col min="2312" max="2564" width="10.26953125" style="142"/>
    <col min="2565" max="2565" width="15.1796875" style="142" customWidth="1"/>
    <col min="2566" max="2566" width="12.54296875" style="142" customWidth="1"/>
    <col min="2567" max="2567" width="11.7265625" style="142" customWidth="1"/>
    <col min="2568" max="2820" width="10.26953125" style="142"/>
    <col min="2821" max="2821" width="15.1796875" style="142" customWidth="1"/>
    <col min="2822" max="2822" width="12.54296875" style="142" customWidth="1"/>
    <col min="2823" max="2823" width="11.7265625" style="142" customWidth="1"/>
    <col min="2824" max="3076" width="10.26953125" style="142"/>
    <col min="3077" max="3077" width="15.1796875" style="142" customWidth="1"/>
    <col min="3078" max="3078" width="12.54296875" style="142" customWidth="1"/>
    <col min="3079" max="3079" width="11.7265625" style="142" customWidth="1"/>
    <col min="3080" max="3332" width="10.26953125" style="142"/>
    <col min="3333" max="3333" width="15.1796875" style="142" customWidth="1"/>
    <col min="3334" max="3334" width="12.54296875" style="142" customWidth="1"/>
    <col min="3335" max="3335" width="11.7265625" style="142" customWidth="1"/>
    <col min="3336" max="3588" width="10.26953125" style="142"/>
    <col min="3589" max="3589" width="15.1796875" style="142" customWidth="1"/>
    <col min="3590" max="3590" width="12.54296875" style="142" customWidth="1"/>
    <col min="3591" max="3591" width="11.7265625" style="142" customWidth="1"/>
    <col min="3592" max="3844" width="10.26953125" style="142"/>
    <col min="3845" max="3845" width="15.1796875" style="142" customWidth="1"/>
    <col min="3846" max="3846" width="12.54296875" style="142" customWidth="1"/>
    <col min="3847" max="3847" width="11.7265625" style="142" customWidth="1"/>
    <col min="3848" max="4100" width="10.26953125" style="142"/>
    <col min="4101" max="4101" width="15.1796875" style="142" customWidth="1"/>
    <col min="4102" max="4102" width="12.54296875" style="142" customWidth="1"/>
    <col min="4103" max="4103" width="11.7265625" style="142" customWidth="1"/>
    <col min="4104" max="4356" width="10.26953125" style="142"/>
    <col min="4357" max="4357" width="15.1796875" style="142" customWidth="1"/>
    <col min="4358" max="4358" width="12.54296875" style="142" customWidth="1"/>
    <col min="4359" max="4359" width="11.7265625" style="142" customWidth="1"/>
    <col min="4360" max="4612" width="10.26953125" style="142"/>
    <col min="4613" max="4613" width="15.1796875" style="142" customWidth="1"/>
    <col min="4614" max="4614" width="12.54296875" style="142" customWidth="1"/>
    <col min="4615" max="4615" width="11.7265625" style="142" customWidth="1"/>
    <col min="4616" max="4868" width="10.26953125" style="142"/>
    <col min="4869" max="4869" width="15.1796875" style="142" customWidth="1"/>
    <col min="4870" max="4870" width="12.54296875" style="142" customWidth="1"/>
    <col min="4871" max="4871" width="11.7265625" style="142" customWidth="1"/>
    <col min="4872" max="5124" width="10.26953125" style="142"/>
    <col min="5125" max="5125" width="15.1796875" style="142" customWidth="1"/>
    <col min="5126" max="5126" width="12.54296875" style="142" customWidth="1"/>
    <col min="5127" max="5127" width="11.7265625" style="142" customWidth="1"/>
    <col min="5128" max="5380" width="10.26953125" style="142"/>
    <col min="5381" max="5381" width="15.1796875" style="142" customWidth="1"/>
    <col min="5382" max="5382" width="12.54296875" style="142" customWidth="1"/>
    <col min="5383" max="5383" width="11.7265625" style="142" customWidth="1"/>
    <col min="5384" max="5636" width="10.26953125" style="142"/>
    <col min="5637" max="5637" width="15.1796875" style="142" customWidth="1"/>
    <col min="5638" max="5638" width="12.54296875" style="142" customWidth="1"/>
    <col min="5639" max="5639" width="11.7265625" style="142" customWidth="1"/>
    <col min="5640" max="5892" width="10.26953125" style="142"/>
    <col min="5893" max="5893" width="15.1796875" style="142" customWidth="1"/>
    <col min="5894" max="5894" width="12.54296875" style="142" customWidth="1"/>
    <col min="5895" max="5895" width="11.7265625" style="142" customWidth="1"/>
    <col min="5896" max="6148" width="10.26953125" style="142"/>
    <col min="6149" max="6149" width="15.1796875" style="142" customWidth="1"/>
    <col min="6150" max="6150" width="12.54296875" style="142" customWidth="1"/>
    <col min="6151" max="6151" width="11.7265625" style="142" customWidth="1"/>
    <col min="6152" max="6404" width="10.26953125" style="142"/>
    <col min="6405" max="6405" width="15.1796875" style="142" customWidth="1"/>
    <col min="6406" max="6406" width="12.54296875" style="142" customWidth="1"/>
    <col min="6407" max="6407" width="11.7265625" style="142" customWidth="1"/>
    <col min="6408" max="6660" width="10.26953125" style="142"/>
    <col min="6661" max="6661" width="15.1796875" style="142" customWidth="1"/>
    <col min="6662" max="6662" width="12.54296875" style="142" customWidth="1"/>
    <col min="6663" max="6663" width="11.7265625" style="142" customWidth="1"/>
    <col min="6664" max="6916" width="10.26953125" style="142"/>
    <col min="6917" max="6917" width="15.1796875" style="142" customWidth="1"/>
    <col min="6918" max="6918" width="12.54296875" style="142" customWidth="1"/>
    <col min="6919" max="6919" width="11.7265625" style="142" customWidth="1"/>
    <col min="6920" max="7172" width="10.26953125" style="142"/>
    <col min="7173" max="7173" width="15.1796875" style="142" customWidth="1"/>
    <col min="7174" max="7174" width="12.54296875" style="142" customWidth="1"/>
    <col min="7175" max="7175" width="11.7265625" style="142" customWidth="1"/>
    <col min="7176" max="7428" width="10.26953125" style="142"/>
    <col min="7429" max="7429" width="15.1796875" style="142" customWidth="1"/>
    <col min="7430" max="7430" width="12.54296875" style="142" customWidth="1"/>
    <col min="7431" max="7431" width="11.7265625" style="142" customWidth="1"/>
    <col min="7432" max="7684" width="10.26953125" style="142"/>
    <col min="7685" max="7685" width="15.1796875" style="142" customWidth="1"/>
    <col min="7686" max="7686" width="12.54296875" style="142" customWidth="1"/>
    <col min="7687" max="7687" width="11.7265625" style="142" customWidth="1"/>
    <col min="7688" max="7940" width="10.26953125" style="142"/>
    <col min="7941" max="7941" width="15.1796875" style="142" customWidth="1"/>
    <col min="7942" max="7942" width="12.54296875" style="142" customWidth="1"/>
    <col min="7943" max="7943" width="11.7265625" style="142" customWidth="1"/>
    <col min="7944" max="8196" width="10.26953125" style="142"/>
    <col min="8197" max="8197" width="15.1796875" style="142" customWidth="1"/>
    <col min="8198" max="8198" width="12.54296875" style="142" customWidth="1"/>
    <col min="8199" max="8199" width="11.7265625" style="142" customWidth="1"/>
    <col min="8200" max="8452" width="10.26953125" style="142"/>
    <col min="8453" max="8453" width="15.1796875" style="142" customWidth="1"/>
    <col min="8454" max="8454" width="12.54296875" style="142" customWidth="1"/>
    <col min="8455" max="8455" width="11.7265625" style="142" customWidth="1"/>
    <col min="8456" max="8708" width="10.26953125" style="142"/>
    <col min="8709" max="8709" width="15.1796875" style="142" customWidth="1"/>
    <col min="8710" max="8710" width="12.54296875" style="142" customWidth="1"/>
    <col min="8711" max="8711" width="11.7265625" style="142" customWidth="1"/>
    <col min="8712" max="8964" width="10.26953125" style="142"/>
    <col min="8965" max="8965" width="15.1796875" style="142" customWidth="1"/>
    <col min="8966" max="8966" width="12.54296875" style="142" customWidth="1"/>
    <col min="8967" max="8967" width="11.7265625" style="142" customWidth="1"/>
    <col min="8968" max="9220" width="10.26953125" style="142"/>
    <col min="9221" max="9221" width="15.1796875" style="142" customWidth="1"/>
    <col min="9222" max="9222" width="12.54296875" style="142" customWidth="1"/>
    <col min="9223" max="9223" width="11.7265625" style="142" customWidth="1"/>
    <col min="9224" max="9476" width="10.26953125" style="142"/>
    <col min="9477" max="9477" width="15.1796875" style="142" customWidth="1"/>
    <col min="9478" max="9478" width="12.54296875" style="142" customWidth="1"/>
    <col min="9479" max="9479" width="11.7265625" style="142" customWidth="1"/>
    <col min="9480" max="9732" width="10.26953125" style="142"/>
    <col min="9733" max="9733" width="15.1796875" style="142" customWidth="1"/>
    <col min="9734" max="9734" width="12.54296875" style="142" customWidth="1"/>
    <col min="9735" max="9735" width="11.7265625" style="142" customWidth="1"/>
    <col min="9736" max="9988" width="10.26953125" style="142"/>
    <col min="9989" max="9989" width="15.1796875" style="142" customWidth="1"/>
    <col min="9990" max="9990" width="12.54296875" style="142" customWidth="1"/>
    <col min="9991" max="9991" width="11.7265625" style="142" customWidth="1"/>
    <col min="9992" max="10244" width="10.26953125" style="142"/>
    <col min="10245" max="10245" width="15.1796875" style="142" customWidth="1"/>
    <col min="10246" max="10246" width="12.54296875" style="142" customWidth="1"/>
    <col min="10247" max="10247" width="11.7265625" style="142" customWidth="1"/>
    <col min="10248" max="10500" width="10.26953125" style="142"/>
    <col min="10501" max="10501" width="15.1796875" style="142" customWidth="1"/>
    <col min="10502" max="10502" width="12.54296875" style="142" customWidth="1"/>
    <col min="10503" max="10503" width="11.7265625" style="142" customWidth="1"/>
    <col min="10504" max="10756" width="10.26953125" style="142"/>
    <col min="10757" max="10757" width="15.1796875" style="142" customWidth="1"/>
    <col min="10758" max="10758" width="12.54296875" style="142" customWidth="1"/>
    <col min="10759" max="10759" width="11.7265625" style="142" customWidth="1"/>
    <col min="10760" max="11012" width="10.26953125" style="142"/>
    <col min="11013" max="11013" width="15.1796875" style="142" customWidth="1"/>
    <col min="11014" max="11014" width="12.54296875" style="142" customWidth="1"/>
    <col min="11015" max="11015" width="11.7265625" style="142" customWidth="1"/>
    <col min="11016" max="11268" width="10.26953125" style="142"/>
    <col min="11269" max="11269" width="15.1796875" style="142" customWidth="1"/>
    <col min="11270" max="11270" width="12.54296875" style="142" customWidth="1"/>
    <col min="11271" max="11271" width="11.7265625" style="142" customWidth="1"/>
    <col min="11272" max="11524" width="10.26953125" style="142"/>
    <col min="11525" max="11525" width="15.1796875" style="142" customWidth="1"/>
    <col min="11526" max="11526" width="12.54296875" style="142" customWidth="1"/>
    <col min="11527" max="11527" width="11.7265625" style="142" customWidth="1"/>
    <col min="11528" max="11780" width="10.26953125" style="142"/>
    <col min="11781" max="11781" width="15.1796875" style="142" customWidth="1"/>
    <col min="11782" max="11782" width="12.54296875" style="142" customWidth="1"/>
    <col min="11783" max="11783" width="11.7265625" style="142" customWidth="1"/>
    <col min="11784" max="12036" width="10.26953125" style="142"/>
    <col min="12037" max="12037" width="15.1796875" style="142" customWidth="1"/>
    <col min="12038" max="12038" width="12.54296875" style="142" customWidth="1"/>
    <col min="12039" max="12039" width="11.7265625" style="142" customWidth="1"/>
    <col min="12040" max="12292" width="10.26953125" style="142"/>
    <col min="12293" max="12293" width="15.1796875" style="142" customWidth="1"/>
    <col min="12294" max="12294" width="12.54296875" style="142" customWidth="1"/>
    <col min="12295" max="12295" width="11.7265625" style="142" customWidth="1"/>
    <col min="12296" max="12548" width="10.26953125" style="142"/>
    <col min="12549" max="12549" width="15.1796875" style="142" customWidth="1"/>
    <col min="12550" max="12550" width="12.54296875" style="142" customWidth="1"/>
    <col min="12551" max="12551" width="11.7265625" style="142" customWidth="1"/>
    <col min="12552" max="12804" width="10.26953125" style="142"/>
    <col min="12805" max="12805" width="15.1796875" style="142" customWidth="1"/>
    <col min="12806" max="12806" width="12.54296875" style="142" customWidth="1"/>
    <col min="12807" max="12807" width="11.7265625" style="142" customWidth="1"/>
    <col min="12808" max="13060" width="10.26953125" style="142"/>
    <col min="13061" max="13061" width="15.1796875" style="142" customWidth="1"/>
    <col min="13062" max="13062" width="12.54296875" style="142" customWidth="1"/>
    <col min="13063" max="13063" width="11.7265625" style="142" customWidth="1"/>
    <col min="13064" max="13316" width="10.26953125" style="142"/>
    <col min="13317" max="13317" width="15.1796875" style="142" customWidth="1"/>
    <col min="13318" max="13318" width="12.54296875" style="142" customWidth="1"/>
    <col min="13319" max="13319" width="11.7265625" style="142" customWidth="1"/>
    <col min="13320" max="13572" width="10.26953125" style="142"/>
    <col min="13573" max="13573" width="15.1796875" style="142" customWidth="1"/>
    <col min="13574" max="13574" width="12.54296875" style="142" customWidth="1"/>
    <col min="13575" max="13575" width="11.7265625" style="142" customWidth="1"/>
    <col min="13576" max="13828" width="10.26953125" style="142"/>
    <col min="13829" max="13829" width="15.1796875" style="142" customWidth="1"/>
    <col min="13830" max="13830" width="12.54296875" style="142" customWidth="1"/>
    <col min="13831" max="13831" width="11.7265625" style="142" customWidth="1"/>
    <col min="13832" max="14084" width="10.26953125" style="142"/>
    <col min="14085" max="14085" width="15.1796875" style="142" customWidth="1"/>
    <col min="14086" max="14086" width="12.54296875" style="142" customWidth="1"/>
    <col min="14087" max="14087" width="11.7265625" style="142" customWidth="1"/>
    <col min="14088" max="14340" width="10.26953125" style="142"/>
    <col min="14341" max="14341" width="15.1796875" style="142" customWidth="1"/>
    <col min="14342" max="14342" width="12.54296875" style="142" customWidth="1"/>
    <col min="14343" max="14343" width="11.7265625" style="142" customWidth="1"/>
    <col min="14344" max="14596" width="10.26953125" style="142"/>
    <col min="14597" max="14597" width="15.1796875" style="142" customWidth="1"/>
    <col min="14598" max="14598" width="12.54296875" style="142" customWidth="1"/>
    <col min="14599" max="14599" width="11.7265625" style="142" customWidth="1"/>
    <col min="14600" max="14852" width="10.26953125" style="142"/>
    <col min="14853" max="14853" width="15.1796875" style="142" customWidth="1"/>
    <col min="14854" max="14854" width="12.54296875" style="142" customWidth="1"/>
    <col min="14855" max="14855" width="11.7265625" style="142" customWidth="1"/>
    <col min="14856" max="15108" width="10.26953125" style="142"/>
    <col min="15109" max="15109" width="15.1796875" style="142" customWidth="1"/>
    <col min="15110" max="15110" width="12.54296875" style="142" customWidth="1"/>
    <col min="15111" max="15111" width="11.7265625" style="142" customWidth="1"/>
    <col min="15112" max="15364" width="10.26953125" style="142"/>
    <col min="15365" max="15365" width="15.1796875" style="142" customWidth="1"/>
    <col min="15366" max="15366" width="12.54296875" style="142" customWidth="1"/>
    <col min="15367" max="15367" width="11.7265625" style="142" customWidth="1"/>
    <col min="15368" max="15620" width="10.26953125" style="142"/>
    <col min="15621" max="15621" width="15.1796875" style="142" customWidth="1"/>
    <col min="15622" max="15622" width="12.54296875" style="142" customWidth="1"/>
    <col min="15623" max="15623" width="11.7265625" style="142" customWidth="1"/>
    <col min="15624" max="15876" width="10.26953125" style="142"/>
    <col min="15877" max="15877" width="15.1796875" style="142" customWidth="1"/>
    <col min="15878" max="15878" width="12.54296875" style="142" customWidth="1"/>
    <col min="15879" max="15879" width="11.7265625" style="142" customWidth="1"/>
    <col min="15880" max="16132" width="10.26953125" style="142"/>
    <col min="16133" max="16133" width="15.1796875" style="142" customWidth="1"/>
    <col min="16134" max="16134" width="12.54296875" style="142" customWidth="1"/>
    <col min="16135" max="16135" width="11.7265625" style="142" customWidth="1"/>
    <col min="16136" max="16384" width="10.26953125" style="142"/>
  </cols>
  <sheetData>
    <row r="1" spans="1:8" ht="12" customHeight="1" x14ac:dyDescent="0.25">
      <c r="A1" s="163" t="s">
        <v>380</v>
      </c>
      <c r="B1" s="163"/>
      <c r="C1" s="163"/>
      <c r="D1" s="163"/>
      <c r="E1" s="163"/>
      <c r="F1" s="163"/>
      <c r="G1" s="163"/>
      <c r="H1" s="163"/>
    </row>
    <row r="2" spans="1:8" s="143" customFormat="1" ht="12" customHeight="1" x14ac:dyDescent="0.3">
      <c r="A2" s="163"/>
      <c r="B2" s="163"/>
      <c r="C2" s="163"/>
      <c r="D2" s="163"/>
      <c r="E2" s="163"/>
      <c r="F2" s="163"/>
      <c r="G2" s="163"/>
      <c r="H2" s="163"/>
    </row>
    <row r="3" spans="1:8" s="143" customFormat="1" ht="12" customHeight="1" x14ac:dyDescent="0.3">
      <c r="A3" s="188" t="s">
        <v>129</v>
      </c>
      <c r="B3" s="188"/>
      <c r="C3" s="188"/>
      <c r="D3" s="188"/>
      <c r="E3" s="188"/>
      <c r="F3" s="188"/>
      <c r="G3" s="188"/>
    </row>
    <row r="4" spans="1:8" ht="78" x14ac:dyDescent="0.3">
      <c r="B4" s="145" t="s">
        <v>321</v>
      </c>
      <c r="C4" s="145" t="s">
        <v>322</v>
      </c>
      <c r="D4" s="143" t="s">
        <v>323</v>
      </c>
      <c r="E4" s="145" t="s">
        <v>324</v>
      </c>
      <c r="F4" s="145" t="s">
        <v>325</v>
      </c>
      <c r="G4" s="145" t="s">
        <v>326</v>
      </c>
    </row>
    <row r="5" spans="1:8" ht="36.75" customHeight="1" x14ac:dyDescent="0.3">
      <c r="A5" s="142" t="s">
        <v>327</v>
      </c>
      <c r="B5" s="138">
        <v>7.8928418159484863</v>
      </c>
      <c r="C5" s="146">
        <f>AVERAGE(B5:B7)</f>
        <v>7.4669160207112784</v>
      </c>
      <c r="D5" s="146">
        <f>C5-3.32</f>
        <v>4.146916020711279</v>
      </c>
      <c r="F5" s="144"/>
      <c r="G5" s="147"/>
    </row>
    <row r="6" spans="1:8" x14ac:dyDescent="0.25">
      <c r="A6" s="142" t="s">
        <v>328</v>
      </c>
      <c r="B6" s="138">
        <v>7.13708238601685</v>
      </c>
    </row>
    <row r="7" spans="1:8" x14ac:dyDescent="0.25">
      <c r="A7" s="142" t="s">
        <v>329</v>
      </c>
      <c r="B7" s="138">
        <v>7.3708238601684997</v>
      </c>
    </row>
    <row r="8" spans="1:8" x14ac:dyDescent="0.25">
      <c r="A8" s="142" t="s">
        <v>330</v>
      </c>
      <c r="B8" s="138">
        <v>21.451640472412102</v>
      </c>
      <c r="C8" s="146">
        <f>AVERAGE(B8:B10)</f>
        <v>21.092371648152668</v>
      </c>
      <c r="E8" s="150">
        <f>100*2^(D$5-C8)</f>
        <v>7.9233632344304116E-4</v>
      </c>
      <c r="F8" s="146">
        <f>C8-C8</f>
        <v>0</v>
      </c>
      <c r="G8" s="146">
        <f>2^-F8</f>
        <v>1</v>
      </c>
    </row>
    <row r="9" spans="1:8" x14ac:dyDescent="0.25">
      <c r="A9" s="142" t="s">
        <v>331</v>
      </c>
      <c r="B9" s="138">
        <v>20.373833999633799</v>
      </c>
      <c r="E9" s="150"/>
      <c r="F9" s="144"/>
      <c r="G9" s="144"/>
    </row>
    <row r="10" spans="1:8" x14ac:dyDescent="0.25">
      <c r="A10" s="142" t="s">
        <v>332</v>
      </c>
      <c r="B10" s="138">
        <v>21.451640472412102</v>
      </c>
      <c r="E10" s="150"/>
      <c r="F10" s="144"/>
      <c r="G10" s="144"/>
    </row>
    <row r="11" spans="1:8" x14ac:dyDescent="0.25">
      <c r="A11" s="133" t="s">
        <v>320</v>
      </c>
      <c r="B11" s="138">
        <v>21.451640472412102</v>
      </c>
      <c r="C11" s="146">
        <f>AVERAGE(B11:B13)</f>
        <v>21.425704981485996</v>
      </c>
      <c r="E11" s="150">
        <f>100*2^(D$5-C11)</f>
        <v>6.2887775667305138E-4</v>
      </c>
      <c r="F11" s="146">
        <f>C11-C8</f>
        <v>0.3333333333333286</v>
      </c>
      <c r="G11" s="146">
        <f>2^-F11</f>
        <v>0.79370052598410235</v>
      </c>
    </row>
    <row r="12" spans="1:8" x14ac:dyDescent="0.25">
      <c r="A12" s="133" t="s">
        <v>320</v>
      </c>
      <c r="B12" s="138">
        <v>21.373833999633799</v>
      </c>
      <c r="E12" s="150"/>
      <c r="F12" s="144"/>
      <c r="G12" s="144"/>
    </row>
    <row r="13" spans="1:8" x14ac:dyDescent="0.25">
      <c r="A13" s="133" t="s">
        <v>320</v>
      </c>
      <c r="B13" s="138">
        <v>21.451640472412102</v>
      </c>
      <c r="E13" s="150"/>
      <c r="F13" s="144"/>
      <c r="G13" s="144"/>
    </row>
    <row r="14" spans="1:8" ht="14" x14ac:dyDescent="0.3">
      <c r="A14" s="142" t="s">
        <v>333</v>
      </c>
      <c r="B14" s="138">
        <v>8.3331079483032227</v>
      </c>
      <c r="C14" s="146">
        <f>AVERAGE(B14:B16)</f>
        <v>8.0162687301635884</v>
      </c>
      <c r="D14" s="146">
        <f>C14-3.32</f>
        <v>4.6962687301635881</v>
      </c>
      <c r="F14" s="144"/>
      <c r="G14" s="147"/>
    </row>
    <row r="15" spans="1:8" x14ac:dyDescent="0.25">
      <c r="A15" s="142" t="s">
        <v>334</v>
      </c>
      <c r="B15" s="138">
        <v>8.344874382019043</v>
      </c>
    </row>
    <row r="16" spans="1:8" x14ac:dyDescent="0.25">
      <c r="A16" s="142" t="s">
        <v>335</v>
      </c>
      <c r="B16" s="138">
        <v>7.3708238601684997</v>
      </c>
    </row>
    <row r="17" spans="1:7" x14ac:dyDescent="0.25">
      <c r="A17" s="142" t="s">
        <v>336</v>
      </c>
      <c r="B17" s="138">
        <v>21.264157295227101</v>
      </c>
      <c r="C17" s="146">
        <f>AVERAGE(B17:B19)</f>
        <v>21.182434399922368</v>
      </c>
      <c r="E17" s="150">
        <f>100*2^(D14-C17)</f>
        <v>1.0893554736081258E-3</v>
      </c>
      <c r="F17" s="146">
        <f>C17-C17</f>
        <v>0</v>
      </c>
      <c r="G17" s="146">
        <f>2^-F17</f>
        <v>1</v>
      </c>
    </row>
    <row r="18" spans="1:7" x14ac:dyDescent="0.25">
      <c r="A18" s="142" t="s">
        <v>337</v>
      </c>
      <c r="B18" s="138">
        <v>21.64157295227</v>
      </c>
      <c r="E18" s="150"/>
      <c r="F18" s="144"/>
      <c r="G18" s="144"/>
    </row>
    <row r="19" spans="1:7" x14ac:dyDescent="0.25">
      <c r="A19" s="142" t="s">
        <v>338</v>
      </c>
      <c r="B19" s="138">
        <v>20.64157295227</v>
      </c>
      <c r="E19" s="150"/>
      <c r="F19" s="144"/>
      <c r="G19" s="144"/>
    </row>
    <row r="20" spans="1:7" x14ac:dyDescent="0.25">
      <c r="A20" s="133" t="s">
        <v>339</v>
      </c>
      <c r="B20" s="138">
        <v>21.451640472412102</v>
      </c>
      <c r="C20" s="146">
        <f>AVERAGE(B20:B22)</f>
        <v>21.5821179453533</v>
      </c>
      <c r="E20" s="150">
        <f>100*2^(D14-C20)</f>
        <v>8.2575817893930619E-4</v>
      </c>
      <c r="F20" s="146">
        <f>C20-C17</f>
        <v>0.39968354543093199</v>
      </c>
      <c r="G20" s="146">
        <f>2^-F20</f>
        <v>0.75802453739389319</v>
      </c>
    </row>
    <row r="21" spans="1:7" x14ac:dyDescent="0.25">
      <c r="A21" s="133" t="s">
        <v>339</v>
      </c>
      <c r="B21" s="138">
        <v>21.373833999633799</v>
      </c>
      <c r="E21" s="150"/>
      <c r="F21" s="144"/>
      <c r="G21" s="144"/>
    </row>
    <row r="22" spans="1:7" x14ac:dyDescent="0.25">
      <c r="A22" s="133" t="s">
        <v>339</v>
      </c>
      <c r="B22" s="149">
        <v>21.920879364013999</v>
      </c>
      <c r="E22" s="150"/>
      <c r="F22" s="144"/>
      <c r="G22" s="144"/>
    </row>
    <row r="25" spans="1:7" ht="13" x14ac:dyDescent="0.3">
      <c r="A25" s="188" t="s">
        <v>131</v>
      </c>
      <c r="B25" s="188"/>
      <c r="C25" s="188"/>
      <c r="D25" s="188"/>
      <c r="E25" s="188"/>
      <c r="F25" s="188"/>
      <c r="G25" s="188"/>
    </row>
    <row r="26" spans="1:7" ht="78" x14ac:dyDescent="0.3">
      <c r="B26" s="145" t="s">
        <v>321</v>
      </c>
      <c r="C26" s="145" t="s">
        <v>322</v>
      </c>
      <c r="D26" s="143" t="s">
        <v>323</v>
      </c>
      <c r="E26" s="145" t="s">
        <v>324</v>
      </c>
      <c r="F26" s="145" t="s">
        <v>325</v>
      </c>
      <c r="G26" s="145" t="s">
        <v>326</v>
      </c>
    </row>
    <row r="27" spans="1:7" ht="14" x14ac:dyDescent="0.3">
      <c r="A27" s="142" t="s">
        <v>327</v>
      </c>
      <c r="B27" s="138">
        <v>8.9284181594849006</v>
      </c>
      <c r="C27" s="146">
        <f>AVERAGE(B27:B29)</f>
        <v>8.5900219599406338</v>
      </c>
      <c r="D27" s="146">
        <f>C27-3.32</f>
        <v>5.2700219599406335</v>
      </c>
      <c r="F27" s="144"/>
      <c r="G27" s="147"/>
    </row>
    <row r="28" spans="1:7" x14ac:dyDescent="0.25">
      <c r="A28" s="142" t="s">
        <v>328</v>
      </c>
      <c r="B28" s="138">
        <v>8.1708238601685004</v>
      </c>
    </row>
    <row r="29" spans="1:7" x14ac:dyDescent="0.25">
      <c r="A29" s="142" t="s">
        <v>329</v>
      </c>
      <c r="B29" s="138">
        <v>8.6708238601685004</v>
      </c>
    </row>
    <row r="30" spans="1:7" x14ac:dyDescent="0.25">
      <c r="A30" s="142" t="s">
        <v>330</v>
      </c>
      <c r="B30" s="138">
        <v>20.451640472412102</v>
      </c>
      <c r="C30" s="146">
        <f>AVERAGE(B30:B32)</f>
        <v>20.15903831481933</v>
      </c>
      <c r="E30" s="150">
        <f>100*2^(D27-C30)</f>
        <v>3.2957895413906917E-3</v>
      </c>
      <c r="F30" s="146">
        <f>C30-C30</f>
        <v>0</v>
      </c>
      <c r="G30" s="146">
        <f>2^-F30</f>
        <v>1</v>
      </c>
    </row>
    <row r="31" spans="1:7" x14ac:dyDescent="0.25">
      <c r="A31" s="142" t="s">
        <v>331</v>
      </c>
      <c r="B31" s="138">
        <v>20.373833999633799</v>
      </c>
      <c r="E31" s="150"/>
      <c r="F31" s="144"/>
      <c r="G31" s="144"/>
    </row>
    <row r="32" spans="1:7" x14ac:dyDescent="0.25">
      <c r="A32" s="142" t="s">
        <v>332</v>
      </c>
      <c r="B32" s="138">
        <v>19.651640472412101</v>
      </c>
      <c r="E32" s="150"/>
      <c r="F32" s="144"/>
      <c r="G32" s="144"/>
    </row>
    <row r="33" spans="1:7" x14ac:dyDescent="0.25">
      <c r="A33" s="133" t="s">
        <v>320</v>
      </c>
      <c r="B33" s="138">
        <v>16.951640472412102</v>
      </c>
      <c r="C33" s="146">
        <f>AVERAGE(B33:B35)</f>
        <v>17.259038314819332</v>
      </c>
      <c r="E33" s="150">
        <f>100*2^(D27-C33)</f>
        <v>2.4600643002235821E-2</v>
      </c>
      <c r="F33" s="146">
        <f>C33-C30</f>
        <v>-2.8999999999999986</v>
      </c>
      <c r="G33" s="146">
        <f>2^-F33</f>
        <v>7.4642639322944513</v>
      </c>
    </row>
    <row r="34" spans="1:7" x14ac:dyDescent="0.25">
      <c r="A34" s="133" t="s">
        <v>320</v>
      </c>
      <c r="B34" s="138">
        <v>17.373833999633799</v>
      </c>
      <c r="E34" s="150"/>
      <c r="F34" s="144"/>
      <c r="G34" s="144"/>
    </row>
    <row r="35" spans="1:7" x14ac:dyDescent="0.25">
      <c r="A35" s="133" t="s">
        <v>320</v>
      </c>
      <c r="B35" s="138">
        <v>17.451640472412102</v>
      </c>
      <c r="E35" s="150"/>
      <c r="F35" s="144"/>
      <c r="G35" s="144"/>
    </row>
    <row r="36" spans="1:7" ht="14" x14ac:dyDescent="0.3">
      <c r="A36" s="142" t="s">
        <v>333</v>
      </c>
      <c r="B36" s="138">
        <v>8.3331079483032227</v>
      </c>
      <c r="C36" s="146">
        <f>AVERAGE(B36:B38)</f>
        <v>8.0162687301635884</v>
      </c>
      <c r="D36" s="146">
        <f>C36-3.32</f>
        <v>4.6962687301635881</v>
      </c>
      <c r="F36" s="144"/>
      <c r="G36" s="147"/>
    </row>
    <row r="37" spans="1:7" x14ac:dyDescent="0.25">
      <c r="A37" s="142" t="s">
        <v>334</v>
      </c>
      <c r="B37" s="138">
        <v>8.344874382019043</v>
      </c>
    </row>
    <row r="38" spans="1:7" x14ac:dyDescent="0.25">
      <c r="A38" s="142" t="s">
        <v>335</v>
      </c>
      <c r="B38" s="138">
        <v>7.3708238601684997</v>
      </c>
    </row>
    <row r="39" spans="1:7" x14ac:dyDescent="0.25">
      <c r="A39" s="142" t="s">
        <v>336</v>
      </c>
      <c r="B39" s="138">
        <v>21.264157295227101</v>
      </c>
      <c r="C39" s="146">
        <f>AVERAGE(B39:B41)</f>
        <v>21.182434399922368</v>
      </c>
      <c r="E39" s="150">
        <f>100*2^(D27-C39)</f>
        <v>1.6213864982018613E-3</v>
      </c>
      <c r="F39" s="146">
        <f>C39-C39</f>
        <v>0</v>
      </c>
      <c r="G39" s="146">
        <f>2^-F39</f>
        <v>1</v>
      </c>
    </row>
    <row r="40" spans="1:7" x14ac:dyDescent="0.25">
      <c r="A40" s="142" t="s">
        <v>337</v>
      </c>
      <c r="B40" s="138">
        <v>21.64157295227</v>
      </c>
      <c r="E40" s="150"/>
      <c r="F40" s="144"/>
      <c r="G40" s="144"/>
    </row>
    <row r="41" spans="1:7" x14ac:dyDescent="0.25">
      <c r="A41" s="142" t="s">
        <v>338</v>
      </c>
      <c r="B41" s="138">
        <v>20.64157295227</v>
      </c>
      <c r="E41" s="150"/>
      <c r="F41" s="144"/>
      <c r="G41" s="144"/>
    </row>
    <row r="42" spans="1:7" x14ac:dyDescent="0.25">
      <c r="A42" s="133" t="s">
        <v>339</v>
      </c>
      <c r="B42" s="138">
        <v>19.8516404724121</v>
      </c>
      <c r="C42" s="146">
        <f>AVERAGE(B42:B44)</f>
        <v>19.570286610921368</v>
      </c>
      <c r="E42" s="150">
        <f>100*2^(D27-C42)</f>
        <v>4.9566858444333685E-3</v>
      </c>
      <c r="F42" s="146">
        <f>C42-C39</f>
        <v>-1.6121477890009999</v>
      </c>
      <c r="G42" s="146">
        <f>2^-F42</f>
        <v>3.0570661899123923</v>
      </c>
    </row>
    <row r="43" spans="1:7" x14ac:dyDescent="0.25">
      <c r="A43" s="133" t="s">
        <v>339</v>
      </c>
      <c r="B43" s="138">
        <v>18.938339996338001</v>
      </c>
      <c r="E43" s="150"/>
      <c r="F43" s="144"/>
      <c r="G43" s="144"/>
    </row>
    <row r="44" spans="1:7" ht="13" x14ac:dyDescent="0.3">
      <c r="A44" s="133" t="s">
        <v>339</v>
      </c>
      <c r="B44" s="149">
        <v>19.920879364013999</v>
      </c>
      <c r="E44" s="148"/>
      <c r="F44" s="144"/>
      <c r="G44" s="145"/>
    </row>
    <row r="47" spans="1:7" ht="13" x14ac:dyDescent="0.3">
      <c r="A47" s="188" t="s">
        <v>78</v>
      </c>
      <c r="B47" s="188"/>
      <c r="C47" s="188"/>
      <c r="D47" s="188"/>
      <c r="E47" s="188"/>
      <c r="F47" s="188"/>
      <c r="G47" s="188"/>
    </row>
    <row r="48" spans="1:7" ht="78" x14ac:dyDescent="0.3">
      <c r="B48" s="145" t="s">
        <v>321</v>
      </c>
      <c r="C48" s="145" t="s">
        <v>322</v>
      </c>
      <c r="D48" s="143" t="s">
        <v>323</v>
      </c>
      <c r="E48" s="145" t="s">
        <v>324</v>
      </c>
      <c r="F48" s="145" t="s">
        <v>325</v>
      </c>
      <c r="G48" s="145" t="s">
        <v>326</v>
      </c>
    </row>
    <row r="49" spans="1:7" ht="14" x14ac:dyDescent="0.3">
      <c r="A49" s="142" t="s">
        <v>327</v>
      </c>
      <c r="B49" s="138">
        <v>9.8928418159484899</v>
      </c>
      <c r="C49" s="146">
        <f>AVERAGE(B49:B51)</f>
        <v>9.1335826873779471</v>
      </c>
      <c r="D49" s="146">
        <f>C49-3.32</f>
        <v>5.8135826873779468</v>
      </c>
      <c r="F49" s="144"/>
      <c r="G49" s="147"/>
    </row>
    <row r="50" spans="1:7" x14ac:dyDescent="0.25">
      <c r="A50" s="142" t="s">
        <v>328</v>
      </c>
      <c r="B50" s="138">
        <v>9.13708238601685</v>
      </c>
    </row>
    <row r="51" spans="1:7" x14ac:dyDescent="0.25">
      <c r="A51" s="142" t="s">
        <v>329</v>
      </c>
      <c r="B51" s="138">
        <v>8.3708238601684997</v>
      </c>
    </row>
    <row r="52" spans="1:7" x14ac:dyDescent="0.25">
      <c r="A52" s="142" t="s">
        <v>330</v>
      </c>
      <c r="B52" s="138">
        <v>21.451640472412102</v>
      </c>
      <c r="C52" s="146">
        <f>AVERAGE(B52:B54)</f>
        <v>20.759038314819332</v>
      </c>
      <c r="E52" s="150">
        <f>100*2^(D$5-C52)</f>
        <v>9.9828121250220068E-4</v>
      </c>
      <c r="F52" s="146">
        <f>C52-C52</f>
        <v>0</v>
      </c>
      <c r="G52" s="146">
        <f>2^-F52</f>
        <v>1</v>
      </c>
    </row>
    <row r="53" spans="1:7" x14ac:dyDescent="0.25">
      <c r="A53" s="142" t="s">
        <v>331</v>
      </c>
      <c r="B53" s="138">
        <v>20.373833999633799</v>
      </c>
      <c r="E53" s="150"/>
      <c r="F53" s="144"/>
      <c r="G53" s="144"/>
    </row>
    <row r="54" spans="1:7" x14ac:dyDescent="0.25">
      <c r="A54" s="142" t="s">
        <v>332</v>
      </c>
      <c r="B54" s="138">
        <v>20.451640472412102</v>
      </c>
      <c r="E54" s="150"/>
      <c r="F54" s="144"/>
      <c r="G54" s="144"/>
    </row>
    <row r="55" spans="1:7" x14ac:dyDescent="0.25">
      <c r="A55" s="133" t="s">
        <v>320</v>
      </c>
      <c r="B55" s="138">
        <v>17.516404724120999</v>
      </c>
      <c r="C55" s="146">
        <f>AVERAGE(B55:B57)</f>
        <v>17.947293065388966</v>
      </c>
      <c r="E55" s="150">
        <f>100*2^(D$5-C55)</f>
        <v>7.0092662648384464E-3</v>
      </c>
      <c r="F55" s="146">
        <f>C55-C52</f>
        <v>-2.8117452494303663</v>
      </c>
      <c r="G55" s="146">
        <f>2^-F55</f>
        <v>7.0213344467032979</v>
      </c>
    </row>
    <row r="56" spans="1:7" x14ac:dyDescent="0.25">
      <c r="A56" s="133" t="s">
        <v>320</v>
      </c>
      <c r="B56" s="138">
        <v>18.373833999633799</v>
      </c>
      <c r="E56" s="150"/>
      <c r="F56" s="144"/>
      <c r="G56" s="144"/>
    </row>
    <row r="57" spans="1:7" x14ac:dyDescent="0.25">
      <c r="A57" s="133" t="s">
        <v>320</v>
      </c>
      <c r="B57" s="138">
        <v>17.951640472412102</v>
      </c>
      <c r="E57" s="150"/>
      <c r="F57" s="144"/>
      <c r="G57" s="144"/>
    </row>
    <row r="58" spans="1:7" ht="14" x14ac:dyDescent="0.3">
      <c r="A58" s="142" t="s">
        <v>333</v>
      </c>
      <c r="B58" s="138">
        <v>10.3331079483032</v>
      </c>
      <c r="C58" s="146">
        <f>AVERAGE(B58:B60)</f>
        <v>10.016268730163567</v>
      </c>
      <c r="D58" s="146">
        <f>C58-3.32</f>
        <v>6.6962687301635668</v>
      </c>
      <c r="F58" s="144"/>
      <c r="G58" s="147"/>
    </row>
    <row r="59" spans="1:7" x14ac:dyDescent="0.25">
      <c r="A59" s="142" t="s">
        <v>334</v>
      </c>
      <c r="B59" s="138">
        <v>10.344874382019</v>
      </c>
    </row>
    <row r="60" spans="1:7" x14ac:dyDescent="0.25">
      <c r="A60" s="142" t="s">
        <v>335</v>
      </c>
      <c r="B60" s="138">
        <v>9.3708238601684997</v>
      </c>
    </row>
    <row r="61" spans="1:7" x14ac:dyDescent="0.25">
      <c r="A61" s="142" t="s">
        <v>336</v>
      </c>
      <c r="B61" s="138">
        <v>21.264157295227101</v>
      </c>
      <c r="C61" s="146">
        <f>AVERAGE(B61:B63)</f>
        <v>21.182434399922368</v>
      </c>
      <c r="E61" s="150">
        <f>100*2^(D$5-C61)</f>
        <v>7.4438562224414247E-4</v>
      </c>
      <c r="F61" s="146">
        <f>C61-C61</f>
        <v>0</v>
      </c>
      <c r="G61" s="146">
        <f>2^-F61</f>
        <v>1</v>
      </c>
    </row>
    <row r="62" spans="1:7" x14ac:dyDescent="0.25">
      <c r="A62" s="142" t="s">
        <v>337</v>
      </c>
      <c r="B62" s="138">
        <v>21.64157295227</v>
      </c>
      <c r="E62" s="150"/>
      <c r="F62" s="144"/>
      <c r="G62" s="144"/>
    </row>
    <row r="63" spans="1:7" x14ac:dyDescent="0.25">
      <c r="A63" s="142" t="s">
        <v>338</v>
      </c>
      <c r="B63" s="138">
        <v>20.64157295227</v>
      </c>
      <c r="E63" s="150"/>
      <c r="F63" s="144"/>
      <c r="G63" s="144"/>
    </row>
    <row r="64" spans="1:7" x14ac:dyDescent="0.25">
      <c r="A64" s="133" t="s">
        <v>339</v>
      </c>
      <c r="B64" s="138">
        <v>19.716404724120999</v>
      </c>
      <c r="C64" s="146">
        <f>AVERAGE(B64:B66)</f>
        <v>19.535461730957035</v>
      </c>
      <c r="E64" s="150">
        <f>100*2^(D$5-C64)</f>
        <v>2.3312355196850438E-3</v>
      </c>
      <c r="F64" s="146">
        <f>C64-C61</f>
        <v>-1.6469726689653328</v>
      </c>
      <c r="G64" s="146">
        <f>2^-F64</f>
        <v>3.1317578550979102</v>
      </c>
    </row>
    <row r="65" spans="1:7" x14ac:dyDescent="0.25">
      <c r="A65" s="133" t="s">
        <v>339</v>
      </c>
      <c r="B65" s="138">
        <v>18.938339996338001</v>
      </c>
      <c r="E65" s="150"/>
      <c r="F65" s="144"/>
      <c r="G65" s="144"/>
    </row>
    <row r="66" spans="1:7" x14ac:dyDescent="0.25">
      <c r="A66" s="133" t="s">
        <v>339</v>
      </c>
      <c r="B66" s="138">
        <v>19.951640472412102</v>
      </c>
      <c r="E66" s="150"/>
      <c r="F66" s="144"/>
      <c r="G66" s="144"/>
    </row>
    <row r="69" spans="1:7" ht="13" x14ac:dyDescent="0.3">
      <c r="A69" s="188" t="s">
        <v>315</v>
      </c>
      <c r="B69" s="188"/>
      <c r="C69" s="188"/>
      <c r="D69" s="188"/>
      <c r="E69" s="188"/>
      <c r="F69" s="188"/>
      <c r="G69" s="188"/>
    </row>
    <row r="70" spans="1:7" ht="78" x14ac:dyDescent="0.3">
      <c r="B70" s="145" t="s">
        <v>321</v>
      </c>
      <c r="C70" s="145" t="s">
        <v>322</v>
      </c>
      <c r="D70" s="143" t="s">
        <v>323</v>
      </c>
      <c r="E70" s="145" t="s">
        <v>324</v>
      </c>
      <c r="F70" s="145" t="s">
        <v>325</v>
      </c>
      <c r="G70" s="145" t="s">
        <v>326</v>
      </c>
    </row>
    <row r="71" spans="1:7" ht="14" x14ac:dyDescent="0.3">
      <c r="A71" s="142" t="s">
        <v>327</v>
      </c>
      <c r="B71" s="138">
        <v>8.1928418159484906</v>
      </c>
      <c r="C71" s="146">
        <f>AVERAGE(B71:B73)</f>
        <v>7.5669160207112798</v>
      </c>
      <c r="D71" s="146">
        <f>C71-3.32</f>
        <v>4.2469160207112804</v>
      </c>
      <c r="F71" s="144"/>
      <c r="G71" s="147"/>
    </row>
    <row r="72" spans="1:7" x14ac:dyDescent="0.25">
      <c r="A72" s="142" t="s">
        <v>328</v>
      </c>
      <c r="B72" s="138">
        <v>7.13708238601685</v>
      </c>
    </row>
    <row r="73" spans="1:7" x14ac:dyDescent="0.25">
      <c r="A73" s="142" t="s">
        <v>329</v>
      </c>
      <c r="B73" s="138">
        <v>7.3708238601684997</v>
      </c>
    </row>
    <row r="74" spans="1:7" x14ac:dyDescent="0.25">
      <c r="A74" s="142" t="s">
        <v>330</v>
      </c>
      <c r="B74" s="138">
        <v>21.0516404724121</v>
      </c>
      <c r="C74" s="146">
        <f>AVERAGE(B74:B76)</f>
        <v>21.292371648152667</v>
      </c>
      <c r="E74" s="150">
        <f>100*2^(D$5-C74)</f>
        <v>6.8976883269332065E-4</v>
      </c>
      <c r="F74" s="146">
        <f>C74-C74</f>
        <v>0</v>
      </c>
      <c r="G74" s="146">
        <f>2^-F74</f>
        <v>1</v>
      </c>
    </row>
    <row r="75" spans="1:7" x14ac:dyDescent="0.25">
      <c r="A75" s="142" t="s">
        <v>331</v>
      </c>
      <c r="B75" s="138">
        <v>21.373833999633799</v>
      </c>
      <c r="E75" s="150"/>
      <c r="F75" s="144"/>
      <c r="G75" s="144"/>
    </row>
    <row r="76" spans="1:7" x14ac:dyDescent="0.25">
      <c r="A76" s="142" t="s">
        <v>332</v>
      </c>
      <c r="B76" s="138">
        <v>21.451640472412102</v>
      </c>
      <c r="E76" s="150"/>
      <c r="F76" s="144"/>
      <c r="G76" s="144"/>
    </row>
    <row r="77" spans="1:7" x14ac:dyDescent="0.25">
      <c r="A77" s="133" t="s">
        <v>320</v>
      </c>
      <c r="B77" s="138">
        <v>17.0516404724121</v>
      </c>
      <c r="C77" s="146">
        <f>AVERAGE(B77:B79)</f>
        <v>18.628893636068067</v>
      </c>
      <c r="E77" s="150">
        <f>100*2^(D$5-C77)</f>
        <v>4.3700895983552314E-3</v>
      </c>
      <c r="F77" s="146">
        <f>C77-C74</f>
        <v>-2.6634780120845996</v>
      </c>
      <c r="G77" s="146">
        <f>2^-F77</f>
        <v>6.335585766163816</v>
      </c>
    </row>
    <row r="78" spans="1:7" x14ac:dyDescent="0.25">
      <c r="A78" s="133" t="s">
        <v>320</v>
      </c>
      <c r="B78" s="138">
        <v>19.38339996338</v>
      </c>
      <c r="E78" s="150"/>
      <c r="F78" s="144"/>
      <c r="G78" s="144"/>
    </row>
    <row r="79" spans="1:7" x14ac:dyDescent="0.25">
      <c r="A79" s="133" t="s">
        <v>320</v>
      </c>
      <c r="B79" s="138">
        <v>19.451640472412102</v>
      </c>
      <c r="E79" s="150"/>
      <c r="F79" s="144"/>
      <c r="G79" s="144"/>
    </row>
    <row r="80" spans="1:7" ht="14" x14ac:dyDescent="0.3">
      <c r="A80" s="142" t="s">
        <v>333</v>
      </c>
      <c r="B80" s="138">
        <v>8.3331079483031996</v>
      </c>
      <c r="C80" s="146">
        <f>AVERAGE(B80:B82)</f>
        <v>8.0162687301635795</v>
      </c>
      <c r="D80" s="146">
        <f>C80-3.32</f>
        <v>4.6962687301635793</v>
      </c>
      <c r="F80" s="144"/>
      <c r="G80" s="147"/>
    </row>
    <row r="81" spans="1:7" x14ac:dyDescent="0.25">
      <c r="A81" s="142" t="s">
        <v>334</v>
      </c>
      <c r="B81" s="138">
        <v>8.3448743820190394</v>
      </c>
    </row>
    <row r="82" spans="1:7" x14ac:dyDescent="0.25">
      <c r="A82" s="142" t="s">
        <v>335</v>
      </c>
      <c r="B82" s="138">
        <v>7.3708238601684997</v>
      </c>
    </row>
    <row r="83" spans="1:7" x14ac:dyDescent="0.25">
      <c r="A83" s="142" t="s">
        <v>336</v>
      </c>
      <c r="B83" s="138">
        <v>20.641572952271002</v>
      </c>
      <c r="C83" s="146">
        <f>AVERAGE(B83:B85)</f>
        <v>20.641572952270334</v>
      </c>
      <c r="E83" s="150">
        <f>100*2^(D$5-C83)</f>
        <v>1.0829626918749083E-3</v>
      </c>
      <c r="F83" s="146">
        <f>C83-C83</f>
        <v>0</v>
      </c>
      <c r="G83" s="146">
        <f>2^-F83</f>
        <v>1</v>
      </c>
    </row>
    <row r="84" spans="1:7" x14ac:dyDescent="0.25">
      <c r="A84" s="142" t="s">
        <v>337</v>
      </c>
      <c r="B84" s="138">
        <v>20.64157295227</v>
      </c>
      <c r="E84" s="150"/>
      <c r="F84" s="144"/>
      <c r="G84" s="144"/>
    </row>
    <row r="85" spans="1:7" x14ac:dyDescent="0.25">
      <c r="A85" s="142" t="s">
        <v>338</v>
      </c>
      <c r="B85" s="138">
        <v>20.64157295227</v>
      </c>
      <c r="E85" s="150"/>
      <c r="F85" s="144"/>
      <c r="G85" s="144"/>
    </row>
    <row r="86" spans="1:7" x14ac:dyDescent="0.25">
      <c r="A86" s="133" t="s">
        <v>339</v>
      </c>
      <c r="B86" s="138">
        <v>19.516404724120999</v>
      </c>
      <c r="C86" s="146">
        <f>AVERAGE(B86:B88)</f>
        <v>19.702866109213669</v>
      </c>
      <c r="E86" s="150">
        <f>100*2^(D$5-C86)</f>
        <v>2.075833002668631E-3</v>
      </c>
      <c r="F86" s="146">
        <f>C86-C83</f>
        <v>-0.9387068430566643</v>
      </c>
      <c r="G86" s="146">
        <f>2^-F86</f>
        <v>1.9168093400103983</v>
      </c>
    </row>
    <row r="87" spans="1:7" x14ac:dyDescent="0.25">
      <c r="A87" s="133" t="s">
        <v>339</v>
      </c>
      <c r="B87" s="138">
        <v>20.183399963380001</v>
      </c>
      <c r="E87" s="150"/>
      <c r="F87" s="144"/>
      <c r="G87" s="144"/>
    </row>
    <row r="88" spans="1:7" ht="13" x14ac:dyDescent="0.3">
      <c r="A88" s="133" t="s">
        <v>339</v>
      </c>
      <c r="B88" s="149">
        <v>19.408793640140001</v>
      </c>
      <c r="E88" s="148"/>
      <c r="F88" s="144"/>
      <c r="G88" s="145"/>
    </row>
    <row r="91" spans="1:7" ht="13" x14ac:dyDescent="0.3">
      <c r="A91" s="188" t="s">
        <v>130</v>
      </c>
      <c r="B91" s="188"/>
      <c r="C91" s="188"/>
      <c r="D91" s="188"/>
      <c r="E91" s="188"/>
      <c r="F91" s="188"/>
      <c r="G91" s="188"/>
    </row>
    <row r="92" spans="1:7" ht="78" x14ac:dyDescent="0.3">
      <c r="B92" s="145" t="s">
        <v>321</v>
      </c>
      <c r="C92" s="145" t="s">
        <v>322</v>
      </c>
      <c r="D92" s="143" t="s">
        <v>323</v>
      </c>
      <c r="E92" s="145" t="s">
        <v>324</v>
      </c>
      <c r="F92" s="145" t="s">
        <v>325</v>
      </c>
      <c r="G92" s="145" t="s">
        <v>326</v>
      </c>
    </row>
    <row r="93" spans="1:7" ht="14" x14ac:dyDescent="0.3">
      <c r="A93" s="142" t="s">
        <v>327</v>
      </c>
      <c r="B93" s="138">
        <v>10.1928418159484</v>
      </c>
      <c r="C93" s="146">
        <f>AVERAGE(B93:B95)</f>
        <v>9.9002493540445826</v>
      </c>
      <c r="D93" s="146">
        <f>C93-3.32</f>
        <v>6.5802493540445823</v>
      </c>
      <c r="F93" s="144"/>
      <c r="G93" s="147"/>
    </row>
    <row r="94" spans="1:7" x14ac:dyDescent="0.25">
      <c r="A94" s="142" t="s">
        <v>328</v>
      </c>
      <c r="B94" s="138">
        <v>9.13708238601685</v>
      </c>
    </row>
    <row r="95" spans="1:7" x14ac:dyDescent="0.25">
      <c r="A95" s="142" t="s">
        <v>329</v>
      </c>
      <c r="B95" s="138">
        <v>10.3708238601685</v>
      </c>
    </row>
    <row r="96" spans="1:7" x14ac:dyDescent="0.25">
      <c r="A96" s="142" t="s">
        <v>330</v>
      </c>
      <c r="B96" s="138">
        <v>18.516404724120999</v>
      </c>
      <c r="C96" s="146">
        <f>AVERAGE(B96:B98)</f>
        <v>18.847293065388964</v>
      </c>
      <c r="E96" s="150">
        <f>100*2^(D$5-C96)</f>
        <v>3.7561727872523695E-3</v>
      </c>
      <c r="F96" s="146">
        <f>C96-C96</f>
        <v>0</v>
      </c>
      <c r="G96" s="146">
        <f>2^-F96</f>
        <v>1</v>
      </c>
    </row>
    <row r="97" spans="1:7" x14ac:dyDescent="0.25">
      <c r="A97" s="142" t="s">
        <v>331</v>
      </c>
      <c r="B97" s="138">
        <v>18.573833999633798</v>
      </c>
      <c r="E97" s="150"/>
      <c r="F97" s="144"/>
      <c r="G97" s="144"/>
    </row>
    <row r="98" spans="1:7" x14ac:dyDescent="0.25">
      <c r="A98" s="142" t="s">
        <v>332</v>
      </c>
      <c r="B98" s="138">
        <v>19.451640472412102</v>
      </c>
      <c r="E98" s="150"/>
      <c r="F98" s="144"/>
      <c r="G98" s="144"/>
    </row>
    <row r="99" spans="1:7" x14ac:dyDescent="0.25">
      <c r="A99" s="133" t="s">
        <v>320</v>
      </c>
      <c r="B99" s="138">
        <v>16.16404724121</v>
      </c>
      <c r="C99" s="146">
        <f>AVERAGE(B99:B101)</f>
        <v>16.563173904418633</v>
      </c>
      <c r="E99" s="150">
        <f>100*2^(D$5-C99)</f>
        <v>1.8295064422335566E-2</v>
      </c>
      <c r="F99" s="146">
        <f>C99-C96</f>
        <v>-2.2841191609703309</v>
      </c>
      <c r="G99" s="146">
        <f>2^-F99</f>
        <v>4.8706663560379928</v>
      </c>
    </row>
    <row r="100" spans="1:7" x14ac:dyDescent="0.25">
      <c r="A100" s="133" t="s">
        <v>320</v>
      </c>
      <c r="B100" s="138">
        <v>16.373833999633799</v>
      </c>
      <c r="E100" s="150"/>
      <c r="F100" s="144"/>
      <c r="G100" s="144"/>
    </row>
    <row r="101" spans="1:7" x14ac:dyDescent="0.25">
      <c r="A101" s="133" t="s">
        <v>320</v>
      </c>
      <c r="B101" s="138">
        <v>17.151640472412101</v>
      </c>
      <c r="E101" s="150"/>
      <c r="F101" s="144"/>
      <c r="G101" s="144"/>
    </row>
    <row r="102" spans="1:7" ht="14" x14ac:dyDescent="0.3">
      <c r="A102" s="142" t="s">
        <v>333</v>
      </c>
      <c r="B102" s="138">
        <v>9.3331079483032209</v>
      </c>
      <c r="C102" s="146">
        <f>AVERAGE(B102:B104)</f>
        <v>9.6829353968302527</v>
      </c>
      <c r="D102" s="146">
        <f>C102-3.32</f>
        <v>6.3629353968302524</v>
      </c>
      <c r="F102" s="144"/>
      <c r="G102" s="147"/>
    </row>
    <row r="103" spans="1:7" x14ac:dyDescent="0.25">
      <c r="A103" s="142" t="s">
        <v>334</v>
      </c>
      <c r="B103" s="138">
        <v>9.3448743820190394</v>
      </c>
    </row>
    <row r="104" spans="1:7" x14ac:dyDescent="0.25">
      <c r="A104" s="142" t="s">
        <v>335</v>
      </c>
      <c r="B104" s="138">
        <v>10.3708238601685</v>
      </c>
    </row>
    <row r="105" spans="1:7" x14ac:dyDescent="0.25">
      <c r="A105" s="142" t="s">
        <v>336</v>
      </c>
      <c r="B105" s="138">
        <v>20.264157295227101</v>
      </c>
      <c r="C105" s="146">
        <f>AVERAGE(B105:B107)</f>
        <v>20.440486590065703</v>
      </c>
      <c r="E105" s="150">
        <f>100*2^(D$5-C105)</f>
        <v>1.2449345566156154E-3</v>
      </c>
      <c r="F105" s="146">
        <f>C105-C105</f>
        <v>0</v>
      </c>
      <c r="G105" s="146">
        <f>2^-F105</f>
        <v>1</v>
      </c>
    </row>
    <row r="106" spans="1:7" x14ac:dyDescent="0.25">
      <c r="A106" s="142" t="s">
        <v>337</v>
      </c>
      <c r="B106" s="138">
        <v>19.64157295227</v>
      </c>
      <c r="E106" s="150"/>
      <c r="F106" s="144"/>
      <c r="G106" s="144"/>
    </row>
    <row r="107" spans="1:7" x14ac:dyDescent="0.25">
      <c r="A107" s="142" t="s">
        <v>338</v>
      </c>
      <c r="B107" s="138">
        <v>21.415729522700001</v>
      </c>
      <c r="E107" s="150"/>
      <c r="F107" s="144"/>
      <c r="G107" s="144"/>
    </row>
    <row r="108" spans="1:7" x14ac:dyDescent="0.25">
      <c r="A108" s="133" t="s">
        <v>339</v>
      </c>
      <c r="B108" s="138">
        <v>19.451640472412102</v>
      </c>
      <c r="C108" s="146">
        <f>AVERAGE(B108:B110)</f>
        <v>19.036953277588033</v>
      </c>
      <c r="E108" s="150">
        <f>100*2^(D$5-C108)</f>
        <v>3.2934581492178221E-3</v>
      </c>
      <c r="F108" s="146">
        <f>C108-C105</f>
        <v>-1.4035333124776699</v>
      </c>
      <c r="G108" s="146">
        <f>2^-F108</f>
        <v>2.6454869709546585</v>
      </c>
    </row>
    <row r="109" spans="1:7" x14ac:dyDescent="0.25">
      <c r="A109" s="133" t="s">
        <v>339</v>
      </c>
      <c r="B109" s="138">
        <v>18.738339996337999</v>
      </c>
      <c r="E109" s="150"/>
      <c r="F109" s="144"/>
      <c r="G109" s="144"/>
    </row>
    <row r="110" spans="1:7" ht="13" x14ac:dyDescent="0.3">
      <c r="A110" s="133" t="s">
        <v>339</v>
      </c>
      <c r="B110" s="149">
        <v>18.920879364013999</v>
      </c>
      <c r="E110" s="148"/>
      <c r="F110" s="144"/>
      <c r="G110" s="145"/>
    </row>
  </sheetData>
  <mergeCells count="6">
    <mergeCell ref="A91:G91"/>
    <mergeCell ref="A1:H2"/>
    <mergeCell ref="A3:G3"/>
    <mergeCell ref="A25:G25"/>
    <mergeCell ref="A47:G47"/>
    <mergeCell ref="A69:G69"/>
  </mergeCells>
  <phoneticPr fontId="24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C58F0-6271-4A70-8FD3-C4A629B6A326}">
  <dimension ref="A1:H49"/>
  <sheetViews>
    <sheetView topLeftCell="A21" zoomScale="70" zoomScaleNormal="70" workbookViewId="0">
      <selection activeCell="D17" sqref="D17:D21"/>
    </sheetView>
  </sheetViews>
  <sheetFormatPr defaultRowHeight="14.5" x14ac:dyDescent="0.35"/>
  <cols>
    <col min="1" max="1" width="13.36328125" customWidth="1"/>
  </cols>
  <sheetData>
    <row r="1" spans="1:8" ht="21" x14ac:dyDescent="0.5">
      <c r="A1" s="163" t="s">
        <v>77</v>
      </c>
      <c r="B1" s="163"/>
      <c r="C1" s="163"/>
      <c r="D1" s="163"/>
      <c r="E1" s="163"/>
      <c r="F1" s="163"/>
      <c r="G1" s="163"/>
      <c r="H1" s="163"/>
    </row>
    <row r="3" spans="1:8" x14ac:dyDescent="0.35">
      <c r="A3" s="168" t="s">
        <v>79</v>
      </c>
      <c r="B3" s="168"/>
      <c r="C3" s="168"/>
      <c r="D3" s="168"/>
      <c r="E3" s="168"/>
      <c r="F3" s="168"/>
      <c r="G3" s="168"/>
      <c r="H3" s="168"/>
    </row>
    <row r="4" spans="1:8" x14ac:dyDescent="0.35">
      <c r="A4" s="33" t="s">
        <v>8</v>
      </c>
      <c r="B4" s="34"/>
      <c r="C4" s="33" t="s">
        <v>7</v>
      </c>
      <c r="D4" s="33" t="s">
        <v>6</v>
      </c>
      <c r="E4" s="33" t="s">
        <v>5</v>
      </c>
      <c r="F4" s="33" t="s">
        <v>4</v>
      </c>
      <c r="G4" s="33" t="s">
        <v>3</v>
      </c>
      <c r="H4" s="33" t="s">
        <v>72</v>
      </c>
    </row>
    <row r="5" spans="1:8" x14ac:dyDescent="0.35">
      <c r="A5" s="167" t="s">
        <v>73</v>
      </c>
      <c r="B5" s="35" t="s">
        <v>2</v>
      </c>
      <c r="C5" s="1">
        <v>27.459251828549299</v>
      </c>
      <c r="D5" s="36">
        <v>16.198989868164063</v>
      </c>
      <c r="E5" s="37">
        <f t="shared" ref="E5:E13" si="0">C5-D5</f>
        <v>11.260261960385236</v>
      </c>
      <c r="F5" s="37">
        <f t="shared" ref="F5:F13" si="1">2^-E5</f>
        <v>4.07683740404964E-4</v>
      </c>
      <c r="G5" s="164">
        <f t="shared" ref="G5" si="2">AVERAGE(F5:F7)</f>
        <v>6.3415802355070786E-3</v>
      </c>
      <c r="H5" s="164">
        <f t="shared" ref="H5" si="3">STDEV(F5:F7)/SQRT(3)</f>
        <v>5.9175126547666781E-3</v>
      </c>
    </row>
    <row r="6" spans="1:8" x14ac:dyDescent="0.35">
      <c r="A6" s="167"/>
      <c r="B6" s="35" t="s">
        <v>1</v>
      </c>
      <c r="C6" s="1">
        <v>25.642360753948299</v>
      </c>
      <c r="D6" s="36">
        <v>19.860586166381836</v>
      </c>
      <c r="E6" s="34">
        <f t="shared" si="0"/>
        <v>5.7817745875664635</v>
      </c>
      <c r="F6" s="34">
        <f t="shared" si="1"/>
        <v>1.8176590410392227E-2</v>
      </c>
      <c r="G6" s="165"/>
      <c r="H6" s="165"/>
    </row>
    <row r="7" spans="1:8" x14ac:dyDescent="0.35">
      <c r="A7" s="167"/>
      <c r="B7" s="35" t="s">
        <v>0</v>
      </c>
      <c r="C7" s="1">
        <v>27.347669767098601</v>
      </c>
      <c r="D7" s="36">
        <v>16.198989868164063</v>
      </c>
      <c r="E7" s="34">
        <f t="shared" si="0"/>
        <v>11.148679898934539</v>
      </c>
      <c r="F7" s="34">
        <f t="shared" si="1"/>
        <v>4.4046655572404521E-4</v>
      </c>
      <c r="G7" s="166"/>
      <c r="H7" s="166"/>
    </row>
    <row r="8" spans="1:8" x14ac:dyDescent="0.35">
      <c r="A8" s="167" t="s">
        <v>81</v>
      </c>
      <c r="B8" s="35" t="s">
        <v>74</v>
      </c>
      <c r="C8" s="1">
        <v>17.1451341138632</v>
      </c>
      <c r="D8" s="36">
        <v>14.494866371154785</v>
      </c>
      <c r="E8" s="34">
        <f t="shared" si="0"/>
        <v>2.6502677427084151</v>
      </c>
      <c r="F8" s="34">
        <f t="shared" si="1"/>
        <v>0.1592905137251408</v>
      </c>
      <c r="G8" s="164">
        <f t="shared" ref="G8" si="4">AVERAGE(F8:F10)</f>
        <v>0.82451114377048718</v>
      </c>
      <c r="H8" s="164">
        <f t="shared" ref="H8" si="5">STDEV(F8:F10)/SQRT(3)</f>
        <v>0.59353998943470576</v>
      </c>
    </row>
    <row r="9" spans="1:8" x14ac:dyDescent="0.35">
      <c r="A9" s="167"/>
      <c r="B9" s="35" t="s">
        <v>75</v>
      </c>
      <c r="C9" s="1">
        <v>16.913139985918001</v>
      </c>
      <c r="D9" s="36">
        <v>17.919315338134801</v>
      </c>
      <c r="E9" s="34">
        <f t="shared" si="0"/>
        <v>-1.0061753522168004</v>
      </c>
      <c r="F9" s="34">
        <f t="shared" si="1"/>
        <v>2.0085792041898451</v>
      </c>
      <c r="G9" s="165"/>
      <c r="H9" s="165"/>
    </row>
    <row r="10" spans="1:8" x14ac:dyDescent="0.35">
      <c r="A10" s="167"/>
      <c r="B10" s="35" t="s">
        <v>76</v>
      </c>
      <c r="C10" s="1">
        <v>17.611295628855999</v>
      </c>
      <c r="D10" s="36">
        <v>15.901312828063965</v>
      </c>
      <c r="E10" s="34">
        <f t="shared" si="0"/>
        <v>1.7099828007920337</v>
      </c>
      <c r="F10" s="34">
        <f t="shared" si="1"/>
        <v>0.30566371339647558</v>
      </c>
      <c r="G10" s="166"/>
      <c r="H10" s="166"/>
    </row>
    <row r="11" spans="1:8" x14ac:dyDescent="0.35">
      <c r="A11" s="164" t="s">
        <v>80</v>
      </c>
      <c r="B11" s="35" t="s">
        <v>74</v>
      </c>
      <c r="C11" s="1">
        <v>17.279465562615002</v>
      </c>
      <c r="D11" s="36">
        <v>15.901312828063965</v>
      </c>
      <c r="E11" s="34">
        <f t="shared" si="0"/>
        <v>1.3781527345510369</v>
      </c>
      <c r="F11" s="34">
        <f t="shared" si="1"/>
        <v>0.38471107447554265</v>
      </c>
      <c r="G11" s="164">
        <f>AVERAGE(F11:F12)</f>
        <v>0.74006210487557245</v>
      </c>
      <c r="H11" s="164">
        <f>STDEV(F11:F12)/SQRT(3)</f>
        <v>0.29014290135076887</v>
      </c>
    </row>
    <row r="12" spans="1:8" x14ac:dyDescent="0.35">
      <c r="A12" s="165"/>
      <c r="B12" s="35" t="s">
        <v>75</v>
      </c>
      <c r="C12" s="1">
        <v>15.320630436984001</v>
      </c>
      <c r="D12" s="36">
        <v>15.452105522155762</v>
      </c>
      <c r="E12" s="34">
        <f t="shared" si="0"/>
        <v>-0.13147508517176121</v>
      </c>
      <c r="F12" s="34">
        <f t="shared" si="1"/>
        <v>1.0954131352756022</v>
      </c>
      <c r="G12" s="165"/>
      <c r="H12" s="165"/>
    </row>
    <row r="13" spans="1:8" x14ac:dyDescent="0.35">
      <c r="A13" s="166"/>
      <c r="B13" s="35" t="s">
        <v>76</v>
      </c>
      <c r="C13" s="1">
        <v>18.325722206221101</v>
      </c>
      <c r="D13" s="36">
        <v>16.140230178833008</v>
      </c>
      <c r="E13" s="37">
        <f t="shared" si="0"/>
        <v>2.1854920273880936</v>
      </c>
      <c r="F13" s="37">
        <f t="shared" si="1"/>
        <v>0.21983728126165536</v>
      </c>
      <c r="G13" s="166"/>
      <c r="H13" s="166"/>
    </row>
    <row r="15" spans="1:8" x14ac:dyDescent="0.35">
      <c r="A15" s="168" t="s">
        <v>82</v>
      </c>
      <c r="B15" s="168"/>
      <c r="C15" s="168"/>
      <c r="D15" s="168"/>
      <c r="E15" s="168"/>
      <c r="F15" s="168"/>
      <c r="G15" s="168"/>
      <c r="H15" s="168"/>
    </row>
    <row r="16" spans="1:8" x14ac:dyDescent="0.35">
      <c r="A16" s="33" t="s">
        <v>8</v>
      </c>
      <c r="B16" s="34"/>
      <c r="C16" s="33" t="s">
        <v>7</v>
      </c>
      <c r="D16" s="33" t="s">
        <v>6</v>
      </c>
      <c r="E16" s="33" t="s">
        <v>5</v>
      </c>
      <c r="F16" s="33" t="s">
        <v>4</v>
      </c>
      <c r="G16" s="33" t="s">
        <v>3</v>
      </c>
      <c r="H16" s="33" t="s">
        <v>72</v>
      </c>
    </row>
    <row r="17" spans="1:8" x14ac:dyDescent="0.35">
      <c r="A17" s="167" t="s">
        <v>73</v>
      </c>
      <c r="B17" s="35" t="s">
        <v>2</v>
      </c>
      <c r="C17" s="1">
        <v>28.459251828549299</v>
      </c>
      <c r="D17" s="36">
        <v>16.198989868164063</v>
      </c>
      <c r="E17" s="37">
        <f t="shared" ref="E17:E25" si="6">C17-D17</f>
        <v>12.260261960385236</v>
      </c>
      <c r="F17" s="37">
        <f t="shared" ref="F17:F25" si="7">2^-E17</f>
        <v>2.03841870202482E-4</v>
      </c>
      <c r="G17" s="164">
        <f t="shared" ref="G17" si="8">AVERAGE(F17:F19)</f>
        <v>2.3246654561321846E-3</v>
      </c>
      <c r="H17" s="164">
        <f t="shared" ref="H17" si="9">STDEV(F17:F19)/SQRT(3)</f>
        <v>2.0036759258508976E-3</v>
      </c>
    </row>
    <row r="18" spans="1:8" x14ac:dyDescent="0.35">
      <c r="A18" s="167"/>
      <c r="B18" s="35" t="s">
        <v>1</v>
      </c>
      <c r="C18" s="1">
        <v>27.1642360753948</v>
      </c>
      <c r="D18" s="36">
        <v>19.860586166381836</v>
      </c>
      <c r="E18" s="34">
        <f t="shared" si="6"/>
        <v>7.3036499090129645</v>
      </c>
      <c r="F18" s="34">
        <f t="shared" si="7"/>
        <v>6.3296879424700261E-3</v>
      </c>
      <c r="G18" s="165"/>
      <c r="H18" s="165"/>
    </row>
    <row r="19" spans="1:8" x14ac:dyDescent="0.35">
      <c r="A19" s="167"/>
      <c r="B19" s="35" t="s">
        <v>0</v>
      </c>
      <c r="C19" s="1">
        <v>27.347669767098601</v>
      </c>
      <c r="D19" s="36">
        <v>16.198989868164063</v>
      </c>
      <c r="E19" s="34">
        <f t="shared" si="6"/>
        <v>11.148679898934539</v>
      </c>
      <c r="F19" s="34">
        <f t="shared" si="7"/>
        <v>4.4046655572404521E-4</v>
      </c>
      <c r="G19" s="166"/>
      <c r="H19" s="166"/>
    </row>
    <row r="20" spans="1:8" x14ac:dyDescent="0.35">
      <c r="A20" s="167" t="s">
        <v>81</v>
      </c>
      <c r="B20" s="35" t="s">
        <v>74</v>
      </c>
      <c r="C20" s="1">
        <v>26.1451341138632</v>
      </c>
      <c r="D20" s="36">
        <v>14.494866371154785</v>
      </c>
      <c r="E20" s="34">
        <f t="shared" si="6"/>
        <v>11.650267742708415</v>
      </c>
      <c r="F20" s="34">
        <f t="shared" si="7"/>
        <v>3.1111428461941563E-4</v>
      </c>
      <c r="G20" s="164">
        <f t="shared" ref="G20" si="10">AVERAGE(F20:F22)</f>
        <v>3.5150415206319867E-3</v>
      </c>
      <c r="H20" s="164">
        <f t="shared" ref="H20" si="11">STDEV(F20:F22)/SQRT(3)</f>
        <v>2.2469493072417761E-3</v>
      </c>
    </row>
    <row r="21" spans="1:8" x14ac:dyDescent="0.35">
      <c r="A21" s="167"/>
      <c r="B21" s="35" t="s">
        <v>75</v>
      </c>
      <c r="C21" s="1">
        <v>24.913139985918001</v>
      </c>
      <c r="D21" s="36">
        <v>17.919315338134801</v>
      </c>
      <c r="E21" s="34">
        <f t="shared" si="6"/>
        <v>6.9938246477831996</v>
      </c>
      <c r="F21" s="34">
        <f t="shared" si="7"/>
        <v>7.8460125163665791E-3</v>
      </c>
      <c r="G21" s="165"/>
      <c r="H21" s="165"/>
    </row>
    <row r="22" spans="1:8" x14ac:dyDescent="0.35">
      <c r="A22" s="167"/>
      <c r="B22" s="35" t="s">
        <v>76</v>
      </c>
      <c r="C22" s="1">
        <v>24.611295628855999</v>
      </c>
      <c r="D22" s="36">
        <v>15.901312828063965</v>
      </c>
      <c r="E22" s="34">
        <f t="shared" si="6"/>
        <v>8.7099828007920337</v>
      </c>
      <c r="F22" s="34">
        <f t="shared" si="7"/>
        <v>2.387997760909965E-3</v>
      </c>
      <c r="G22" s="166"/>
      <c r="H22" s="166"/>
    </row>
    <row r="23" spans="1:8" x14ac:dyDescent="0.35">
      <c r="A23" s="164" t="s">
        <v>80</v>
      </c>
      <c r="B23" s="35" t="s">
        <v>74</v>
      </c>
      <c r="C23" s="1">
        <v>20.279465562615002</v>
      </c>
      <c r="D23" s="36">
        <v>15.901312828063965</v>
      </c>
      <c r="E23" s="34">
        <f t="shared" si="6"/>
        <v>4.3781527345510369</v>
      </c>
      <c r="F23" s="34">
        <f t="shared" si="7"/>
        <v>4.8088884309442831E-2</v>
      </c>
      <c r="G23" s="164">
        <f>AVERAGE(F23:F24)</f>
        <v>5.8276102632083993E-2</v>
      </c>
      <c r="H23" s="164">
        <f>STDEV(F23:F24)/SQRT(3)</f>
        <v>8.3178289296007932E-3</v>
      </c>
    </row>
    <row r="24" spans="1:8" x14ac:dyDescent="0.35">
      <c r="A24" s="165"/>
      <c r="B24" s="35" t="s">
        <v>75</v>
      </c>
      <c r="C24" s="1">
        <v>19.320630436984001</v>
      </c>
      <c r="D24" s="36">
        <v>15.452105522155762</v>
      </c>
      <c r="E24" s="34">
        <f t="shared" si="6"/>
        <v>3.8685249148282388</v>
      </c>
      <c r="F24" s="34">
        <f t="shared" si="7"/>
        <v>6.8463320954725154E-2</v>
      </c>
      <c r="G24" s="165"/>
      <c r="H24" s="165"/>
    </row>
    <row r="25" spans="1:8" x14ac:dyDescent="0.35">
      <c r="A25" s="166"/>
      <c r="B25" s="35" t="s">
        <v>76</v>
      </c>
      <c r="C25" s="1">
        <v>19.325722206221101</v>
      </c>
      <c r="D25" s="36">
        <v>16.140230178833008</v>
      </c>
      <c r="E25" s="37">
        <f t="shared" si="6"/>
        <v>3.1854920273880936</v>
      </c>
      <c r="F25" s="37">
        <f t="shared" si="7"/>
        <v>0.10991864063082765</v>
      </c>
      <c r="G25" s="166"/>
      <c r="H25" s="166"/>
    </row>
    <row r="27" spans="1:8" x14ac:dyDescent="0.35">
      <c r="A27" s="168" t="s">
        <v>78</v>
      </c>
      <c r="B27" s="168"/>
      <c r="C27" s="168"/>
      <c r="D27" s="168"/>
      <c r="E27" s="168"/>
      <c r="F27" s="168"/>
      <c r="G27" s="168"/>
      <c r="H27" s="168"/>
    </row>
    <row r="28" spans="1:8" x14ac:dyDescent="0.35">
      <c r="A28" s="33" t="s">
        <v>8</v>
      </c>
      <c r="B28" s="34"/>
      <c r="C28" s="33" t="s">
        <v>7</v>
      </c>
      <c r="D28" s="33" t="s">
        <v>6</v>
      </c>
      <c r="E28" s="33" t="s">
        <v>5</v>
      </c>
      <c r="F28" s="33" t="s">
        <v>4</v>
      </c>
      <c r="G28" s="33" t="s">
        <v>3</v>
      </c>
      <c r="H28" s="33" t="s">
        <v>72</v>
      </c>
    </row>
    <row r="29" spans="1:8" x14ac:dyDescent="0.35">
      <c r="A29" s="167" t="s">
        <v>73</v>
      </c>
      <c r="B29" s="35" t="s">
        <v>2</v>
      </c>
      <c r="C29" s="36">
        <v>30.051126480102539</v>
      </c>
      <c r="D29" s="36">
        <v>16.198989868164063</v>
      </c>
      <c r="E29" s="34">
        <f t="shared" ref="E29:E37" si="12">C29-D29</f>
        <v>13.852136611938477</v>
      </c>
      <c r="F29" s="34">
        <f t="shared" ref="F29:F37" si="13">2^-E29</f>
        <v>6.7622523854608249E-5</v>
      </c>
      <c r="G29" s="164">
        <f>AVERAGE(F30:F31)</f>
        <v>3.6902707892022199E-4</v>
      </c>
      <c r="H29" s="164">
        <f>STDEV(F30:F31)/SQRT(3)</f>
        <v>1.2124790824740227E-4</v>
      </c>
    </row>
    <row r="30" spans="1:8" x14ac:dyDescent="0.35">
      <c r="A30" s="167"/>
      <c r="B30" s="35" t="s">
        <v>1</v>
      </c>
      <c r="C30" s="36">
        <v>30.776670455932617</v>
      </c>
      <c r="D30" s="36">
        <v>19.860586166381836</v>
      </c>
      <c r="E30" s="34">
        <f t="shared" si="12"/>
        <v>10.916084289550781</v>
      </c>
      <c r="F30" s="34">
        <f t="shared" si="13"/>
        <v>5.1752483271318584E-4</v>
      </c>
      <c r="G30" s="165"/>
      <c r="H30" s="165"/>
    </row>
    <row r="31" spans="1:8" x14ac:dyDescent="0.35">
      <c r="A31" s="167"/>
      <c r="B31" s="35" t="s">
        <v>0</v>
      </c>
      <c r="C31" s="36">
        <v>28.345731735229492</v>
      </c>
      <c r="D31" s="36">
        <v>16.198989868164063</v>
      </c>
      <c r="E31" s="34">
        <f t="shared" si="12"/>
        <v>12.14674186706543</v>
      </c>
      <c r="F31" s="34">
        <f t="shared" si="13"/>
        <v>2.2052932512725809E-4</v>
      </c>
      <c r="G31" s="166"/>
      <c r="H31" s="166"/>
    </row>
    <row r="32" spans="1:8" x14ac:dyDescent="0.35">
      <c r="A32" s="167" t="s">
        <v>81</v>
      </c>
      <c r="B32" s="35" t="s">
        <v>74</v>
      </c>
      <c r="C32" s="36">
        <v>25.689828872680664</v>
      </c>
      <c r="D32" s="36">
        <v>14.494866371154785</v>
      </c>
      <c r="E32" s="34">
        <f t="shared" si="12"/>
        <v>11.194962501525879</v>
      </c>
      <c r="F32" s="34">
        <f t="shared" si="13"/>
        <v>4.2656035258054618E-4</v>
      </c>
      <c r="G32" s="164">
        <f>AVERAGE(F32:F33)</f>
        <v>5.248421192607202E-4</v>
      </c>
      <c r="H32" s="164">
        <f>STDEV(F32:F33)/SQRT(3)</f>
        <v>8.0246726461898616E-5</v>
      </c>
    </row>
    <row r="33" spans="1:8" x14ac:dyDescent="0.35">
      <c r="A33" s="167"/>
      <c r="B33" s="35" t="s">
        <v>75</v>
      </c>
      <c r="C33" s="36">
        <v>28.567508697509766</v>
      </c>
      <c r="D33" s="36">
        <v>17.919315338134766</v>
      </c>
      <c r="E33" s="34">
        <f t="shared" si="12"/>
        <v>10.648193359375</v>
      </c>
      <c r="F33" s="34">
        <f t="shared" si="13"/>
        <v>6.2312388594089427E-4</v>
      </c>
      <c r="G33" s="165"/>
      <c r="H33" s="165"/>
    </row>
    <row r="34" spans="1:8" x14ac:dyDescent="0.35">
      <c r="A34" s="167"/>
      <c r="B34" s="35" t="s">
        <v>76</v>
      </c>
      <c r="C34" s="36">
        <v>27.932193756103516</v>
      </c>
      <c r="D34" s="36">
        <v>15.901312828063965</v>
      </c>
      <c r="E34" s="34">
        <f t="shared" si="12"/>
        <v>12.030880928039551</v>
      </c>
      <c r="F34" s="34">
        <f t="shared" si="13"/>
        <v>2.3897032069818353E-4</v>
      </c>
      <c r="G34" s="166"/>
      <c r="H34" s="166"/>
    </row>
    <row r="35" spans="1:8" x14ac:dyDescent="0.35">
      <c r="A35" s="164" t="s">
        <v>80</v>
      </c>
      <c r="B35" s="35" t="s">
        <v>74</v>
      </c>
      <c r="C35" s="36">
        <v>27.541255950927734</v>
      </c>
      <c r="D35" s="36">
        <v>15.901312828063965</v>
      </c>
      <c r="E35" s="34">
        <f t="shared" si="12"/>
        <v>11.63994312286377</v>
      </c>
      <c r="F35" s="34">
        <f t="shared" si="13"/>
        <v>3.133487540609727E-4</v>
      </c>
      <c r="G35" s="164">
        <f t="shared" ref="G35" si="14">AVERAGE(F35:F37)</f>
        <v>2.8429081671498452E-4</v>
      </c>
      <c r="H35" s="164">
        <f t="shared" ref="H35" si="15">STDEV(F35:F37)/SQRT(3)</f>
        <v>1.4955365986610675E-5</v>
      </c>
    </row>
    <row r="36" spans="1:8" x14ac:dyDescent="0.35">
      <c r="A36" s="165"/>
      <c r="B36" s="35" t="s">
        <v>75</v>
      </c>
      <c r="C36" s="36">
        <v>27.275655746459961</v>
      </c>
      <c r="D36" s="36">
        <v>15.452105522155762</v>
      </c>
      <c r="E36" s="34">
        <f t="shared" si="12"/>
        <v>11.823550224304199</v>
      </c>
      <c r="F36" s="34">
        <f t="shared" si="13"/>
        <v>2.759031934383905E-4</v>
      </c>
      <c r="G36" s="165"/>
      <c r="H36" s="165"/>
    </row>
    <row r="37" spans="1:8" x14ac:dyDescent="0.35">
      <c r="A37" s="166"/>
      <c r="B37" s="35" t="s">
        <v>76</v>
      </c>
      <c r="C37" s="36">
        <v>28.02947998046875</v>
      </c>
      <c r="D37" s="36">
        <v>16.140230178833008</v>
      </c>
      <c r="E37" s="34">
        <f t="shared" si="12"/>
        <v>11.889249801635742</v>
      </c>
      <c r="F37" s="34">
        <f t="shared" si="13"/>
        <v>2.6362050264559041E-4</v>
      </c>
      <c r="G37" s="166"/>
      <c r="H37" s="166"/>
    </row>
    <row r="39" spans="1:8" x14ac:dyDescent="0.35">
      <c r="A39" s="168" t="s">
        <v>83</v>
      </c>
      <c r="B39" s="168"/>
      <c r="C39" s="168"/>
      <c r="D39" s="168"/>
      <c r="E39" s="168"/>
      <c r="F39" s="168"/>
      <c r="G39" s="168"/>
      <c r="H39" s="168"/>
    </row>
    <row r="40" spans="1:8" x14ac:dyDescent="0.35">
      <c r="A40" s="33" t="s">
        <v>8</v>
      </c>
      <c r="B40" s="34"/>
      <c r="C40" s="33" t="s">
        <v>7</v>
      </c>
      <c r="D40" s="33" t="s">
        <v>6</v>
      </c>
      <c r="E40" s="33" t="s">
        <v>5</v>
      </c>
      <c r="F40" s="33" t="s">
        <v>4</v>
      </c>
      <c r="G40" s="33" t="s">
        <v>3</v>
      </c>
      <c r="H40" s="33" t="s">
        <v>72</v>
      </c>
    </row>
    <row r="41" spans="1:8" x14ac:dyDescent="0.35">
      <c r="A41" s="167" t="s">
        <v>73</v>
      </c>
      <c r="B41" s="35" t="s">
        <v>2</v>
      </c>
      <c r="C41">
        <v>29.204530715942383</v>
      </c>
      <c r="D41" s="36">
        <v>16.198989868164063</v>
      </c>
      <c r="E41" s="34">
        <f t="shared" ref="E41:E49" si="16">C41-D41</f>
        <v>13.00554084777832</v>
      </c>
      <c r="F41" s="34">
        <f t="shared" ref="F41:F49" si="17">2^-E41</f>
        <v>1.2160238558891601E-4</v>
      </c>
      <c r="G41" s="164">
        <f>AVERAGE(F42:F43)</f>
        <v>4.9819004337618559E-4</v>
      </c>
      <c r="H41" s="164">
        <f>STDEV(F42:F43)/SQRT(3)</f>
        <v>5.6731484478903978E-5</v>
      </c>
    </row>
    <row r="42" spans="1:8" x14ac:dyDescent="0.35">
      <c r="A42" s="167"/>
      <c r="B42" s="35" t="s">
        <v>1</v>
      </c>
      <c r="C42">
        <v>30.643241882324219</v>
      </c>
      <c r="D42" s="36">
        <v>19.860586166381836</v>
      </c>
      <c r="E42" s="34">
        <f t="shared" si="16"/>
        <v>10.782655715942383</v>
      </c>
      <c r="F42" s="34">
        <f t="shared" si="17"/>
        <v>5.6767163803815481E-4</v>
      </c>
      <c r="G42" s="165"/>
      <c r="H42" s="165"/>
    </row>
    <row r="43" spans="1:8" x14ac:dyDescent="0.35">
      <c r="A43" s="167"/>
      <c r="B43" s="35" t="s">
        <v>0</v>
      </c>
      <c r="C43">
        <v>27.38670539855957</v>
      </c>
      <c r="D43" s="36">
        <v>16.198989868164063</v>
      </c>
      <c r="E43" s="34">
        <f t="shared" si="16"/>
        <v>11.187715530395508</v>
      </c>
      <c r="F43" s="34">
        <f t="shared" si="17"/>
        <v>4.2870844871421647E-4</v>
      </c>
      <c r="G43" s="166"/>
      <c r="H43" s="166"/>
    </row>
    <row r="44" spans="1:8" x14ac:dyDescent="0.35">
      <c r="A44" s="167" t="s">
        <v>81</v>
      </c>
      <c r="B44" s="35" t="s">
        <v>74</v>
      </c>
      <c r="C44">
        <v>28.156042098999023</v>
      </c>
      <c r="D44" s="36">
        <v>14.494866371154785</v>
      </c>
      <c r="E44" s="34">
        <f t="shared" si="16"/>
        <v>13.661175727844238</v>
      </c>
      <c r="F44" s="34">
        <f t="shared" si="17"/>
        <v>7.719271745333962E-5</v>
      </c>
      <c r="G44" s="164">
        <f>AVERAGE(F44:F45)</f>
        <v>2.2673053467897955E-3</v>
      </c>
      <c r="H44" s="164">
        <f>STDEV(F44:F45)/SQRT(3)</f>
        <v>1.7882194736998482E-3</v>
      </c>
    </row>
    <row r="45" spans="1:8" x14ac:dyDescent="0.35">
      <c r="A45" s="167"/>
      <c r="B45" s="35" t="s">
        <v>75</v>
      </c>
      <c r="C45">
        <v>25.728891372680664</v>
      </c>
      <c r="D45" s="36">
        <v>17.919315338134766</v>
      </c>
      <c r="E45" s="34">
        <f t="shared" si="16"/>
        <v>7.8095760345458984</v>
      </c>
      <c r="F45" s="34">
        <f t="shared" si="17"/>
        <v>4.457417976126251E-3</v>
      </c>
      <c r="G45" s="165"/>
      <c r="H45" s="165"/>
    </row>
    <row r="46" spans="1:8" x14ac:dyDescent="0.35">
      <c r="A46" s="167"/>
      <c r="B46" s="35" t="s">
        <v>76</v>
      </c>
      <c r="C46">
        <v>28.984668731689453</v>
      </c>
      <c r="D46" s="36">
        <v>15.901312828063965</v>
      </c>
      <c r="E46" s="34">
        <f t="shared" si="16"/>
        <v>13.083355903625488</v>
      </c>
      <c r="F46" s="34">
        <f t="shared" si="17"/>
        <v>1.1521722977576576E-4</v>
      </c>
      <c r="G46" s="166"/>
      <c r="H46" s="166"/>
    </row>
    <row r="47" spans="1:8" x14ac:dyDescent="0.35">
      <c r="A47" s="164" t="s">
        <v>80</v>
      </c>
      <c r="B47" s="35" t="s">
        <v>74</v>
      </c>
      <c r="C47">
        <v>26.939260482788086</v>
      </c>
      <c r="D47" s="36">
        <v>15.901312828063965</v>
      </c>
      <c r="E47" s="34">
        <f t="shared" si="16"/>
        <v>11.037947654724121</v>
      </c>
      <c r="F47" s="34">
        <f t="shared" si="17"/>
        <v>4.7560527781354559E-4</v>
      </c>
      <c r="G47" s="164">
        <f t="shared" ref="G47" si="18">AVERAGE(F47:F49)</f>
        <v>4.7128724071306615E-4</v>
      </c>
      <c r="H47" s="164">
        <f t="shared" ref="H47" si="19">STDEV(F47:F49)/SQRT(3)</f>
        <v>4.0164240175030434E-5</v>
      </c>
    </row>
    <row r="48" spans="1:8" x14ac:dyDescent="0.35">
      <c r="A48" s="165"/>
      <c r="B48" s="35" t="s">
        <v>75</v>
      </c>
      <c r="C48">
        <v>26.310619354248047</v>
      </c>
      <c r="D48" s="36">
        <v>15.452105522155762</v>
      </c>
      <c r="E48" s="34">
        <f t="shared" si="16"/>
        <v>10.858513832092285</v>
      </c>
      <c r="F48" s="34">
        <f t="shared" si="17"/>
        <v>5.3859414534255352E-4</v>
      </c>
      <c r="G48" s="165"/>
      <c r="H48" s="165"/>
    </row>
    <row r="49" spans="1:8" x14ac:dyDescent="0.35">
      <c r="A49" s="166"/>
      <c r="B49" s="35" t="s">
        <v>76</v>
      </c>
      <c r="C49">
        <v>27.429161071777344</v>
      </c>
      <c r="D49" s="36">
        <v>16.140230178833008</v>
      </c>
      <c r="E49" s="34">
        <f t="shared" si="16"/>
        <v>11.288930892944336</v>
      </c>
      <c r="F49" s="34">
        <f t="shared" si="17"/>
        <v>3.996622989830993E-4</v>
      </c>
      <c r="G49" s="166"/>
      <c r="H49" s="166"/>
    </row>
  </sheetData>
  <mergeCells count="41">
    <mergeCell ref="H8:H10"/>
    <mergeCell ref="A11:A13"/>
    <mergeCell ref="H44:H46"/>
    <mergeCell ref="A1:H1"/>
    <mergeCell ref="A3:H3"/>
    <mergeCell ref="A5:A7"/>
    <mergeCell ref="G5:G7"/>
    <mergeCell ref="H5:H7"/>
    <mergeCell ref="A8:A10"/>
    <mergeCell ref="G8:G10"/>
    <mergeCell ref="H23:H25"/>
    <mergeCell ref="A27:H27"/>
    <mergeCell ref="A29:A31"/>
    <mergeCell ref="G29:G31"/>
    <mergeCell ref="H29:H31"/>
    <mergeCell ref="A32:A34"/>
    <mergeCell ref="G11:G13"/>
    <mergeCell ref="H11:H13"/>
    <mergeCell ref="A15:H15"/>
    <mergeCell ref="A20:A22"/>
    <mergeCell ref="G20:G22"/>
    <mergeCell ref="H20:H22"/>
    <mergeCell ref="A17:A19"/>
    <mergeCell ref="G17:G19"/>
    <mergeCell ref="H17:H19"/>
    <mergeCell ref="H47:H49"/>
    <mergeCell ref="A23:A25"/>
    <mergeCell ref="G23:G25"/>
    <mergeCell ref="G35:G37"/>
    <mergeCell ref="A47:A49"/>
    <mergeCell ref="G47:G49"/>
    <mergeCell ref="G44:G46"/>
    <mergeCell ref="A35:A37"/>
    <mergeCell ref="A44:A46"/>
    <mergeCell ref="H35:H37"/>
    <mergeCell ref="G32:G34"/>
    <mergeCell ref="A39:H39"/>
    <mergeCell ref="A41:A43"/>
    <mergeCell ref="G41:G43"/>
    <mergeCell ref="H41:H43"/>
    <mergeCell ref="H32:H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94AB9-2BCF-4A44-BDBA-2D9E5DB23479}">
  <dimension ref="A1:H64"/>
  <sheetViews>
    <sheetView topLeftCell="A51" zoomScale="130" zoomScaleNormal="130" workbookViewId="0">
      <selection activeCell="D56" sqref="D56:D64"/>
    </sheetView>
  </sheetViews>
  <sheetFormatPr defaultRowHeight="14.5" x14ac:dyDescent="0.35"/>
  <sheetData>
    <row r="1" spans="1:8" ht="21" x14ac:dyDescent="0.5">
      <c r="A1" s="163" t="s">
        <v>138</v>
      </c>
      <c r="B1" s="163"/>
      <c r="C1" s="163"/>
      <c r="D1" s="163"/>
      <c r="E1" s="163"/>
      <c r="F1" s="163"/>
      <c r="G1" s="163"/>
      <c r="H1" s="163"/>
    </row>
    <row r="3" spans="1:8" x14ac:dyDescent="0.35">
      <c r="A3" s="168" t="s">
        <v>132</v>
      </c>
      <c r="B3" s="168"/>
      <c r="C3" s="168"/>
      <c r="D3" s="168"/>
      <c r="E3" s="168"/>
      <c r="F3" s="168"/>
      <c r="G3" s="168"/>
      <c r="H3" s="168"/>
    </row>
    <row r="4" spans="1:8" x14ac:dyDescent="0.35">
      <c r="A4" s="33" t="s">
        <v>8</v>
      </c>
      <c r="B4" s="34"/>
      <c r="C4" s="33" t="s">
        <v>7</v>
      </c>
      <c r="D4" s="33" t="s">
        <v>6</v>
      </c>
      <c r="E4" s="33" t="s">
        <v>5</v>
      </c>
      <c r="F4" s="33" t="s">
        <v>4</v>
      </c>
      <c r="G4" s="33" t="s">
        <v>3</v>
      </c>
      <c r="H4" s="33" t="s">
        <v>72</v>
      </c>
    </row>
    <row r="5" spans="1:8" x14ac:dyDescent="0.35">
      <c r="A5" s="164" t="s">
        <v>11</v>
      </c>
      <c r="B5" s="35" t="s">
        <v>2</v>
      </c>
      <c r="C5">
        <v>22.253936767578125</v>
      </c>
      <c r="D5">
        <v>13.062341690063477</v>
      </c>
      <c r="E5" s="34">
        <f t="shared" ref="E5:E10" si="0">C5-D5</f>
        <v>9.1915950775146484</v>
      </c>
      <c r="F5" s="34">
        <f t="shared" ref="F5:F10" si="1">2^-E5</f>
        <v>1.710228634827146E-3</v>
      </c>
      <c r="G5" s="164">
        <f>AVERAGE(F6:F7)</f>
        <v>8.6199119700576239E-4</v>
      </c>
      <c r="H5" s="164">
        <f>STDEV(F6:F7)/SQRT(3)</f>
        <v>9.9857925987871209E-5</v>
      </c>
    </row>
    <row r="6" spans="1:8" x14ac:dyDescent="0.35">
      <c r="A6" s="165"/>
      <c r="B6" s="35" t="s">
        <v>1</v>
      </c>
      <c r="C6">
        <v>23.295114517211914</v>
      </c>
      <c r="D6">
        <v>13.306488037109375</v>
      </c>
      <c r="E6" s="34">
        <f t="shared" si="0"/>
        <v>9.9886264801025391</v>
      </c>
      <c r="F6" s="34">
        <f t="shared" si="1"/>
        <v>9.8429167972720853E-4</v>
      </c>
      <c r="G6" s="165"/>
      <c r="H6" s="165"/>
    </row>
    <row r="7" spans="1:8" x14ac:dyDescent="0.35">
      <c r="A7" s="166"/>
      <c r="B7" s="35" t="s">
        <v>0</v>
      </c>
      <c r="C7">
        <v>26.223182678222656</v>
      </c>
      <c r="D7">
        <v>15.822392463684082</v>
      </c>
      <c r="E7" s="34">
        <f t="shared" si="0"/>
        <v>10.400790214538574</v>
      </c>
      <c r="F7" s="34">
        <f t="shared" si="1"/>
        <v>7.3969071428431625E-4</v>
      </c>
      <c r="G7" s="166"/>
      <c r="H7" s="166"/>
    </row>
    <row r="8" spans="1:8" x14ac:dyDescent="0.35">
      <c r="A8" s="164" t="s">
        <v>48</v>
      </c>
      <c r="B8" s="35" t="s">
        <v>2</v>
      </c>
      <c r="C8">
        <v>26.887779235839844</v>
      </c>
      <c r="D8">
        <v>14.42697811126709</v>
      </c>
      <c r="E8" s="34">
        <f t="shared" si="0"/>
        <v>12.460801124572754</v>
      </c>
      <c r="F8" s="34">
        <f t="shared" si="1"/>
        <v>1.7738834894096795E-4</v>
      </c>
      <c r="G8" s="164">
        <f>AVERAGE(F8:F10)</f>
        <v>1.8482341906313017E-4</v>
      </c>
      <c r="H8" s="164">
        <f>STDEV(F8:F10)/SQRT(3)</f>
        <v>2.7062725731263089E-5</v>
      </c>
    </row>
    <row r="9" spans="1:8" x14ac:dyDescent="0.35">
      <c r="A9" s="165"/>
      <c r="B9" s="35" t="s">
        <v>1</v>
      </c>
      <c r="C9">
        <v>25.952167510986328</v>
      </c>
      <c r="D9">
        <v>13.89693546295166</v>
      </c>
      <c r="E9" s="34">
        <f t="shared" si="0"/>
        <v>12.055232048034668</v>
      </c>
      <c r="F9" s="34">
        <f t="shared" si="1"/>
        <v>2.3497061243897389E-4</v>
      </c>
      <c r="G9" s="165"/>
      <c r="H9" s="165"/>
    </row>
    <row r="10" spans="1:8" x14ac:dyDescent="0.35">
      <c r="A10" s="166"/>
      <c r="B10" s="35" t="s">
        <v>0</v>
      </c>
      <c r="C10">
        <v>26.523645401000977</v>
      </c>
      <c r="D10">
        <v>13.742954254150391</v>
      </c>
      <c r="E10" s="34">
        <f t="shared" si="0"/>
        <v>12.780691146850586</v>
      </c>
      <c r="F10" s="34">
        <f t="shared" si="1"/>
        <v>1.4211129580944865E-4</v>
      </c>
      <c r="G10" s="166"/>
      <c r="H10" s="166"/>
    </row>
    <row r="12" spans="1:8" x14ac:dyDescent="0.35">
      <c r="A12" s="168" t="s">
        <v>134</v>
      </c>
      <c r="B12" s="168"/>
      <c r="C12" s="168"/>
      <c r="D12" s="168"/>
      <c r="E12" s="168"/>
      <c r="F12" s="168"/>
      <c r="G12" s="168"/>
      <c r="H12" s="168"/>
    </row>
    <row r="13" spans="1:8" x14ac:dyDescent="0.35">
      <c r="A13" s="33" t="s">
        <v>8</v>
      </c>
      <c r="B13" s="34"/>
      <c r="C13" s="33" t="s">
        <v>7</v>
      </c>
      <c r="D13" s="33" t="s">
        <v>6</v>
      </c>
      <c r="E13" s="33" t="s">
        <v>5</v>
      </c>
      <c r="F13" s="33" t="s">
        <v>4</v>
      </c>
      <c r="G13" s="33" t="s">
        <v>3</v>
      </c>
      <c r="H13" s="33" t="s">
        <v>72</v>
      </c>
    </row>
    <row r="14" spans="1:8" x14ac:dyDescent="0.35">
      <c r="A14" s="164" t="s">
        <v>11</v>
      </c>
      <c r="B14" s="35" t="s">
        <v>2</v>
      </c>
      <c r="C14">
        <v>20.221458435058594</v>
      </c>
      <c r="D14">
        <v>13.062341690063477</v>
      </c>
      <c r="E14" s="34">
        <f t="shared" ref="E14:E19" si="2">C14-D14</f>
        <v>7.1591167449951172</v>
      </c>
      <c r="F14" s="34">
        <f t="shared" ref="F14:F19" si="3">2^-E14</f>
        <v>6.996665594251595E-3</v>
      </c>
      <c r="G14" s="164">
        <f>AVERAGE(F14:F16)</f>
        <v>5.705736778021918E-3</v>
      </c>
      <c r="H14" s="164">
        <f>STDEV(F14:F16)/SQRT(3)</f>
        <v>6.8699646932690432E-4</v>
      </c>
    </row>
    <row r="15" spans="1:8" x14ac:dyDescent="0.35">
      <c r="A15" s="165"/>
      <c r="B15" s="35" t="s">
        <v>1</v>
      </c>
      <c r="C15">
        <v>20.821331024169922</v>
      </c>
      <c r="D15">
        <v>13.306488037109375</v>
      </c>
      <c r="E15" s="34">
        <f t="shared" si="2"/>
        <v>7.5148429870605469</v>
      </c>
      <c r="F15" s="34">
        <f t="shared" si="3"/>
        <v>5.4677273246858619E-3</v>
      </c>
      <c r="G15" s="165"/>
      <c r="H15" s="165"/>
    </row>
    <row r="16" spans="1:8" x14ac:dyDescent="0.35">
      <c r="A16" s="166"/>
      <c r="B16" s="35" t="s">
        <v>0</v>
      </c>
      <c r="C16">
        <v>23.570072174072266</v>
      </c>
      <c r="D16">
        <v>15.822392463684082</v>
      </c>
      <c r="E16" s="34">
        <f t="shared" si="2"/>
        <v>7.7476797103881836</v>
      </c>
      <c r="F16" s="34">
        <f t="shared" si="3"/>
        <v>4.6528174151282964E-3</v>
      </c>
      <c r="G16" s="166"/>
      <c r="H16" s="166"/>
    </row>
    <row r="17" spans="1:8" x14ac:dyDescent="0.35">
      <c r="A17" s="164" t="s">
        <v>48</v>
      </c>
      <c r="B17" s="35" t="s">
        <v>2</v>
      </c>
      <c r="C17">
        <v>24.346019744873047</v>
      </c>
      <c r="D17">
        <v>14.42697811126709</v>
      </c>
      <c r="E17" s="34">
        <f t="shared" si="2"/>
        <v>9.919041633605957</v>
      </c>
      <c r="F17" s="34">
        <f t="shared" si="3"/>
        <v>1.0329301164574874E-3</v>
      </c>
      <c r="G17" s="164">
        <f>AVERAGE(F17:F19)</f>
        <v>9.5258810873574717E-4</v>
      </c>
      <c r="H17" s="164">
        <f>STDEV(F17:F19)/SQRT(3)</f>
        <v>9.4149471144963005E-5</v>
      </c>
    </row>
    <row r="18" spans="1:8" x14ac:dyDescent="0.35">
      <c r="A18" s="165"/>
      <c r="B18" s="35" t="s">
        <v>1</v>
      </c>
      <c r="C18">
        <v>23.778791427612305</v>
      </c>
      <c r="D18">
        <v>13.89693546295166</v>
      </c>
      <c r="E18" s="34">
        <f t="shared" si="2"/>
        <v>9.8818559646606445</v>
      </c>
      <c r="F18" s="34">
        <f t="shared" si="3"/>
        <v>1.0599001211752583E-3</v>
      </c>
      <c r="G18" s="165"/>
      <c r="H18" s="165"/>
    </row>
    <row r="19" spans="1:8" x14ac:dyDescent="0.35">
      <c r="A19" s="166"/>
      <c r="B19" s="35" t="s">
        <v>0</v>
      </c>
      <c r="C19">
        <v>24.095331192016602</v>
      </c>
      <c r="D19">
        <v>13.742954254150391</v>
      </c>
      <c r="E19" s="34">
        <f t="shared" si="2"/>
        <v>10.352376937866211</v>
      </c>
      <c r="F19" s="34">
        <f t="shared" si="3"/>
        <v>7.6493408857449571E-4</v>
      </c>
      <c r="G19" s="166"/>
      <c r="H19" s="166"/>
    </row>
    <row r="21" spans="1:8" x14ac:dyDescent="0.35">
      <c r="A21" s="168" t="s">
        <v>136</v>
      </c>
      <c r="B21" s="168"/>
      <c r="C21" s="168"/>
      <c r="D21" s="168"/>
      <c r="E21" s="168"/>
      <c r="F21" s="168"/>
      <c r="G21" s="168"/>
      <c r="H21" s="168"/>
    </row>
    <row r="22" spans="1:8" x14ac:dyDescent="0.35">
      <c r="A22" s="33" t="s">
        <v>8</v>
      </c>
      <c r="B22" s="34"/>
      <c r="C22" s="33" t="s">
        <v>7</v>
      </c>
      <c r="D22" s="33" t="s">
        <v>6</v>
      </c>
      <c r="E22" s="33" t="s">
        <v>5</v>
      </c>
      <c r="F22" s="33" t="s">
        <v>4</v>
      </c>
      <c r="G22" s="33" t="s">
        <v>3</v>
      </c>
      <c r="H22" s="33" t="s">
        <v>72</v>
      </c>
    </row>
    <row r="23" spans="1:8" x14ac:dyDescent="0.35">
      <c r="A23" s="164" t="s">
        <v>11</v>
      </c>
      <c r="B23" s="35" t="s">
        <v>2</v>
      </c>
      <c r="C23" s="47">
        <v>26.8500899575488</v>
      </c>
      <c r="D23">
        <v>13.062341690063477</v>
      </c>
      <c r="E23" s="34">
        <f t="shared" ref="E23:E28" si="4">C23-D23</f>
        <v>13.787748267485323</v>
      </c>
      <c r="F23" s="34">
        <f t="shared" ref="F23:F28" si="5">2^-E23</f>
        <v>7.0708919168462766E-5</v>
      </c>
      <c r="G23" s="164">
        <f>AVERAGE(F24:F25)</f>
        <v>6.1591827707395202E-4</v>
      </c>
      <c r="H23" s="164">
        <f>STDEV(F24:F25)/SQRT(3)</f>
        <v>1.0105977179533635E-4</v>
      </c>
    </row>
    <row r="24" spans="1:8" x14ac:dyDescent="0.35">
      <c r="A24" s="165"/>
      <c r="B24" s="35" t="s">
        <v>1</v>
      </c>
      <c r="C24">
        <v>24.2951145172119</v>
      </c>
      <c r="D24">
        <v>13.306488037109375</v>
      </c>
      <c r="E24" s="34">
        <f t="shared" si="4"/>
        <v>10.988626480102525</v>
      </c>
      <c r="F24" s="34">
        <f t="shared" si="5"/>
        <v>4.9214583986360947E-4</v>
      </c>
      <c r="G24" s="165"/>
      <c r="H24" s="165"/>
    </row>
    <row r="25" spans="1:8" x14ac:dyDescent="0.35">
      <c r="A25" s="166"/>
      <c r="B25" s="35" t="s">
        <v>0</v>
      </c>
      <c r="C25">
        <v>26.223182678222699</v>
      </c>
      <c r="D25">
        <v>15.822392463684082</v>
      </c>
      <c r="E25" s="34">
        <f t="shared" si="4"/>
        <v>10.400790214538617</v>
      </c>
      <c r="F25" s="34">
        <f t="shared" si="5"/>
        <v>7.3969071428429457E-4</v>
      </c>
      <c r="G25" s="166"/>
      <c r="H25" s="166"/>
    </row>
    <row r="26" spans="1:8" x14ac:dyDescent="0.35">
      <c r="A26" s="164" t="s">
        <v>48</v>
      </c>
      <c r="B26" s="35" t="s">
        <v>2</v>
      </c>
      <c r="C26">
        <v>24.887779235839801</v>
      </c>
      <c r="D26">
        <v>14.42697811126709</v>
      </c>
      <c r="E26" s="34">
        <f t="shared" si="4"/>
        <v>10.460801124572711</v>
      </c>
      <c r="F26" s="34">
        <f t="shared" si="5"/>
        <v>7.0955339576389337E-4</v>
      </c>
      <c r="G26" s="164">
        <f>AVERAGE(F26:F28)</f>
        <v>7.7212832903914041E-4</v>
      </c>
      <c r="H26" s="164">
        <f>STDEV(F26:F28)/SQRT(3)</f>
        <v>1.950572617423318E-4</v>
      </c>
    </row>
    <row r="27" spans="1:8" x14ac:dyDescent="0.35">
      <c r="A27" s="165"/>
      <c r="B27" s="35" t="s">
        <v>1</v>
      </c>
      <c r="C27">
        <v>24.9521675109863</v>
      </c>
      <c r="D27">
        <v>13.89693546295166</v>
      </c>
      <c r="E27" s="34">
        <f t="shared" si="4"/>
        <v>11.05523204803464</v>
      </c>
      <c r="F27" s="34">
        <f t="shared" si="5"/>
        <v>4.69941224877957E-4</v>
      </c>
      <c r="G27" s="165"/>
      <c r="H27" s="165"/>
    </row>
    <row r="28" spans="1:8" x14ac:dyDescent="0.35">
      <c r="A28" s="166"/>
      <c r="B28" s="35" t="s">
        <v>0</v>
      </c>
      <c r="C28">
        <v>23.523645401001001</v>
      </c>
      <c r="D28">
        <v>13.742954254150391</v>
      </c>
      <c r="E28" s="34">
        <f t="shared" si="4"/>
        <v>9.7806911468506108</v>
      </c>
      <c r="F28" s="34">
        <f t="shared" si="5"/>
        <v>1.1368903664755706E-3</v>
      </c>
      <c r="G28" s="166"/>
      <c r="H28" s="166"/>
    </row>
    <row r="30" spans="1:8" x14ac:dyDescent="0.35">
      <c r="A30" s="168" t="s">
        <v>137</v>
      </c>
      <c r="B30" s="168"/>
      <c r="C30" s="168"/>
      <c r="D30" s="168"/>
      <c r="E30" s="168"/>
      <c r="F30" s="168"/>
      <c r="G30" s="168"/>
      <c r="H30" s="168"/>
    </row>
    <row r="31" spans="1:8" x14ac:dyDescent="0.35">
      <c r="A31" s="33" t="s">
        <v>8</v>
      </c>
      <c r="B31" s="34"/>
      <c r="C31" s="33" t="s">
        <v>7</v>
      </c>
      <c r="D31" s="33" t="s">
        <v>6</v>
      </c>
      <c r="E31" s="33" t="s">
        <v>5</v>
      </c>
      <c r="F31" s="33" t="s">
        <v>4</v>
      </c>
      <c r="G31" s="33" t="s">
        <v>3</v>
      </c>
      <c r="H31" s="33" t="s">
        <v>72</v>
      </c>
    </row>
    <row r="32" spans="1:8" x14ac:dyDescent="0.35">
      <c r="A32" s="164" t="s">
        <v>11</v>
      </c>
      <c r="B32" s="35" t="s">
        <v>2</v>
      </c>
      <c r="C32" s="47">
        <v>22.8500899575488</v>
      </c>
      <c r="D32">
        <v>13.062341690063477</v>
      </c>
      <c r="E32" s="34">
        <f t="shared" ref="E32:E37" si="6">C32-D32</f>
        <v>9.7877482674853233</v>
      </c>
      <c r="F32" s="34">
        <f t="shared" ref="F32:F37" si="7">2^-E32</f>
        <v>1.1313427066954036E-3</v>
      </c>
      <c r="G32" s="164">
        <f>AVERAGE(F33:F34)</f>
        <v>4.9273462165916127E-3</v>
      </c>
      <c r="H32" s="164">
        <f>STDEV(F33:F34)/SQRT(3)</f>
        <v>8.0847817436269004E-4</v>
      </c>
    </row>
    <row r="33" spans="1:8" x14ac:dyDescent="0.35">
      <c r="A33" s="165"/>
      <c r="B33" s="35" t="s">
        <v>1</v>
      </c>
      <c r="C33">
        <v>21.2951145172119</v>
      </c>
      <c r="D33">
        <v>13.306488037109375</v>
      </c>
      <c r="E33" s="34">
        <f t="shared" si="6"/>
        <v>7.9886264801025249</v>
      </c>
      <c r="F33" s="34">
        <f t="shared" si="7"/>
        <v>3.9371667189088732E-3</v>
      </c>
      <c r="G33" s="165"/>
      <c r="H33" s="165"/>
    </row>
    <row r="34" spans="1:8" x14ac:dyDescent="0.35">
      <c r="A34" s="166"/>
      <c r="B34" s="35" t="s">
        <v>0</v>
      </c>
      <c r="C34">
        <v>23.223182678222699</v>
      </c>
      <c r="D34">
        <v>15.822392463684082</v>
      </c>
      <c r="E34" s="34">
        <f t="shared" si="6"/>
        <v>7.4007902145386169</v>
      </c>
      <c r="F34" s="34">
        <f t="shared" si="7"/>
        <v>5.9175257142743522E-3</v>
      </c>
      <c r="G34" s="166"/>
      <c r="H34" s="166"/>
    </row>
    <row r="35" spans="1:8" x14ac:dyDescent="0.35">
      <c r="A35" s="164" t="s">
        <v>48</v>
      </c>
      <c r="B35" s="35" t="s">
        <v>2</v>
      </c>
      <c r="C35">
        <v>22.887779235839801</v>
      </c>
      <c r="D35">
        <v>14.42697811126709</v>
      </c>
      <c r="E35" s="34">
        <f t="shared" si="6"/>
        <v>8.4608011245727113</v>
      </c>
      <c r="F35" s="34">
        <f t="shared" si="7"/>
        <v>2.8382135830555717E-3</v>
      </c>
      <c r="G35" s="164">
        <f>AVERAGE(F35:F37)</f>
        <v>5.2309554379612643E-3</v>
      </c>
      <c r="H35" s="164">
        <f>STDEV(F35:F37)/SQRT(3)</f>
        <v>1.9503032847746065E-3</v>
      </c>
    </row>
    <row r="36" spans="1:8" x14ac:dyDescent="0.35">
      <c r="A36" s="165"/>
      <c r="B36" s="35" t="s">
        <v>1</v>
      </c>
      <c r="C36">
        <v>21.9521675109863</v>
      </c>
      <c r="D36">
        <v>13.89693546295166</v>
      </c>
      <c r="E36" s="34">
        <f t="shared" si="6"/>
        <v>8.0552320480346395</v>
      </c>
      <c r="F36" s="34">
        <f t="shared" si="7"/>
        <v>3.7595297990236569E-3</v>
      </c>
      <c r="G36" s="165"/>
      <c r="H36" s="165"/>
    </row>
    <row r="37" spans="1:8" x14ac:dyDescent="0.35">
      <c r="A37" s="166"/>
      <c r="B37" s="35" t="s">
        <v>0</v>
      </c>
      <c r="C37">
        <v>20.523645401001001</v>
      </c>
      <c r="D37">
        <v>13.742954254150391</v>
      </c>
      <c r="E37" s="34">
        <f t="shared" si="6"/>
        <v>6.7806911468506108</v>
      </c>
      <c r="F37" s="34">
        <f t="shared" si="7"/>
        <v>9.0951229318045664E-3</v>
      </c>
      <c r="G37" s="166"/>
      <c r="H37" s="166"/>
    </row>
    <row r="40" spans="1:8" ht="21" x14ac:dyDescent="0.5">
      <c r="A40" s="163" t="s">
        <v>139</v>
      </c>
      <c r="B40" s="163"/>
      <c r="C40" s="163"/>
      <c r="D40" s="163"/>
      <c r="E40" s="163"/>
      <c r="F40" s="163"/>
      <c r="G40" s="163"/>
      <c r="H40" s="163"/>
    </row>
    <row r="41" spans="1:8" x14ac:dyDescent="0.35">
      <c r="A41" s="168" t="s">
        <v>132</v>
      </c>
      <c r="B41" s="168"/>
      <c r="C41" s="168"/>
      <c r="D41" s="168"/>
      <c r="E41" s="168"/>
      <c r="F41" s="168"/>
      <c r="G41" s="168"/>
      <c r="H41" s="168"/>
    </row>
    <row r="42" spans="1:8" x14ac:dyDescent="0.35">
      <c r="A42" s="33" t="s">
        <v>8</v>
      </c>
      <c r="B42" s="34"/>
      <c r="C42" s="33" t="s">
        <v>7</v>
      </c>
      <c r="D42" s="33" t="s">
        <v>6</v>
      </c>
      <c r="E42" s="33" t="s">
        <v>5</v>
      </c>
      <c r="F42" s="33" t="s">
        <v>4</v>
      </c>
      <c r="G42" s="33" t="s">
        <v>3</v>
      </c>
      <c r="H42" s="33" t="s">
        <v>72</v>
      </c>
    </row>
    <row r="43" spans="1:8" x14ac:dyDescent="0.35">
      <c r="A43" s="164" t="s">
        <v>73</v>
      </c>
      <c r="B43" s="35" t="s">
        <v>2</v>
      </c>
      <c r="C43">
        <v>22.253936767578125</v>
      </c>
      <c r="D43">
        <v>13.062341690063477</v>
      </c>
      <c r="E43" s="34">
        <f t="shared" ref="E43:E51" si="8">C43-D43</f>
        <v>9.1915950775146484</v>
      </c>
      <c r="F43" s="34">
        <f t="shared" ref="F43:F51" si="9">2^-E43</f>
        <v>1.710228634827146E-3</v>
      </c>
      <c r="G43" s="164">
        <f>AVERAGE(F44:F45)</f>
        <v>8.6199119700576239E-4</v>
      </c>
      <c r="H43" s="164">
        <f>STDEV(F44:F45)/SQRT(3)</f>
        <v>9.9857925987871209E-5</v>
      </c>
    </row>
    <row r="44" spans="1:8" x14ac:dyDescent="0.35">
      <c r="A44" s="165"/>
      <c r="B44" s="35" t="s">
        <v>1</v>
      </c>
      <c r="C44">
        <v>23.295114517211914</v>
      </c>
      <c r="D44">
        <v>13.306488037109375</v>
      </c>
      <c r="E44" s="34">
        <f t="shared" si="8"/>
        <v>9.9886264801025391</v>
      </c>
      <c r="F44" s="34">
        <f t="shared" si="9"/>
        <v>9.8429167972720853E-4</v>
      </c>
      <c r="G44" s="165"/>
      <c r="H44" s="165"/>
    </row>
    <row r="45" spans="1:8" x14ac:dyDescent="0.35">
      <c r="A45" s="166"/>
      <c r="B45" s="35" t="s">
        <v>0</v>
      </c>
      <c r="C45">
        <v>26.223182678222656</v>
      </c>
      <c r="D45">
        <v>15.822392463684082</v>
      </c>
      <c r="E45" s="34">
        <f t="shared" si="8"/>
        <v>10.400790214538574</v>
      </c>
      <c r="F45" s="34">
        <f t="shared" si="9"/>
        <v>7.3969071428431625E-4</v>
      </c>
      <c r="G45" s="166"/>
      <c r="H45" s="166"/>
    </row>
    <row r="46" spans="1:8" x14ac:dyDescent="0.35">
      <c r="A46" s="167" t="s">
        <v>133</v>
      </c>
      <c r="B46" s="35" t="s">
        <v>74</v>
      </c>
      <c r="C46">
        <v>26.231937408447266</v>
      </c>
      <c r="D46">
        <v>15.754693984985352</v>
      </c>
      <c r="E46" s="34">
        <f t="shared" si="8"/>
        <v>10.477243423461914</v>
      </c>
      <c r="F46" s="34">
        <f t="shared" si="9"/>
        <v>7.0151257057797446E-4</v>
      </c>
      <c r="G46" s="164">
        <f>AVERAGE(F47:F48)</f>
        <v>2.0282116228107164E-3</v>
      </c>
      <c r="H46" s="164">
        <f>STDEV(F47:F48)/SQRT(3)</f>
        <v>2.7233257017499144E-4</v>
      </c>
    </row>
    <row r="47" spans="1:8" x14ac:dyDescent="0.35">
      <c r="A47" s="167"/>
      <c r="B47" s="35" t="s">
        <v>75</v>
      </c>
      <c r="C47">
        <v>21.988548278808594</v>
      </c>
      <c r="D47">
        <v>13.262619972229004</v>
      </c>
      <c r="E47" s="34">
        <f t="shared" si="8"/>
        <v>8.7259283065795898</v>
      </c>
      <c r="F47" s="34">
        <f t="shared" si="9"/>
        <v>2.3617495414454273E-3</v>
      </c>
      <c r="G47" s="165"/>
      <c r="H47" s="165"/>
    </row>
    <row r="48" spans="1:8" x14ac:dyDescent="0.35">
      <c r="A48" s="167"/>
      <c r="B48" s="35" t="s">
        <v>76</v>
      </c>
      <c r="C48">
        <v>23.124271392822266</v>
      </c>
      <c r="D48">
        <v>13.91949462890625</v>
      </c>
      <c r="E48" s="34">
        <f t="shared" si="8"/>
        <v>9.2047767639160156</v>
      </c>
      <c r="F48" s="34">
        <f t="shared" si="9"/>
        <v>1.6946737041760058E-3</v>
      </c>
      <c r="G48" s="166"/>
      <c r="H48" s="166"/>
    </row>
    <row r="49" spans="1:8" x14ac:dyDescent="0.35">
      <c r="A49" s="164" t="s">
        <v>135</v>
      </c>
      <c r="B49" s="35" t="s">
        <v>74</v>
      </c>
      <c r="C49">
        <v>33.156669616699219</v>
      </c>
      <c r="D49">
        <v>27.888101577758789</v>
      </c>
      <c r="E49" s="34">
        <f t="shared" si="8"/>
        <v>5.2685680389404297</v>
      </c>
      <c r="F49" s="34">
        <f t="shared" si="9"/>
        <v>2.594197199001894E-2</v>
      </c>
      <c r="G49" s="164">
        <f>AVERAGE(F49:F51)</f>
        <v>9.3124232540822121E-3</v>
      </c>
      <c r="H49" s="164">
        <f>STDEV(F49:F51)/SQRT(3)</f>
        <v>8.3332744918456908E-3</v>
      </c>
    </row>
    <row r="50" spans="1:8" x14ac:dyDescent="0.35">
      <c r="A50" s="165"/>
      <c r="B50" s="35" t="s">
        <v>75</v>
      </c>
      <c r="C50">
        <v>32.645160675048828</v>
      </c>
      <c r="D50">
        <v>23.649408340454102</v>
      </c>
      <c r="E50" s="34">
        <f t="shared" si="8"/>
        <v>8.9957523345947266</v>
      </c>
      <c r="F50" s="34">
        <f t="shared" si="9"/>
        <v>1.9588839763321746E-3</v>
      </c>
      <c r="G50" s="165"/>
      <c r="H50" s="165"/>
    </row>
    <row r="51" spans="1:8" x14ac:dyDescent="0.35">
      <c r="A51" s="165"/>
      <c r="B51" s="35" t="s">
        <v>76</v>
      </c>
      <c r="C51">
        <v>28.577033996582031</v>
      </c>
      <c r="D51">
        <v>13.831878662109375</v>
      </c>
      <c r="E51" s="34">
        <f t="shared" si="8"/>
        <v>14.745155334472656</v>
      </c>
      <c r="F51" s="34">
        <f t="shared" si="9"/>
        <v>3.6413795895526308E-5</v>
      </c>
      <c r="G51" s="166"/>
      <c r="H51" s="166"/>
    </row>
    <row r="54" spans="1:8" x14ac:dyDescent="0.35">
      <c r="A54" s="168" t="s">
        <v>134</v>
      </c>
      <c r="B54" s="168"/>
      <c r="C54" s="168"/>
      <c r="D54" s="168"/>
      <c r="E54" s="168"/>
      <c r="F54" s="168"/>
      <c r="G54" s="168"/>
      <c r="H54" s="168"/>
    </row>
    <row r="55" spans="1:8" x14ac:dyDescent="0.35">
      <c r="A55" s="33" t="s">
        <v>8</v>
      </c>
      <c r="B55" s="34"/>
      <c r="C55" s="33" t="s">
        <v>7</v>
      </c>
      <c r="D55" s="33" t="s">
        <v>6</v>
      </c>
      <c r="E55" s="33" t="s">
        <v>5</v>
      </c>
      <c r="F55" s="33" t="s">
        <v>4</v>
      </c>
      <c r="G55" s="33" t="s">
        <v>3</v>
      </c>
      <c r="H55" s="33" t="s">
        <v>72</v>
      </c>
    </row>
    <row r="56" spans="1:8" x14ac:dyDescent="0.35">
      <c r="A56" s="164" t="s">
        <v>73</v>
      </c>
      <c r="B56" s="35" t="s">
        <v>2</v>
      </c>
      <c r="C56">
        <v>20.221458435058594</v>
      </c>
      <c r="D56">
        <v>13.062341690063477</v>
      </c>
      <c r="E56" s="34">
        <f t="shared" ref="E56:E64" si="10">C56-D56</f>
        <v>7.1591167449951172</v>
      </c>
      <c r="F56" s="34">
        <f t="shared" ref="F56:F64" si="11">2^-E56</f>
        <v>6.996665594251595E-3</v>
      </c>
      <c r="G56" s="164">
        <f>AVERAGE(F56:F58)</f>
        <v>5.705736778021918E-3</v>
      </c>
      <c r="H56" s="164">
        <f>STDEV(F56:F58)/SQRT(3)</f>
        <v>6.8699646932690432E-4</v>
      </c>
    </row>
    <row r="57" spans="1:8" x14ac:dyDescent="0.35">
      <c r="A57" s="165"/>
      <c r="B57" s="35" t="s">
        <v>1</v>
      </c>
      <c r="C57">
        <v>20.821331024169922</v>
      </c>
      <c r="D57">
        <v>13.306488037109375</v>
      </c>
      <c r="E57" s="34">
        <f t="shared" si="10"/>
        <v>7.5148429870605469</v>
      </c>
      <c r="F57" s="34">
        <f t="shared" si="11"/>
        <v>5.4677273246858619E-3</v>
      </c>
      <c r="G57" s="165"/>
      <c r="H57" s="165"/>
    </row>
    <row r="58" spans="1:8" x14ac:dyDescent="0.35">
      <c r="A58" s="166"/>
      <c r="B58" s="35" t="s">
        <v>0</v>
      </c>
      <c r="C58">
        <v>23.570072174072266</v>
      </c>
      <c r="D58">
        <v>15.822392463684082</v>
      </c>
      <c r="E58" s="34">
        <f t="shared" si="10"/>
        <v>7.7476797103881836</v>
      </c>
      <c r="F58" s="34">
        <f t="shared" si="11"/>
        <v>4.6528174151282964E-3</v>
      </c>
      <c r="G58" s="166"/>
      <c r="H58" s="166"/>
    </row>
    <row r="59" spans="1:8" x14ac:dyDescent="0.35">
      <c r="A59" s="167" t="s">
        <v>133</v>
      </c>
      <c r="B59" s="35" t="s">
        <v>74</v>
      </c>
      <c r="C59">
        <v>22.930530548095703</v>
      </c>
      <c r="D59">
        <v>15.754693984985352</v>
      </c>
      <c r="E59" s="34">
        <f t="shared" si="10"/>
        <v>7.1758365631103516</v>
      </c>
      <c r="F59" s="34">
        <f t="shared" si="11"/>
        <v>6.9160472314768722E-3</v>
      </c>
      <c r="G59" s="164">
        <f>AVERAGE(F59:F61)</f>
        <v>4.5534352926246942E-3</v>
      </c>
      <c r="H59" s="164">
        <f>STDEV(F59:F61)/SQRT(3)</f>
        <v>1.2808629971149343E-3</v>
      </c>
    </row>
    <row r="60" spans="1:8" x14ac:dyDescent="0.35">
      <c r="A60" s="167"/>
      <c r="B60" s="35" t="s">
        <v>75</v>
      </c>
      <c r="C60">
        <v>21.8980827331543</v>
      </c>
      <c r="D60">
        <v>13.262619972229004</v>
      </c>
      <c r="E60" s="34">
        <f t="shared" si="10"/>
        <v>8.6354627609252965</v>
      </c>
      <c r="F60" s="34">
        <f t="shared" si="11"/>
        <v>2.5145870957079637E-3</v>
      </c>
      <c r="G60" s="165"/>
      <c r="H60" s="165"/>
    </row>
    <row r="61" spans="1:8" x14ac:dyDescent="0.35">
      <c r="A61" s="167"/>
      <c r="B61" s="35" t="s">
        <v>76</v>
      </c>
      <c r="C61">
        <v>21.804733276367202</v>
      </c>
      <c r="D61">
        <v>13.91949462890625</v>
      </c>
      <c r="E61" s="34">
        <f t="shared" si="10"/>
        <v>7.8852386474609517</v>
      </c>
      <c r="F61" s="34">
        <f t="shared" si="11"/>
        <v>4.2296715506892485E-3</v>
      </c>
      <c r="G61" s="166"/>
      <c r="H61" s="166"/>
    </row>
    <row r="62" spans="1:8" x14ac:dyDescent="0.35">
      <c r="A62" s="164" t="s">
        <v>135</v>
      </c>
      <c r="B62" s="35" t="s">
        <v>74</v>
      </c>
      <c r="C62">
        <v>21.902309417724599</v>
      </c>
      <c r="D62">
        <v>14.8881015777588</v>
      </c>
      <c r="E62" s="34">
        <f t="shared" si="10"/>
        <v>7.014207839965799</v>
      </c>
      <c r="F62" s="34">
        <f t="shared" si="11"/>
        <v>7.7359391387863911E-3</v>
      </c>
      <c r="G62" s="164">
        <f>AVERAGE(F62:F64)</f>
        <v>4.5181013540866472E-3</v>
      </c>
      <c r="H62" s="164">
        <f>STDEV(F62:F64)/SQRT(3)</f>
        <v>1.7215646185412723E-3</v>
      </c>
    </row>
    <row r="63" spans="1:8" x14ac:dyDescent="0.35">
      <c r="A63" s="165"/>
      <c r="B63" s="35" t="s">
        <v>75</v>
      </c>
      <c r="C63">
        <v>22.626026153564499</v>
      </c>
      <c r="D63">
        <v>14.6494083404541</v>
      </c>
      <c r="E63" s="34">
        <f t="shared" si="10"/>
        <v>7.9766178131103995</v>
      </c>
      <c r="F63" s="34">
        <f t="shared" si="11"/>
        <v>3.9700755765030354E-3</v>
      </c>
      <c r="G63" s="165"/>
      <c r="H63" s="165"/>
    </row>
    <row r="64" spans="1:8" x14ac:dyDescent="0.35">
      <c r="A64" s="165"/>
      <c r="B64" s="35" t="s">
        <v>76</v>
      </c>
      <c r="C64">
        <v>22.911472320556999</v>
      </c>
      <c r="D64">
        <v>13.831878662109375</v>
      </c>
      <c r="E64" s="34">
        <f t="shared" si="10"/>
        <v>9.0795936584476244</v>
      </c>
      <c r="F64" s="34">
        <f t="shared" si="11"/>
        <v>1.848289346970516E-3</v>
      </c>
      <c r="G64" s="166"/>
      <c r="H64" s="166"/>
    </row>
  </sheetData>
  <mergeCells count="50">
    <mergeCell ref="A3:H3"/>
    <mergeCell ref="A5:A7"/>
    <mergeCell ref="G5:G7"/>
    <mergeCell ref="H5:H7"/>
    <mergeCell ref="A8:A10"/>
    <mergeCell ref="G8:G10"/>
    <mergeCell ref="H8:H10"/>
    <mergeCell ref="A12:H12"/>
    <mergeCell ref="A14:A16"/>
    <mergeCell ref="G14:G16"/>
    <mergeCell ref="H14:H16"/>
    <mergeCell ref="A17:A19"/>
    <mergeCell ref="G17:G19"/>
    <mergeCell ref="H17:H19"/>
    <mergeCell ref="A41:H41"/>
    <mergeCell ref="A43:A45"/>
    <mergeCell ref="G43:G45"/>
    <mergeCell ref="H43:H45"/>
    <mergeCell ref="A46:A48"/>
    <mergeCell ref="G46:G48"/>
    <mergeCell ref="H46:H48"/>
    <mergeCell ref="A49:A51"/>
    <mergeCell ref="G49:G51"/>
    <mergeCell ref="H49:H51"/>
    <mergeCell ref="A54:H54"/>
    <mergeCell ref="A56:A58"/>
    <mergeCell ref="G56:G58"/>
    <mergeCell ref="H56:H58"/>
    <mergeCell ref="A59:A61"/>
    <mergeCell ref="A62:A64"/>
    <mergeCell ref="G59:G61"/>
    <mergeCell ref="H59:H61"/>
    <mergeCell ref="G62:G64"/>
    <mergeCell ref="H62:H64"/>
    <mergeCell ref="A1:H1"/>
    <mergeCell ref="A40:H40"/>
    <mergeCell ref="A30:H30"/>
    <mergeCell ref="A32:A34"/>
    <mergeCell ref="G32:G34"/>
    <mergeCell ref="H32:H34"/>
    <mergeCell ref="A35:A37"/>
    <mergeCell ref="G35:G37"/>
    <mergeCell ref="H35:H37"/>
    <mergeCell ref="A21:H21"/>
    <mergeCell ref="A23:A25"/>
    <mergeCell ref="G23:G25"/>
    <mergeCell ref="H23:H25"/>
    <mergeCell ref="A26:A28"/>
    <mergeCell ref="G26:G28"/>
    <mergeCell ref="H26:H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8D5FD-9BE4-4FFF-937E-798CDBDF35EB}">
  <dimension ref="A1:I202"/>
  <sheetViews>
    <sheetView topLeftCell="A174" zoomScale="70" zoomScaleNormal="70" workbookViewId="0">
      <selection activeCell="Y73" sqref="Y73"/>
    </sheetView>
  </sheetViews>
  <sheetFormatPr defaultRowHeight="14.5" x14ac:dyDescent="0.35"/>
  <cols>
    <col min="2" max="2" width="12.36328125" bestFit="1" customWidth="1"/>
  </cols>
  <sheetData>
    <row r="1" spans="1:9" ht="21" x14ac:dyDescent="0.5">
      <c r="A1" s="163" t="s">
        <v>140</v>
      </c>
      <c r="B1" s="163"/>
      <c r="C1" s="163"/>
      <c r="D1" s="163"/>
      <c r="E1" s="163"/>
      <c r="F1" s="163"/>
      <c r="G1" s="163"/>
      <c r="H1" s="163"/>
      <c r="I1" s="163"/>
    </row>
    <row r="3" spans="1:9" x14ac:dyDescent="0.35">
      <c r="B3" s="168" t="s">
        <v>78</v>
      </c>
      <c r="C3" s="168"/>
      <c r="D3" s="168"/>
      <c r="E3" s="168"/>
      <c r="F3" s="168"/>
      <c r="G3" s="168"/>
      <c r="H3" s="168"/>
      <c r="I3" s="168"/>
    </row>
    <row r="4" spans="1:9" x14ac:dyDescent="0.35">
      <c r="B4" s="33" t="s">
        <v>8</v>
      </c>
      <c r="C4" s="34"/>
      <c r="D4" s="33" t="s">
        <v>7</v>
      </c>
      <c r="E4" s="33" t="s">
        <v>6</v>
      </c>
      <c r="F4" s="33" t="s">
        <v>5</v>
      </c>
      <c r="G4" s="33" t="s">
        <v>4</v>
      </c>
      <c r="H4" s="33" t="s">
        <v>3</v>
      </c>
      <c r="I4" s="33" t="s">
        <v>72</v>
      </c>
    </row>
    <row r="5" spans="1:9" x14ac:dyDescent="0.35">
      <c r="A5" s="161" t="s">
        <v>143</v>
      </c>
      <c r="B5" s="189" t="s">
        <v>11</v>
      </c>
      <c r="C5" s="35" t="s">
        <v>2</v>
      </c>
      <c r="D5">
        <v>15.4</v>
      </c>
      <c r="E5">
        <v>13.062341690063477</v>
      </c>
      <c r="F5" s="34">
        <f t="shared" ref="F5:F16" si="0">D5-E5</f>
        <v>2.3376583099365238</v>
      </c>
      <c r="G5" s="34">
        <f t="shared" ref="G5:G16" si="1">2^-F5</f>
        <v>0.19783117438114267</v>
      </c>
      <c r="H5" s="164">
        <f>AVERAGE(G5,G6,G7)</f>
        <v>0.17651309224075959</v>
      </c>
      <c r="I5" s="164">
        <f>STDEV(G5,G7)/SQRT(3)</f>
        <v>1.0735485984248633E-2</v>
      </c>
    </row>
    <row r="6" spans="1:9" x14ac:dyDescent="0.35">
      <c r="A6" s="161"/>
      <c r="B6" s="189"/>
      <c r="C6" s="35" t="s">
        <v>1</v>
      </c>
      <c r="D6">
        <v>16.523</v>
      </c>
      <c r="E6">
        <v>13.306488037109375</v>
      </c>
      <c r="F6" s="34">
        <f t="shared" si="0"/>
        <v>3.2165119628906247</v>
      </c>
      <c r="G6" s="34">
        <f t="shared" si="1"/>
        <v>0.10758046515778379</v>
      </c>
      <c r="H6" s="165"/>
      <c r="I6" s="165"/>
    </row>
    <row r="7" spans="1:9" x14ac:dyDescent="0.35">
      <c r="A7" s="161"/>
      <c r="B7" s="189"/>
      <c r="C7" s="35" t="s">
        <v>0</v>
      </c>
      <c r="D7">
        <v>17.98</v>
      </c>
      <c r="E7">
        <v>15.822392463684082</v>
      </c>
      <c r="F7" s="34">
        <f t="shared" si="0"/>
        <v>2.1576075363159184</v>
      </c>
      <c r="G7" s="34">
        <f t="shared" si="1"/>
        <v>0.22412763718335227</v>
      </c>
      <c r="H7" s="166"/>
      <c r="I7" s="166"/>
    </row>
    <row r="8" spans="1:9" x14ac:dyDescent="0.35">
      <c r="A8" s="161"/>
      <c r="B8" s="189" t="s">
        <v>141</v>
      </c>
      <c r="C8" s="35" t="s">
        <v>74</v>
      </c>
      <c r="D8">
        <v>18.984000000000002</v>
      </c>
      <c r="E8">
        <v>13.062341690063477</v>
      </c>
      <c r="F8" s="34">
        <f t="shared" si="0"/>
        <v>5.9216583099365252</v>
      </c>
      <c r="G8" s="34">
        <f t="shared" si="1"/>
        <v>1.6496933533992703E-2</v>
      </c>
      <c r="H8" s="164">
        <f t="shared" ref="H8" si="2">AVERAGE(G8,G9,G10)</f>
        <v>5.47720997640114E-2</v>
      </c>
      <c r="I8" s="164">
        <f t="shared" ref="I8" si="3">STDEV(G8,G10)/SQRT(3)</f>
        <v>2.986322085388619E-2</v>
      </c>
    </row>
    <row r="9" spans="1:9" x14ac:dyDescent="0.35">
      <c r="A9" s="161"/>
      <c r="B9" s="189"/>
      <c r="C9" s="35" t="s">
        <v>75</v>
      </c>
      <c r="D9">
        <v>17.41</v>
      </c>
      <c r="E9">
        <v>13.306488037109375</v>
      </c>
      <c r="F9" s="34">
        <f t="shared" si="0"/>
        <v>4.1035119628906251</v>
      </c>
      <c r="G9" s="34">
        <f t="shared" si="1"/>
        <v>5.817277905598589E-2</v>
      </c>
      <c r="H9" s="165"/>
      <c r="I9" s="165"/>
    </row>
    <row r="10" spans="1:9" x14ac:dyDescent="0.35">
      <c r="A10" s="161"/>
      <c r="B10" s="189"/>
      <c r="C10" s="35" t="s">
        <v>76</v>
      </c>
      <c r="D10">
        <v>19.302</v>
      </c>
      <c r="E10">
        <v>15.822392463684082</v>
      </c>
      <c r="F10" s="34">
        <f t="shared" si="0"/>
        <v>3.4796075363159176</v>
      </c>
      <c r="G10" s="34">
        <f t="shared" si="1"/>
        <v>8.9646586702055608E-2</v>
      </c>
      <c r="H10" s="166"/>
      <c r="I10" s="166"/>
    </row>
    <row r="11" spans="1:9" x14ac:dyDescent="0.35">
      <c r="A11" s="161"/>
      <c r="B11" s="190" t="s">
        <v>48</v>
      </c>
      <c r="C11" s="35" t="s">
        <v>74</v>
      </c>
      <c r="D11">
        <v>20.408999999999999</v>
      </c>
      <c r="E11">
        <v>15.754693984985352</v>
      </c>
      <c r="F11" s="34">
        <f t="shared" si="0"/>
        <v>4.6543060150146474</v>
      </c>
      <c r="G11" s="34">
        <f t="shared" si="1"/>
        <v>3.9711316093344273E-2</v>
      </c>
      <c r="H11" s="164">
        <f t="shared" ref="H11" si="4">AVERAGE(G11,G12,G13)</f>
        <v>6.8250714316565708E-2</v>
      </c>
      <c r="I11" s="164">
        <f t="shared" ref="I11" si="5">STDEV(G11,G13)/SQRT(3)</f>
        <v>3.2926959530566194E-2</v>
      </c>
    </row>
    <row r="12" spans="1:9" x14ac:dyDescent="0.35">
      <c r="A12" s="161"/>
      <c r="B12" s="191"/>
      <c r="C12" s="35" t="s">
        <v>75</v>
      </c>
      <c r="D12">
        <v>17.747</v>
      </c>
      <c r="E12">
        <v>13.262619972229004</v>
      </c>
      <c r="F12" s="34">
        <f t="shared" si="0"/>
        <v>4.484380027770996</v>
      </c>
      <c r="G12" s="34">
        <f t="shared" si="1"/>
        <v>4.4675261131849893E-2</v>
      </c>
      <c r="H12" s="165"/>
      <c r="I12" s="165"/>
    </row>
    <row r="13" spans="1:9" x14ac:dyDescent="0.35">
      <c r="A13" s="161"/>
      <c r="B13" s="192"/>
      <c r="C13" s="35" t="s">
        <v>76</v>
      </c>
      <c r="D13">
        <v>16.974</v>
      </c>
      <c r="E13">
        <v>13.91949462890625</v>
      </c>
      <c r="F13" s="34">
        <f t="shared" si="0"/>
        <v>3.0545053710937502</v>
      </c>
      <c r="G13" s="34">
        <f t="shared" si="1"/>
        <v>0.12036556572450297</v>
      </c>
      <c r="H13" s="166"/>
      <c r="I13" s="166"/>
    </row>
    <row r="14" spans="1:9" x14ac:dyDescent="0.35">
      <c r="A14" s="161"/>
      <c r="B14" s="190" t="s">
        <v>142</v>
      </c>
      <c r="C14" s="35" t="s">
        <v>74</v>
      </c>
      <c r="D14">
        <v>19.59</v>
      </c>
      <c r="E14">
        <v>14.8881015777588</v>
      </c>
      <c r="F14" s="34">
        <f t="shared" si="0"/>
        <v>4.7018984222412001</v>
      </c>
      <c r="G14" s="34">
        <f t="shared" si="1"/>
        <v>3.8422669782757997E-2</v>
      </c>
      <c r="H14" s="164">
        <f t="shared" ref="H14" si="6">AVERAGE(G14,G15,G16)</f>
        <v>4.5341037334798724E-2</v>
      </c>
      <c r="I14" s="164">
        <f t="shared" ref="I14" si="7">STDEV(G14,G16)/SQRT(3)</f>
        <v>8.7110449519752844E-3</v>
      </c>
    </row>
    <row r="15" spans="1:9" x14ac:dyDescent="0.35">
      <c r="A15" s="161"/>
      <c r="B15" s="191"/>
      <c r="C15" s="35" t="s">
        <v>75</v>
      </c>
      <c r="D15">
        <v>18.283999999999999</v>
      </c>
      <c r="E15">
        <v>14.6494083404541</v>
      </c>
      <c r="F15" s="34">
        <f t="shared" si="0"/>
        <v>3.6345916595458991</v>
      </c>
      <c r="G15" s="34">
        <f t="shared" si="1"/>
        <v>8.0515387697666835E-2</v>
      </c>
      <c r="H15" s="165"/>
      <c r="I15" s="165"/>
    </row>
    <row r="16" spans="1:9" x14ac:dyDescent="0.35">
      <c r="A16" s="161"/>
      <c r="B16" s="192"/>
      <c r="C16" s="35" t="s">
        <v>76</v>
      </c>
      <c r="D16">
        <v>19.702999999999999</v>
      </c>
      <c r="E16">
        <v>13.831878662109375</v>
      </c>
      <c r="F16" s="34">
        <f t="shared" si="0"/>
        <v>5.8711213378906244</v>
      </c>
      <c r="G16" s="34">
        <f t="shared" si="1"/>
        <v>1.7085054523971358E-2</v>
      </c>
      <c r="H16" s="166"/>
      <c r="I16" s="166"/>
    </row>
    <row r="17" spans="1:9" x14ac:dyDescent="0.35">
      <c r="A17" s="161" t="s">
        <v>144</v>
      </c>
      <c r="B17" s="189" t="s">
        <v>11</v>
      </c>
      <c r="C17" s="35" t="s">
        <v>2</v>
      </c>
      <c r="D17">
        <v>13.4</v>
      </c>
      <c r="E17">
        <v>14.0623416900635</v>
      </c>
      <c r="F17" s="34">
        <f t="shared" ref="F17:F28" si="8">D17-E17</f>
        <v>-0.6623416900634993</v>
      </c>
      <c r="G17" s="34">
        <f t="shared" ref="G17:G28" si="9">2^-F17</f>
        <v>1.5826493950491665</v>
      </c>
      <c r="H17" s="164">
        <f>AVERAGE(G17,G18,G19)</f>
        <v>0.8149461048494463</v>
      </c>
      <c r="I17" s="164">
        <f>STDEV(G17,G19)/SQRT(3)</f>
        <v>0.46292000789222382</v>
      </c>
    </row>
    <row r="18" spans="1:9" x14ac:dyDescent="0.35">
      <c r="A18" s="161"/>
      <c r="B18" s="189"/>
      <c r="C18" s="35" t="s">
        <v>1</v>
      </c>
      <c r="D18">
        <v>14.923</v>
      </c>
      <c r="E18">
        <v>13.648810371093999</v>
      </c>
      <c r="F18" s="34">
        <f t="shared" si="8"/>
        <v>1.2741896289060008</v>
      </c>
      <c r="G18" s="34">
        <f t="shared" si="9"/>
        <v>0.41345733551111596</v>
      </c>
      <c r="H18" s="165"/>
      <c r="I18" s="165"/>
    </row>
    <row r="19" spans="1:9" x14ac:dyDescent="0.35">
      <c r="A19" s="161"/>
      <c r="B19" s="189"/>
      <c r="C19" s="35" t="s">
        <v>0</v>
      </c>
      <c r="D19">
        <v>15.38</v>
      </c>
      <c r="E19">
        <v>14.223924636841</v>
      </c>
      <c r="F19" s="34">
        <f t="shared" si="8"/>
        <v>1.1560753631590011</v>
      </c>
      <c r="G19" s="34">
        <f t="shared" si="9"/>
        <v>0.44873158398805624</v>
      </c>
      <c r="H19" s="166"/>
      <c r="I19" s="166"/>
    </row>
    <row r="20" spans="1:9" x14ac:dyDescent="0.35">
      <c r="A20" s="161"/>
      <c r="B20" s="189" t="s">
        <v>141</v>
      </c>
      <c r="C20" s="35" t="s">
        <v>74</v>
      </c>
      <c r="D20">
        <v>14.984</v>
      </c>
      <c r="E20">
        <v>13.062341690063477</v>
      </c>
      <c r="F20" s="34">
        <f t="shared" si="8"/>
        <v>1.9216583099365234</v>
      </c>
      <c r="G20" s="34">
        <f t="shared" si="9"/>
        <v>0.26395093654388363</v>
      </c>
      <c r="H20" s="164">
        <f t="shared" ref="H20" si="10">AVERAGE(G20,G21,G22)</f>
        <v>0.33123780973552602</v>
      </c>
      <c r="I20" s="164">
        <f t="shared" ref="I20" si="11">STDEV(G20,G22)/SQRT(3)</f>
        <v>8.4073937290013501E-2</v>
      </c>
    </row>
    <row r="21" spans="1:9" x14ac:dyDescent="0.35">
      <c r="A21" s="161"/>
      <c r="B21" s="189"/>
      <c r="C21" s="35" t="s">
        <v>75</v>
      </c>
      <c r="D21">
        <v>15.41</v>
      </c>
      <c r="E21">
        <v>13.465880371094</v>
      </c>
      <c r="F21" s="34">
        <f t="shared" si="8"/>
        <v>1.9441196289059999</v>
      </c>
      <c r="G21" s="34">
        <f t="shared" si="9"/>
        <v>0.25987330909152651</v>
      </c>
      <c r="H21" s="165"/>
      <c r="I21" s="165"/>
    </row>
    <row r="22" spans="1:9" x14ac:dyDescent="0.35">
      <c r="A22" s="161"/>
      <c r="B22" s="189"/>
      <c r="C22" s="35" t="s">
        <v>76</v>
      </c>
      <c r="D22">
        <v>16.302</v>
      </c>
      <c r="E22">
        <v>15.2123924636841</v>
      </c>
      <c r="F22" s="34">
        <f t="shared" si="8"/>
        <v>1.0896075363158992</v>
      </c>
      <c r="G22" s="34">
        <f t="shared" si="9"/>
        <v>0.46988918357116799</v>
      </c>
      <c r="H22" s="166"/>
      <c r="I22" s="166"/>
    </row>
    <row r="23" spans="1:9" x14ac:dyDescent="0.35">
      <c r="A23" s="161"/>
      <c r="B23" s="190" t="s">
        <v>48</v>
      </c>
      <c r="C23" s="35" t="s">
        <v>74</v>
      </c>
      <c r="D23">
        <v>15.912000000000001</v>
      </c>
      <c r="E23">
        <v>15.1546939849854</v>
      </c>
      <c r="F23" s="34">
        <f t="shared" si="8"/>
        <v>0.75730601501460093</v>
      </c>
      <c r="G23" s="34">
        <f t="shared" si="9"/>
        <v>0.59160001125047745</v>
      </c>
      <c r="H23" s="164">
        <f t="shared" ref="H23" si="12">AVERAGE(G23,G24,G25)</f>
        <v>0.39104010113596749</v>
      </c>
      <c r="I23" s="164">
        <f t="shared" ref="I23" si="13">STDEV(G23,G25)/SQRT(3)</f>
        <v>0.20832691084818836</v>
      </c>
    </row>
    <row r="24" spans="1:9" x14ac:dyDescent="0.35">
      <c r="A24" s="161"/>
      <c r="B24" s="191"/>
      <c r="C24" s="35" t="s">
        <v>75</v>
      </c>
      <c r="D24">
        <v>14.162000000000001</v>
      </c>
      <c r="E24">
        <v>13.162619972229001</v>
      </c>
      <c r="F24" s="34">
        <f t="shared" si="8"/>
        <v>0.9993800277710001</v>
      </c>
      <c r="G24" s="34">
        <f t="shared" si="9"/>
        <v>0.50021491217529079</v>
      </c>
      <c r="H24" s="165"/>
      <c r="I24" s="165"/>
    </row>
    <row r="25" spans="1:9" x14ac:dyDescent="0.35">
      <c r="A25" s="161"/>
      <c r="B25" s="192"/>
      <c r="C25" s="35" t="s">
        <v>76</v>
      </c>
      <c r="D25">
        <v>16.739999999999998</v>
      </c>
      <c r="E25">
        <v>13.1194946289062</v>
      </c>
      <c r="F25" s="34">
        <f t="shared" si="8"/>
        <v>3.6205053710937989</v>
      </c>
      <c r="G25" s="34">
        <f t="shared" si="9"/>
        <v>8.1305379982134482E-2</v>
      </c>
      <c r="H25" s="166"/>
      <c r="I25" s="166"/>
    </row>
    <row r="26" spans="1:9" x14ac:dyDescent="0.35">
      <c r="A26" s="161"/>
      <c r="B26" s="190" t="s">
        <v>142</v>
      </c>
      <c r="C26" s="35" t="s">
        <v>74</v>
      </c>
      <c r="D26">
        <v>15.19</v>
      </c>
      <c r="E26">
        <v>14.2381101577758</v>
      </c>
      <c r="F26" s="34">
        <f t="shared" si="8"/>
        <v>0.95188984222419926</v>
      </c>
      <c r="G26" s="34">
        <f t="shared" si="9"/>
        <v>0.51695483898899486</v>
      </c>
      <c r="H26" s="164">
        <f t="shared" ref="H26" si="14">AVERAGE(G26,G27,G28)</f>
        <v>0.36559363410517937</v>
      </c>
      <c r="I26" s="164">
        <f t="shared" ref="I26" si="15">STDEV(G26,G28)/SQRT(3)</f>
        <v>0.10257371720557197</v>
      </c>
    </row>
    <row r="27" spans="1:9" x14ac:dyDescent="0.35">
      <c r="A27" s="161"/>
      <c r="B27" s="191"/>
      <c r="C27" s="35" t="s">
        <v>75</v>
      </c>
      <c r="D27">
        <v>16.079999999999998</v>
      </c>
      <c r="E27">
        <v>14.4094083404541</v>
      </c>
      <c r="F27" s="34">
        <f t="shared" si="8"/>
        <v>1.6705916595458987</v>
      </c>
      <c r="G27" s="34">
        <f t="shared" si="9"/>
        <v>0.31412449251173941</v>
      </c>
      <c r="H27" s="165"/>
      <c r="I27" s="165"/>
    </row>
    <row r="28" spans="1:9" x14ac:dyDescent="0.35">
      <c r="A28" s="161"/>
      <c r="B28" s="192"/>
      <c r="C28" s="35" t="s">
        <v>76</v>
      </c>
      <c r="D28">
        <v>15.23</v>
      </c>
      <c r="E28">
        <v>13.317878662109401</v>
      </c>
      <c r="F28" s="34">
        <f t="shared" si="8"/>
        <v>1.9121213378905999</v>
      </c>
      <c r="G28" s="34">
        <f t="shared" si="9"/>
        <v>0.26570157081480383</v>
      </c>
      <c r="H28" s="166"/>
      <c r="I28" s="166"/>
    </row>
    <row r="30" spans="1:9" x14ac:dyDescent="0.35">
      <c r="B30" s="168" t="s">
        <v>82</v>
      </c>
      <c r="C30" s="168"/>
      <c r="D30" s="168"/>
      <c r="E30" s="168"/>
      <c r="F30" s="168"/>
      <c r="G30" s="168"/>
      <c r="H30" s="168"/>
      <c r="I30" s="168"/>
    </row>
    <row r="31" spans="1:9" x14ac:dyDescent="0.35">
      <c r="B31" s="33" t="s">
        <v>8</v>
      </c>
      <c r="C31" s="34"/>
      <c r="D31" s="33" t="s">
        <v>7</v>
      </c>
      <c r="E31" s="33" t="s">
        <v>6</v>
      </c>
      <c r="F31" s="33" t="s">
        <v>5</v>
      </c>
      <c r="G31" s="33" t="s">
        <v>4</v>
      </c>
      <c r="H31" s="33" t="s">
        <v>3</v>
      </c>
      <c r="I31" s="33" t="s">
        <v>72</v>
      </c>
    </row>
    <row r="32" spans="1:9" x14ac:dyDescent="0.35">
      <c r="A32" s="161" t="s">
        <v>143</v>
      </c>
      <c r="B32" s="167" t="s">
        <v>11</v>
      </c>
      <c r="C32" s="35" t="s">
        <v>2</v>
      </c>
      <c r="D32">
        <v>20.112376937794899</v>
      </c>
      <c r="E32">
        <v>13.062341690063477</v>
      </c>
      <c r="F32" s="37">
        <f t="shared" ref="F32:F43" si="16">D32-E32</f>
        <v>7.0500352477314223</v>
      </c>
      <c r="G32" s="37">
        <f t="shared" ref="G32:G43" si="17">2^-F32</f>
        <v>7.5461931998946404E-3</v>
      </c>
      <c r="H32" s="164">
        <f t="shared" ref="H32" si="18">AVERAGE(G32:G34)</f>
        <v>1.3907261362456324E-2</v>
      </c>
      <c r="I32" s="164">
        <f t="shared" ref="I32" si="19">STDEV(G32:G34)/SQRT(3)</f>
        <v>5.6602789843767662E-3</v>
      </c>
    </row>
    <row r="33" spans="1:9" x14ac:dyDescent="0.35">
      <c r="A33" s="161"/>
      <c r="B33" s="167"/>
      <c r="C33" s="35" t="s">
        <v>1</v>
      </c>
      <c r="D33">
        <v>20.105879228900001</v>
      </c>
      <c r="E33">
        <v>13.306488037109375</v>
      </c>
      <c r="F33" s="34">
        <f t="shared" si="16"/>
        <v>6.799391191790626</v>
      </c>
      <c r="G33" s="34">
        <f t="shared" si="17"/>
        <v>8.9779937558803619E-3</v>
      </c>
      <c r="H33" s="165"/>
      <c r="I33" s="165"/>
    </row>
    <row r="34" spans="1:9" x14ac:dyDescent="0.35">
      <c r="A34" s="161"/>
      <c r="B34" s="167"/>
      <c r="C34" s="35" t="s">
        <v>0</v>
      </c>
      <c r="D34">
        <v>21.132962490035901</v>
      </c>
      <c r="E34">
        <v>15.822392463684082</v>
      </c>
      <c r="F34" s="34">
        <f t="shared" si="16"/>
        <v>5.3105700263518187</v>
      </c>
      <c r="G34" s="34">
        <f t="shared" si="17"/>
        <v>2.5197597131593964E-2</v>
      </c>
      <c r="H34" s="166"/>
      <c r="I34" s="166"/>
    </row>
    <row r="35" spans="1:9" x14ac:dyDescent="0.35">
      <c r="A35" s="161"/>
      <c r="B35" s="167" t="s">
        <v>141</v>
      </c>
      <c r="C35" s="35" t="s">
        <v>74</v>
      </c>
      <c r="D35">
        <v>20.2119677037598</v>
      </c>
      <c r="E35">
        <v>13.062341690063477</v>
      </c>
      <c r="F35" s="37">
        <f t="shared" ref="F35" si="20">D34-E35</f>
        <v>8.0706207999724242</v>
      </c>
      <c r="G35" s="37">
        <f t="shared" si="17"/>
        <v>3.7196412524186906E-3</v>
      </c>
      <c r="H35" s="164">
        <f t="shared" ref="H35" si="21">AVERAGE(G35:G37)</f>
        <v>7.0548179275242854E-3</v>
      </c>
      <c r="I35" s="164">
        <f t="shared" ref="I35" si="22">STDEV(G35:G37)/SQRT(3)</f>
        <v>1.6728661528281809E-3</v>
      </c>
    </row>
    <row r="36" spans="1:9" x14ac:dyDescent="0.35">
      <c r="A36" s="161"/>
      <c r="B36" s="167"/>
      <c r="C36" s="35" t="s">
        <v>75</v>
      </c>
      <c r="D36">
        <v>20.11</v>
      </c>
      <c r="E36">
        <v>13.306488037109375</v>
      </c>
      <c r="F36" s="34">
        <f t="shared" si="16"/>
        <v>6.8035119628906244</v>
      </c>
      <c r="G36" s="34">
        <f t="shared" si="17"/>
        <v>8.9523864929406498E-3</v>
      </c>
      <c r="H36" s="165"/>
      <c r="I36" s="165"/>
    </row>
    <row r="37" spans="1:9" x14ac:dyDescent="0.35">
      <c r="A37" s="161"/>
      <c r="B37" s="167"/>
      <c r="C37" s="35" t="s">
        <v>76</v>
      </c>
      <c r="D37">
        <v>22.702000000000002</v>
      </c>
      <c r="E37">
        <v>15.822392463684082</v>
      </c>
      <c r="F37" s="34">
        <f t="shared" si="16"/>
        <v>6.8796075363159197</v>
      </c>
      <c r="G37" s="34">
        <f t="shared" si="17"/>
        <v>8.4924260372135161E-3</v>
      </c>
      <c r="H37" s="166"/>
      <c r="I37" s="166"/>
    </row>
    <row r="38" spans="1:9" x14ac:dyDescent="0.35">
      <c r="A38" s="161"/>
      <c r="B38" s="190" t="s">
        <v>48</v>
      </c>
      <c r="C38" s="35" t="s">
        <v>74</v>
      </c>
      <c r="D38">
        <v>24.408999999999999</v>
      </c>
      <c r="E38">
        <v>15.754693984985352</v>
      </c>
      <c r="F38" s="34">
        <f t="shared" si="16"/>
        <v>8.6543060150146474</v>
      </c>
      <c r="G38" s="34">
        <f t="shared" si="17"/>
        <v>2.4819572558340162E-3</v>
      </c>
      <c r="H38" s="164">
        <f t="shared" ref="H38" si="23">AVERAGE(G38:G40)</f>
        <v>3.329552188031847E-3</v>
      </c>
      <c r="I38" s="164">
        <f t="shared" ref="I38" si="24">STDEV(G38:G40)/SQRT(3)</f>
        <v>5.0599754915297938E-4</v>
      </c>
    </row>
    <row r="39" spans="1:9" x14ac:dyDescent="0.35">
      <c r="A39" s="161"/>
      <c r="B39" s="191"/>
      <c r="C39" s="35" t="s">
        <v>75</v>
      </c>
      <c r="D39">
        <v>21.146999999999998</v>
      </c>
      <c r="E39">
        <v>13.262619972229004</v>
      </c>
      <c r="F39" s="34">
        <f t="shared" si="16"/>
        <v>7.8843800277709946</v>
      </c>
      <c r="G39" s="34">
        <f t="shared" si="17"/>
        <v>4.2321895881701878E-3</v>
      </c>
      <c r="H39" s="165"/>
      <c r="I39" s="165"/>
    </row>
    <row r="40" spans="1:9" x14ac:dyDescent="0.35">
      <c r="A40" s="161"/>
      <c r="B40" s="192"/>
      <c r="C40" s="35" t="s">
        <v>76</v>
      </c>
      <c r="D40">
        <v>22.173999999999999</v>
      </c>
      <c r="E40">
        <v>13.91949462890625</v>
      </c>
      <c r="F40" s="34">
        <f t="shared" si="16"/>
        <v>8.2545053710937495</v>
      </c>
      <c r="G40" s="34">
        <f t="shared" si="17"/>
        <v>3.2745097200913374E-3</v>
      </c>
      <c r="H40" s="166"/>
      <c r="I40" s="166"/>
    </row>
    <row r="41" spans="1:9" x14ac:dyDescent="0.35">
      <c r="A41" s="161"/>
      <c r="B41" s="164" t="s">
        <v>142</v>
      </c>
      <c r="C41" s="35" t="s">
        <v>74</v>
      </c>
      <c r="D41">
        <v>23.59</v>
      </c>
      <c r="E41">
        <v>14.8881015777588</v>
      </c>
      <c r="F41" s="34">
        <f t="shared" si="16"/>
        <v>8.7018984222412001</v>
      </c>
      <c r="G41" s="34">
        <f t="shared" si="17"/>
        <v>2.4014168614223752E-3</v>
      </c>
      <c r="H41" s="164">
        <f t="shared" ref="H41" si="25">AVERAGE(G41:G43)</f>
        <v>2.2988274389710056E-3</v>
      </c>
      <c r="I41" s="164">
        <f t="shared" ref="I41" si="26">STDEV(G41:G43)/SQRT(3)</f>
        <v>5.7357467019026709E-4</v>
      </c>
    </row>
    <row r="42" spans="1:9" x14ac:dyDescent="0.35">
      <c r="A42" s="161"/>
      <c r="B42" s="165"/>
      <c r="C42" s="35" t="s">
        <v>75</v>
      </c>
      <c r="D42">
        <v>24.283999999999999</v>
      </c>
      <c r="E42">
        <v>14.6494083404541</v>
      </c>
      <c r="F42" s="34">
        <f t="shared" si="16"/>
        <v>9.6345916595458991</v>
      </c>
      <c r="G42" s="34">
        <f t="shared" si="17"/>
        <v>1.2580529327760447E-3</v>
      </c>
      <c r="H42" s="165"/>
      <c r="I42" s="165"/>
    </row>
    <row r="43" spans="1:9" x14ac:dyDescent="0.35">
      <c r="A43" s="161"/>
      <c r="B43" s="166"/>
      <c r="C43" s="35" t="s">
        <v>76</v>
      </c>
      <c r="D43">
        <v>22.103000000000002</v>
      </c>
      <c r="E43">
        <v>13.831878662109375</v>
      </c>
      <c r="F43" s="34">
        <f t="shared" si="16"/>
        <v>8.2711213378906265</v>
      </c>
      <c r="G43" s="34">
        <f t="shared" si="17"/>
        <v>3.2370125227145978E-3</v>
      </c>
      <c r="H43" s="166"/>
      <c r="I43" s="166"/>
    </row>
    <row r="44" spans="1:9" x14ac:dyDescent="0.35">
      <c r="A44" s="161" t="s">
        <v>144</v>
      </c>
      <c r="B44" s="167" t="s">
        <v>11</v>
      </c>
      <c r="C44" s="35" t="s">
        <v>2</v>
      </c>
      <c r="D44">
        <v>18.3723769377949</v>
      </c>
      <c r="E44">
        <v>14.0623416900635</v>
      </c>
      <c r="F44" s="37">
        <f t="shared" ref="F44:F46" si="27">D44-E44</f>
        <v>4.3100352477314008</v>
      </c>
      <c r="G44" s="37">
        <f t="shared" ref="G44:G55" si="28">2^-F44</f>
        <v>5.0413878231236935E-2</v>
      </c>
      <c r="H44" s="164">
        <f t="shared" ref="H44" si="29">AVERAGE(G44:G46)</f>
        <v>3.0849474463072738E-2</v>
      </c>
      <c r="I44" s="164">
        <f t="shared" ref="I44" si="30">STDEV(G44:G46)/SQRT(3)</f>
        <v>9.9584712321456829E-3</v>
      </c>
    </row>
    <row r="45" spans="1:9" x14ac:dyDescent="0.35">
      <c r="A45" s="161"/>
      <c r="B45" s="167"/>
      <c r="C45" s="35" t="s">
        <v>1</v>
      </c>
      <c r="D45">
        <v>19.011815879228902</v>
      </c>
      <c r="E45">
        <v>13.648810371093999</v>
      </c>
      <c r="F45" s="34">
        <f t="shared" si="27"/>
        <v>5.3630055081349024</v>
      </c>
      <c r="G45" s="34">
        <f t="shared" si="28"/>
        <v>2.4298220851804837E-2</v>
      </c>
      <c r="H45" s="165"/>
      <c r="I45" s="165"/>
    </row>
    <row r="46" spans="1:9" x14ac:dyDescent="0.35">
      <c r="A46" s="161"/>
      <c r="B46" s="167"/>
      <c r="C46" s="35" t="s">
        <v>0</v>
      </c>
      <c r="D46">
        <v>20.032962490035899</v>
      </c>
      <c r="E46">
        <v>14.223924636841</v>
      </c>
      <c r="F46" s="34">
        <f t="shared" si="27"/>
        <v>5.8090378531948996</v>
      </c>
      <c r="G46" s="34">
        <f t="shared" si="28"/>
        <v>1.7836324306176449E-2</v>
      </c>
      <c r="H46" s="166"/>
      <c r="I46" s="166"/>
    </row>
    <row r="47" spans="1:9" x14ac:dyDescent="0.35">
      <c r="A47" s="161"/>
      <c r="B47" s="167" t="s">
        <v>141</v>
      </c>
      <c r="C47" s="35" t="s">
        <v>74</v>
      </c>
      <c r="D47">
        <v>19.2119677037598</v>
      </c>
      <c r="E47">
        <v>13.062341690063477</v>
      </c>
      <c r="F47" s="37">
        <f t="shared" ref="F47" si="31">D46-E47</f>
        <v>6.9706207999724228</v>
      </c>
      <c r="G47" s="37">
        <f t="shared" si="28"/>
        <v>7.9732255689952368E-3</v>
      </c>
      <c r="H47" s="164">
        <f t="shared" ref="H47" si="32">AVERAGE(G47:G49)</f>
        <v>1.2638666114886407E-2</v>
      </c>
      <c r="I47" s="164">
        <f t="shared" ref="I47" si="33">STDEV(G47:G49)/SQRT(3)</f>
        <v>2.4453642191054718E-3</v>
      </c>
    </row>
    <row r="48" spans="1:9" x14ac:dyDescent="0.35">
      <c r="A48" s="161"/>
      <c r="B48" s="167"/>
      <c r="C48" s="35" t="s">
        <v>75</v>
      </c>
      <c r="D48">
        <v>19.41</v>
      </c>
      <c r="E48">
        <v>13.465880371094</v>
      </c>
      <c r="F48" s="34">
        <f t="shared" ref="F48:F55" si="34">D48-E48</f>
        <v>5.9441196289059999</v>
      </c>
      <c r="G48" s="34">
        <f t="shared" si="28"/>
        <v>1.6242081818220403E-2</v>
      </c>
      <c r="H48" s="165"/>
      <c r="I48" s="165"/>
    </row>
    <row r="49" spans="1:9" x14ac:dyDescent="0.35">
      <c r="A49" s="161"/>
      <c r="B49" s="167"/>
      <c r="C49" s="35" t="s">
        <v>76</v>
      </c>
      <c r="D49">
        <v>21.402000000000001</v>
      </c>
      <c r="E49">
        <v>15.2123924636841</v>
      </c>
      <c r="F49" s="34">
        <f t="shared" si="34"/>
        <v>6.1896075363159007</v>
      </c>
      <c r="G49" s="34">
        <f t="shared" si="28"/>
        <v>1.3700690957443584E-2</v>
      </c>
      <c r="H49" s="166"/>
      <c r="I49" s="166"/>
    </row>
    <row r="50" spans="1:9" x14ac:dyDescent="0.35">
      <c r="A50" s="161"/>
      <c r="B50" s="190" t="s">
        <v>48</v>
      </c>
      <c r="C50" s="35" t="s">
        <v>74</v>
      </c>
      <c r="D50">
        <v>20.719000000000001</v>
      </c>
      <c r="E50">
        <v>15.1546939849854</v>
      </c>
      <c r="F50" s="34">
        <f t="shared" si="34"/>
        <v>5.5643060150146013</v>
      </c>
      <c r="G50" s="34">
        <f t="shared" si="28"/>
        <v>2.1133770377868615E-2</v>
      </c>
      <c r="H50" s="164">
        <f t="shared" ref="H50" si="35">AVERAGE(G50:G52)</f>
        <v>1.0681819836082978E-2</v>
      </c>
      <c r="I50" s="164">
        <f t="shared" ref="I50" si="36">STDEV(G50:G52)/SQRT(3)</f>
        <v>5.2278956149100029E-3</v>
      </c>
    </row>
    <row r="51" spans="1:9" x14ac:dyDescent="0.35">
      <c r="A51" s="161"/>
      <c r="B51" s="191"/>
      <c r="C51" s="35" t="s">
        <v>75</v>
      </c>
      <c r="D51">
        <v>20.747</v>
      </c>
      <c r="E51">
        <v>13.162619972229001</v>
      </c>
      <c r="F51" s="34">
        <f t="shared" si="34"/>
        <v>7.5843800277709992</v>
      </c>
      <c r="G51" s="34">
        <f t="shared" si="28"/>
        <v>5.2104365676922349E-3</v>
      </c>
      <c r="H51" s="165"/>
      <c r="I51" s="165"/>
    </row>
    <row r="52" spans="1:9" x14ac:dyDescent="0.35">
      <c r="A52" s="161"/>
      <c r="B52" s="192"/>
      <c r="C52" s="35" t="s">
        <v>76</v>
      </c>
      <c r="D52">
        <v>20.574000000000002</v>
      </c>
      <c r="E52">
        <v>13.1194946289062</v>
      </c>
      <c r="F52" s="34">
        <f t="shared" si="34"/>
        <v>7.4545053710938021</v>
      </c>
      <c r="G52" s="34">
        <f t="shared" si="28"/>
        <v>5.7012525626880832E-3</v>
      </c>
      <c r="H52" s="166"/>
      <c r="I52" s="166"/>
    </row>
    <row r="53" spans="1:9" x14ac:dyDescent="0.35">
      <c r="A53" s="161"/>
      <c r="B53" s="164" t="s">
        <v>142</v>
      </c>
      <c r="C53" s="35" t="s">
        <v>74</v>
      </c>
      <c r="D53">
        <v>20.09</v>
      </c>
      <c r="E53">
        <v>14.2381101577758</v>
      </c>
      <c r="F53" s="34">
        <f t="shared" si="34"/>
        <v>5.8518898422241996</v>
      </c>
      <c r="G53" s="34">
        <f t="shared" si="28"/>
        <v>1.7314327429941462E-2</v>
      </c>
      <c r="H53" s="164">
        <f t="shared" ref="H53" si="37">AVERAGE(G53:G55)</f>
        <v>8.4000019016358205E-3</v>
      </c>
      <c r="I53" s="164">
        <f t="shared" ref="I53" si="38">STDEV(G53:G55)/SQRT(3)</f>
        <v>4.4909078216419209E-3</v>
      </c>
    </row>
    <row r="54" spans="1:9" x14ac:dyDescent="0.35">
      <c r="A54" s="161"/>
      <c r="B54" s="165"/>
      <c r="C54" s="35" t="s">
        <v>75</v>
      </c>
      <c r="D54">
        <v>22.084</v>
      </c>
      <c r="E54">
        <v>14.4094083404541</v>
      </c>
      <c r="F54" s="34">
        <f t="shared" si="34"/>
        <v>7.6745916595459001</v>
      </c>
      <c r="G54" s="34">
        <f t="shared" si="28"/>
        <v>4.8946056366846171E-3</v>
      </c>
      <c r="H54" s="165"/>
      <c r="I54" s="165"/>
    </row>
    <row r="55" spans="1:9" x14ac:dyDescent="0.35">
      <c r="A55" s="161"/>
      <c r="B55" s="166"/>
      <c r="C55" s="35" t="s">
        <v>76</v>
      </c>
      <c r="D55">
        <v>21.702999999999999</v>
      </c>
      <c r="E55">
        <v>13.317878662109401</v>
      </c>
      <c r="F55" s="34">
        <f t="shared" si="34"/>
        <v>8.3851213378905989</v>
      </c>
      <c r="G55" s="34">
        <f t="shared" si="28"/>
        <v>2.9910726382813804E-3</v>
      </c>
      <c r="H55" s="166"/>
      <c r="I55" s="166"/>
    </row>
    <row r="57" spans="1:9" x14ac:dyDescent="0.35">
      <c r="B57" s="168" t="s">
        <v>83</v>
      </c>
      <c r="C57" s="168"/>
      <c r="D57" s="168"/>
      <c r="E57" s="168"/>
      <c r="F57" s="168"/>
      <c r="G57" s="168"/>
      <c r="H57" s="168"/>
      <c r="I57" s="168"/>
    </row>
    <row r="58" spans="1:9" x14ac:dyDescent="0.35">
      <c r="B58" s="33" t="s">
        <v>8</v>
      </c>
      <c r="C58" s="34"/>
      <c r="D58" s="33" t="s">
        <v>7</v>
      </c>
      <c r="E58" s="33" t="s">
        <v>6</v>
      </c>
      <c r="F58" s="33" t="s">
        <v>5</v>
      </c>
      <c r="G58" s="33" t="s">
        <v>4</v>
      </c>
      <c r="H58" s="33" t="s">
        <v>3</v>
      </c>
      <c r="I58" s="33" t="s">
        <v>72</v>
      </c>
    </row>
    <row r="59" spans="1:9" x14ac:dyDescent="0.35">
      <c r="A59" s="161" t="s">
        <v>143</v>
      </c>
      <c r="B59" s="189" t="s">
        <v>11</v>
      </c>
      <c r="C59" s="35" t="s">
        <v>2</v>
      </c>
      <c r="D59">
        <v>16.579999999999998</v>
      </c>
      <c r="E59">
        <v>13.062341690063477</v>
      </c>
      <c r="F59" s="34">
        <f t="shared" ref="F59:F70" si="39">D59-E59</f>
        <v>3.5176583099365217</v>
      </c>
      <c r="G59" s="34">
        <f t="shared" ref="G59:G70" si="40">2^-F59</f>
        <v>8.731308519296696E-2</v>
      </c>
      <c r="H59" s="164">
        <f t="shared" ref="H59" si="41">AVERAGE(G59:G61)</f>
        <v>0.27038951728336397</v>
      </c>
      <c r="I59" s="164">
        <f t="shared" ref="I59" si="42">STDEV(G59:G61)/SQRT(3)</f>
        <v>0.12039164189200094</v>
      </c>
    </row>
    <row r="60" spans="1:9" x14ac:dyDescent="0.35">
      <c r="A60" s="161"/>
      <c r="B60" s="189"/>
      <c r="C60" s="35" t="s">
        <v>1</v>
      </c>
      <c r="D60">
        <v>15.449</v>
      </c>
      <c r="E60">
        <v>13.306488037109375</v>
      </c>
      <c r="F60" s="34">
        <f t="shared" si="39"/>
        <v>2.1425119628906248</v>
      </c>
      <c r="G60" s="34">
        <f t="shared" si="40"/>
        <v>0.22648509852643289</v>
      </c>
      <c r="H60" s="165"/>
      <c r="I60" s="165"/>
    </row>
    <row r="61" spans="1:9" x14ac:dyDescent="0.35">
      <c r="A61" s="161"/>
      <c r="B61" s="189"/>
      <c r="C61" s="35" t="s">
        <v>0</v>
      </c>
      <c r="D61">
        <v>16.829999999999998</v>
      </c>
      <c r="E61">
        <v>15.822392463684082</v>
      </c>
      <c r="F61" s="34">
        <f t="shared" si="39"/>
        <v>1.0076075363159163</v>
      </c>
      <c r="G61" s="34">
        <f t="shared" si="40"/>
        <v>0.49737036813069213</v>
      </c>
      <c r="H61" s="166"/>
      <c r="I61" s="166"/>
    </row>
    <row r="62" spans="1:9" x14ac:dyDescent="0.35">
      <c r="A62" s="161"/>
      <c r="B62" s="189" t="s">
        <v>141</v>
      </c>
      <c r="C62" s="35" t="s">
        <v>74</v>
      </c>
      <c r="D62">
        <v>16.047000000000001</v>
      </c>
      <c r="E62">
        <v>13.062341690063477</v>
      </c>
      <c r="F62" s="34">
        <f t="shared" si="39"/>
        <v>2.984658309936524</v>
      </c>
      <c r="G62" s="34">
        <f t="shared" si="40"/>
        <v>0.12633634895868895</v>
      </c>
      <c r="H62" s="164">
        <f t="shared" ref="H62" si="43">AVERAGE(G62:G64)</f>
        <v>8.6794421295806612E-2</v>
      </c>
      <c r="I62" s="164">
        <f t="shared" ref="I62" si="44">STDEV(G62:G64)/SQRT(3)</f>
        <v>2.3386040768501013E-2</v>
      </c>
    </row>
    <row r="63" spans="1:9" x14ac:dyDescent="0.35">
      <c r="A63" s="161"/>
      <c r="B63" s="189"/>
      <c r="C63" s="35" t="s">
        <v>75</v>
      </c>
      <c r="D63">
        <v>17.768000000000001</v>
      </c>
      <c r="E63">
        <v>13.306488037109375</v>
      </c>
      <c r="F63" s="34">
        <f t="shared" si="39"/>
        <v>4.4615119628906257</v>
      </c>
      <c r="G63" s="34">
        <f t="shared" si="40"/>
        <v>4.5389047927576448E-2</v>
      </c>
      <c r="H63" s="165"/>
      <c r="I63" s="165"/>
    </row>
    <row r="64" spans="1:9" x14ac:dyDescent="0.35">
      <c r="A64" s="161"/>
      <c r="B64" s="189"/>
      <c r="C64" s="35" t="s">
        <v>76</v>
      </c>
      <c r="D64">
        <v>19.318000000000001</v>
      </c>
      <c r="E64">
        <v>15.822392463684082</v>
      </c>
      <c r="F64" s="34">
        <f t="shared" si="39"/>
        <v>3.4956075363159194</v>
      </c>
      <c r="G64" s="34">
        <f t="shared" si="40"/>
        <v>8.8657867001154453E-2</v>
      </c>
      <c r="H64" s="166"/>
      <c r="I64" s="166"/>
    </row>
    <row r="65" spans="1:9" x14ac:dyDescent="0.35">
      <c r="A65" s="161"/>
      <c r="B65" s="190" t="s">
        <v>48</v>
      </c>
      <c r="C65" s="35" t="s">
        <v>74</v>
      </c>
      <c r="D65">
        <v>18.579999999999998</v>
      </c>
      <c r="E65">
        <v>15.754693984985352</v>
      </c>
      <c r="F65" s="34">
        <f t="shared" si="39"/>
        <v>2.8253060150146467</v>
      </c>
      <c r="G65" s="34">
        <f t="shared" si="40"/>
        <v>0.14109062020910448</v>
      </c>
      <c r="H65" s="164">
        <f t="shared" ref="H65" si="45">AVERAGE(G65:G67)</f>
        <v>6.9896108801165688E-2</v>
      </c>
      <c r="I65" s="164">
        <f t="shared" ref="I65" si="46">STDEV(G65:G67)/SQRT(3)</f>
        <v>3.5693601051218334E-2</v>
      </c>
    </row>
    <row r="66" spans="1:9" x14ac:dyDescent="0.35">
      <c r="A66" s="161"/>
      <c r="B66" s="191"/>
      <c r="C66" s="35" t="s">
        <v>75</v>
      </c>
      <c r="D66">
        <v>17.949000000000002</v>
      </c>
      <c r="E66">
        <v>13.262619972229004</v>
      </c>
      <c r="F66" s="34">
        <f t="shared" si="39"/>
        <v>4.6863800277709977</v>
      </c>
      <c r="G66" s="34">
        <f t="shared" si="40"/>
        <v>3.8838195235574829E-2</v>
      </c>
      <c r="H66" s="165"/>
      <c r="I66" s="165"/>
    </row>
    <row r="67" spans="1:9" x14ac:dyDescent="0.35">
      <c r="A67" s="161"/>
      <c r="B67" s="192"/>
      <c r="C67" s="35" t="s">
        <v>76</v>
      </c>
      <c r="D67">
        <v>18.989999999999998</v>
      </c>
      <c r="E67">
        <v>13.91949462890625</v>
      </c>
      <c r="F67" s="34">
        <f t="shared" si="39"/>
        <v>5.0705053710937484</v>
      </c>
      <c r="G67" s="34">
        <f t="shared" si="40"/>
        <v>2.9759510958817775E-2</v>
      </c>
      <c r="H67" s="166"/>
      <c r="I67" s="166"/>
    </row>
    <row r="68" spans="1:9" x14ac:dyDescent="0.35">
      <c r="A68" s="161"/>
      <c r="B68" s="190" t="s">
        <v>142</v>
      </c>
      <c r="C68" s="35" t="s">
        <v>74</v>
      </c>
      <c r="D68">
        <v>19.161000000000001</v>
      </c>
      <c r="E68">
        <v>14.8881015777588</v>
      </c>
      <c r="F68" s="34">
        <f t="shared" si="39"/>
        <v>4.2728984222412016</v>
      </c>
      <c r="G68" s="34">
        <f t="shared" si="40"/>
        <v>5.1728442990325953E-2</v>
      </c>
      <c r="H68" s="164">
        <f t="shared" ref="H68" si="47">AVERAGE(G68:G70)</f>
        <v>4.8247110720372265E-2</v>
      </c>
      <c r="I68" s="164">
        <f t="shared" ref="I68" si="48">STDEV(G68:G70)/SQRT(3)</f>
        <v>1.8602449896310497E-3</v>
      </c>
    </row>
    <row r="69" spans="1:9" x14ac:dyDescent="0.35">
      <c r="A69" s="161"/>
      <c r="B69" s="191"/>
      <c r="C69" s="35" t="s">
        <v>75</v>
      </c>
      <c r="D69">
        <v>19.041</v>
      </c>
      <c r="E69">
        <v>14.6494083404541</v>
      </c>
      <c r="F69" s="34">
        <f t="shared" si="39"/>
        <v>4.3915916595459006</v>
      </c>
      <c r="G69" s="34">
        <f t="shared" si="40"/>
        <v>4.7643008918804047E-2</v>
      </c>
      <c r="H69" s="165"/>
      <c r="I69" s="165"/>
    </row>
    <row r="70" spans="1:9" x14ac:dyDescent="0.35">
      <c r="A70" s="161"/>
      <c r="B70" s="192"/>
      <c r="C70" s="35" t="s">
        <v>76</v>
      </c>
      <c r="D70">
        <v>18.294</v>
      </c>
      <c r="E70">
        <v>13.831878662109375</v>
      </c>
      <c r="F70" s="34">
        <f t="shared" si="39"/>
        <v>4.4621213378906255</v>
      </c>
      <c r="G70" s="34">
        <f t="shared" si="40"/>
        <v>4.5369880251986794E-2</v>
      </c>
      <c r="H70" s="166"/>
      <c r="I70" s="166"/>
    </row>
    <row r="71" spans="1:9" x14ac:dyDescent="0.35">
      <c r="A71" s="161" t="s">
        <v>144</v>
      </c>
      <c r="B71" s="189" t="s">
        <v>11</v>
      </c>
      <c r="C71" s="35" t="s">
        <v>2</v>
      </c>
      <c r="D71">
        <v>14.18</v>
      </c>
      <c r="E71">
        <v>14.0623416900635</v>
      </c>
      <c r="F71" s="34">
        <f t="shared" ref="F71:F82" si="49">D71-E71</f>
        <v>0.11765830993650006</v>
      </c>
      <c r="G71" s="34">
        <f t="shared" ref="G71:G82" si="50">2^-F71</f>
        <v>0.9216824530088743</v>
      </c>
      <c r="H71" s="164">
        <f t="shared" ref="H71" si="51">AVERAGE(G71:G73)</f>
        <v>0.55208200662813667</v>
      </c>
      <c r="I71" s="164">
        <f t="shared" ref="I71" si="52">STDEV(G71:G73)/SQRT(3)</f>
        <v>0.18615236770221982</v>
      </c>
    </row>
    <row r="72" spans="1:9" x14ac:dyDescent="0.35">
      <c r="A72" s="161"/>
      <c r="B72" s="189"/>
      <c r="C72" s="35" t="s">
        <v>1</v>
      </c>
      <c r="D72">
        <v>14.949</v>
      </c>
      <c r="E72">
        <v>13.648810371093999</v>
      </c>
      <c r="F72" s="34">
        <f t="shared" si="49"/>
        <v>1.3001896289060006</v>
      </c>
      <c r="G72" s="34">
        <f t="shared" si="50"/>
        <v>0.40607282015756768</v>
      </c>
      <c r="H72" s="165"/>
      <c r="I72" s="165"/>
    </row>
    <row r="73" spans="1:9" x14ac:dyDescent="0.35">
      <c r="A73" s="161"/>
      <c r="B73" s="189"/>
      <c r="C73" s="35" t="s">
        <v>0</v>
      </c>
      <c r="D73">
        <v>15.83</v>
      </c>
      <c r="E73">
        <v>14.223924636841</v>
      </c>
      <c r="F73" s="34">
        <f t="shared" si="49"/>
        <v>1.6060753631590003</v>
      </c>
      <c r="G73" s="34">
        <f t="shared" si="50"/>
        <v>0.32849074671796819</v>
      </c>
      <c r="H73" s="166"/>
      <c r="I73" s="166"/>
    </row>
    <row r="74" spans="1:9" x14ac:dyDescent="0.35">
      <c r="A74" s="161"/>
      <c r="B74" s="189" t="s">
        <v>141</v>
      </c>
      <c r="C74" s="35" t="s">
        <v>74</v>
      </c>
      <c r="D74">
        <v>15.161</v>
      </c>
      <c r="E74">
        <v>13.062341690063477</v>
      </c>
      <c r="F74" s="34">
        <f t="shared" si="49"/>
        <v>2.098658309936523</v>
      </c>
      <c r="G74" s="34">
        <f t="shared" si="50"/>
        <v>0.23347527631669476</v>
      </c>
      <c r="H74" s="164">
        <f t="shared" ref="H74" si="53">AVERAGE(G74:G76)</f>
        <v>0.26158843609170568</v>
      </c>
      <c r="I74" s="164">
        <f t="shared" ref="I74" si="54">STDEV(G74:G76)/SQRT(3)</f>
        <v>6.2508474082771659E-2</v>
      </c>
    </row>
    <row r="75" spans="1:9" x14ac:dyDescent="0.35">
      <c r="A75" s="161"/>
      <c r="B75" s="189"/>
      <c r="C75" s="35" t="s">
        <v>75</v>
      </c>
      <c r="D75">
        <v>16.021000000000001</v>
      </c>
      <c r="E75">
        <v>13.465880371094</v>
      </c>
      <c r="F75" s="34">
        <f t="shared" si="49"/>
        <v>2.5551196289060005</v>
      </c>
      <c r="G75" s="34">
        <f t="shared" si="50"/>
        <v>0.17015015505192174</v>
      </c>
      <c r="H75" s="165"/>
      <c r="I75" s="165"/>
    </row>
    <row r="76" spans="1:9" x14ac:dyDescent="0.35">
      <c r="A76" s="161"/>
      <c r="B76" s="189"/>
      <c r="C76" s="35" t="s">
        <v>76</v>
      </c>
      <c r="D76">
        <v>16.603999999999999</v>
      </c>
      <c r="E76">
        <v>15.2123924636841</v>
      </c>
      <c r="F76" s="34">
        <f t="shared" si="49"/>
        <v>1.3916075363158988</v>
      </c>
      <c r="G76" s="34">
        <f t="shared" si="50"/>
        <v>0.38113987690650053</v>
      </c>
      <c r="H76" s="166"/>
      <c r="I76" s="166"/>
    </row>
    <row r="77" spans="1:9" x14ac:dyDescent="0.35">
      <c r="A77" s="161"/>
      <c r="B77" s="190" t="s">
        <v>48</v>
      </c>
      <c r="C77" s="35" t="s">
        <v>74</v>
      </c>
      <c r="D77">
        <v>16.314</v>
      </c>
      <c r="E77">
        <v>15.1546939849854</v>
      </c>
      <c r="F77" s="34">
        <f t="shared" si="49"/>
        <v>1.1593060150146002</v>
      </c>
      <c r="G77" s="34">
        <f t="shared" si="50"/>
        <v>0.44772785587485758</v>
      </c>
      <c r="H77" s="164">
        <f t="shared" ref="H77" si="55">AVERAGE(G77:G79)</f>
        <v>0.18176384790777414</v>
      </c>
      <c r="I77" s="164">
        <f t="shared" ref="I77" si="56">STDEV(G77:G79)/SQRT(3)</f>
        <v>0.13344849893727326</v>
      </c>
    </row>
    <row r="78" spans="1:9" x14ac:dyDescent="0.35">
      <c r="A78" s="161"/>
      <c r="B78" s="191"/>
      <c r="C78" s="35" t="s">
        <v>75</v>
      </c>
      <c r="D78">
        <v>17.039000000000001</v>
      </c>
      <c r="E78">
        <v>13.162619972229001</v>
      </c>
      <c r="F78" s="34">
        <f t="shared" si="49"/>
        <v>3.8763800277710008</v>
      </c>
      <c r="G78" s="34">
        <f t="shared" si="50"/>
        <v>6.8091568298188021E-2</v>
      </c>
      <c r="H78" s="165"/>
      <c r="I78" s="165"/>
    </row>
    <row r="79" spans="1:9" x14ac:dyDescent="0.35">
      <c r="A79" s="161"/>
      <c r="B79" s="192"/>
      <c r="C79" s="35" t="s">
        <v>76</v>
      </c>
      <c r="D79">
        <v>18.204000000000001</v>
      </c>
      <c r="E79">
        <v>13.1194946289062</v>
      </c>
      <c r="F79" s="34">
        <f t="shared" si="49"/>
        <v>5.0845053710938011</v>
      </c>
      <c r="G79" s="34">
        <f t="shared" si="50"/>
        <v>2.9472119550276839E-2</v>
      </c>
      <c r="H79" s="166"/>
      <c r="I79" s="166"/>
    </row>
    <row r="80" spans="1:9" x14ac:dyDescent="0.35">
      <c r="A80" s="161"/>
      <c r="B80" s="190" t="s">
        <v>142</v>
      </c>
      <c r="C80" s="35" t="s">
        <v>74</v>
      </c>
      <c r="D80">
        <v>18.061</v>
      </c>
      <c r="E80">
        <v>14.2381101577758</v>
      </c>
      <c r="F80" s="34">
        <f t="shared" si="49"/>
        <v>3.8228898422241997</v>
      </c>
      <c r="G80" s="34">
        <f t="shared" si="50"/>
        <v>7.0663555794090616E-2</v>
      </c>
      <c r="H80" s="164">
        <f t="shared" ref="H80" si="57">AVERAGE(G80:G82)</f>
        <v>6.1333197842951402E-2</v>
      </c>
      <c r="I80" s="164">
        <f t="shared" ref="I80" si="58">STDEV(G80:G82)/SQRT(3)</f>
        <v>2.2667104917145998E-2</v>
      </c>
    </row>
    <row r="81" spans="1:9" x14ac:dyDescent="0.35">
      <c r="A81" s="161"/>
      <c r="B81" s="191"/>
      <c r="C81" s="35" t="s">
        <v>75</v>
      </c>
      <c r="D81">
        <v>17.803999999999998</v>
      </c>
      <c r="E81">
        <v>14.4094083404541</v>
      </c>
      <c r="F81" s="34">
        <f t="shared" si="49"/>
        <v>3.3945916595458989</v>
      </c>
      <c r="G81" s="34">
        <f t="shared" si="50"/>
        <v>9.508808200309804E-2</v>
      </c>
      <c r="H81" s="165"/>
      <c r="I81" s="165"/>
    </row>
    <row r="82" spans="1:9" x14ac:dyDescent="0.35">
      <c r="A82" s="161"/>
      <c r="B82" s="192"/>
      <c r="C82" s="35" t="s">
        <v>76</v>
      </c>
      <c r="D82">
        <v>19.094000000000001</v>
      </c>
      <c r="E82">
        <v>13.317878662109401</v>
      </c>
      <c r="F82" s="34">
        <f t="shared" si="49"/>
        <v>5.7761213378906007</v>
      </c>
      <c r="G82" s="34">
        <f t="shared" si="50"/>
        <v>1.8247955731665558E-2</v>
      </c>
      <c r="H82" s="166"/>
      <c r="I82" s="166"/>
    </row>
    <row r="84" spans="1:9" ht="21" x14ac:dyDescent="0.5">
      <c r="A84" s="163" t="s">
        <v>310</v>
      </c>
      <c r="B84" s="163"/>
      <c r="C84" s="163"/>
      <c r="D84" s="163"/>
      <c r="E84" s="163"/>
      <c r="F84" s="163"/>
      <c r="G84" s="163"/>
      <c r="H84" s="163"/>
      <c r="I84" s="163"/>
    </row>
    <row r="86" spans="1:9" x14ac:dyDescent="0.35">
      <c r="B86" s="168" t="s">
        <v>78</v>
      </c>
      <c r="C86" s="168"/>
      <c r="D86" s="168"/>
      <c r="E86" s="168"/>
      <c r="F86" s="168"/>
      <c r="G86" s="168"/>
      <c r="H86" s="168"/>
      <c r="I86" s="168"/>
    </row>
    <row r="87" spans="1:9" x14ac:dyDescent="0.35">
      <c r="B87" s="33" t="s">
        <v>8</v>
      </c>
      <c r="C87" s="34"/>
      <c r="D87" s="33" t="s">
        <v>7</v>
      </c>
      <c r="E87" s="33" t="s">
        <v>6</v>
      </c>
      <c r="F87" s="33" t="s">
        <v>5</v>
      </c>
      <c r="G87" s="33" t="s">
        <v>4</v>
      </c>
      <c r="H87" s="33" t="s">
        <v>3</v>
      </c>
      <c r="I87" s="33" t="s">
        <v>72</v>
      </c>
    </row>
    <row r="88" spans="1:9" x14ac:dyDescent="0.35">
      <c r="A88" s="161" t="s">
        <v>143</v>
      </c>
      <c r="B88" s="189" t="s">
        <v>73</v>
      </c>
      <c r="C88" s="35" t="s">
        <v>2</v>
      </c>
      <c r="D88">
        <v>19.600000000000001</v>
      </c>
      <c r="E88">
        <v>14.6494083404541</v>
      </c>
      <c r="F88" s="34">
        <f t="shared" ref="F88:F99" si="59">D88-E88</f>
        <v>4.9505916595459016</v>
      </c>
      <c r="G88" s="34">
        <f t="shared" ref="G88:G99" si="60">2^-F88</f>
        <v>3.2338763792050397E-2</v>
      </c>
      <c r="H88" s="164">
        <f>AVERAGE(G88,G89,G90)</f>
        <v>3.1190757524407055E-2</v>
      </c>
      <c r="I88" s="164">
        <f>STDEV(G88,G90)/SQRT(3)</f>
        <v>5.3779726347992322E-3</v>
      </c>
    </row>
    <row r="89" spans="1:9" x14ac:dyDescent="0.35">
      <c r="A89" s="161"/>
      <c r="B89" s="189"/>
      <c r="C89" s="35" t="s">
        <v>1</v>
      </c>
      <c r="D89">
        <v>19.823</v>
      </c>
      <c r="E89">
        <v>13.831878662109375</v>
      </c>
      <c r="F89" s="34">
        <f t="shared" si="59"/>
        <v>5.9911213378906254</v>
      </c>
      <c r="G89" s="34">
        <f t="shared" si="60"/>
        <v>1.572145618321109E-2</v>
      </c>
      <c r="H89" s="165"/>
      <c r="I89" s="165"/>
    </row>
    <row r="90" spans="1:9" x14ac:dyDescent="0.35">
      <c r="A90" s="161"/>
      <c r="B90" s="189"/>
      <c r="C90" s="35" t="s">
        <v>0</v>
      </c>
      <c r="D90">
        <v>20.28</v>
      </c>
      <c r="E90">
        <v>15.822392463684082</v>
      </c>
      <c r="F90" s="34">
        <f t="shared" si="59"/>
        <v>4.4576075363159191</v>
      </c>
      <c r="G90" s="34">
        <f t="shared" si="60"/>
        <v>4.5512052597959679E-2</v>
      </c>
      <c r="H90" s="166"/>
      <c r="I90" s="166"/>
    </row>
    <row r="91" spans="1:9" x14ac:dyDescent="0.35">
      <c r="A91" s="161"/>
      <c r="B91" s="189" t="s">
        <v>311</v>
      </c>
      <c r="C91" s="35" t="s">
        <v>74</v>
      </c>
      <c r="D91">
        <v>18.984000000000002</v>
      </c>
      <c r="E91">
        <v>14.8881015777588</v>
      </c>
      <c r="F91" s="34">
        <f t="shared" si="59"/>
        <v>4.095898422241202</v>
      </c>
      <c r="G91" s="34">
        <f t="shared" si="60"/>
        <v>5.8480585990325289E-2</v>
      </c>
      <c r="H91" s="164">
        <f t="shared" ref="H91" si="61">AVERAGE(G91,G92,G93)</f>
        <v>9.5452404845748684E-2</v>
      </c>
      <c r="I91" s="164">
        <f t="shared" ref="I91" si="62">STDEV(G91,G93)/SQRT(3)</f>
        <v>1.1045772661773796E-2</v>
      </c>
    </row>
    <row r="92" spans="1:9" x14ac:dyDescent="0.35">
      <c r="A92" s="161"/>
      <c r="B92" s="189"/>
      <c r="C92" s="35" t="s">
        <v>75</v>
      </c>
      <c r="D92">
        <v>17.462</v>
      </c>
      <c r="E92">
        <v>14.6494083404541</v>
      </c>
      <c r="F92" s="34">
        <f t="shared" si="59"/>
        <v>2.8125916595459</v>
      </c>
      <c r="G92" s="34">
        <f t="shared" si="60"/>
        <v>0.14233953572046576</v>
      </c>
      <c r="H92" s="165"/>
      <c r="I92" s="165"/>
    </row>
    <row r="93" spans="1:9" x14ac:dyDescent="0.35">
      <c r="A93" s="161"/>
      <c r="B93" s="189"/>
      <c r="C93" s="35" t="s">
        <v>76</v>
      </c>
      <c r="D93">
        <v>19.302</v>
      </c>
      <c r="E93">
        <v>15.754693984985352</v>
      </c>
      <c r="F93" s="34">
        <f t="shared" si="59"/>
        <v>3.547306015014648</v>
      </c>
      <c r="G93" s="34">
        <f t="shared" si="60"/>
        <v>8.5537092826455011E-2</v>
      </c>
      <c r="H93" s="166"/>
      <c r="I93" s="166"/>
    </row>
    <row r="94" spans="1:9" x14ac:dyDescent="0.35">
      <c r="A94" s="161"/>
      <c r="B94" s="190" t="s">
        <v>252</v>
      </c>
      <c r="C94" s="35" t="s">
        <v>74</v>
      </c>
      <c r="D94">
        <v>17.408999999999999</v>
      </c>
      <c r="E94">
        <v>13.262619972229004</v>
      </c>
      <c r="F94" s="34">
        <f t="shared" si="59"/>
        <v>4.146380027770995</v>
      </c>
      <c r="G94" s="34">
        <f t="shared" si="60"/>
        <v>5.6469668494846539E-2</v>
      </c>
      <c r="H94" s="164">
        <f t="shared" ref="H94" si="63">AVERAGE(G94,G95,G96)</f>
        <v>6.6112261405119999E-2</v>
      </c>
      <c r="I94" s="164">
        <f t="shared" ref="I94" si="64">STDEV(G94,G96)/SQRT(3)</f>
        <v>9.0750625969410331E-3</v>
      </c>
    </row>
    <row r="95" spans="1:9" x14ac:dyDescent="0.35">
      <c r="A95" s="161"/>
      <c r="B95" s="191"/>
      <c r="C95" s="35" t="s">
        <v>75</v>
      </c>
      <c r="D95">
        <v>17.047000000000001</v>
      </c>
      <c r="E95">
        <v>13.062341690063477</v>
      </c>
      <c r="F95" s="34">
        <f t="shared" si="59"/>
        <v>3.984658309936524</v>
      </c>
      <c r="G95" s="34">
        <f t="shared" si="60"/>
        <v>6.3168174479344474E-2</v>
      </c>
      <c r="H95" s="165"/>
      <c r="I95" s="165"/>
    </row>
    <row r="96" spans="1:9" x14ac:dyDescent="0.35">
      <c r="A96" s="161"/>
      <c r="B96" s="192"/>
      <c r="C96" s="35" t="s">
        <v>76</v>
      </c>
      <c r="D96">
        <v>16.974</v>
      </c>
      <c r="E96">
        <v>13.306488037109375</v>
      </c>
      <c r="F96" s="34">
        <f t="shared" si="59"/>
        <v>3.6675119628906252</v>
      </c>
      <c r="G96" s="34">
        <f t="shared" si="60"/>
        <v>7.8698941241168968E-2</v>
      </c>
      <c r="H96" s="166"/>
      <c r="I96" s="166"/>
    </row>
    <row r="97" spans="1:9" x14ac:dyDescent="0.35">
      <c r="A97" s="161"/>
      <c r="B97" s="190" t="s">
        <v>314</v>
      </c>
      <c r="C97" s="35" t="s">
        <v>74</v>
      </c>
      <c r="D97">
        <v>18.59</v>
      </c>
      <c r="E97">
        <v>13.306488037109375</v>
      </c>
      <c r="F97" s="34">
        <f t="shared" si="59"/>
        <v>5.2835119628906249</v>
      </c>
      <c r="G97" s="34">
        <f t="shared" si="60"/>
        <v>2.5674643187636497E-2</v>
      </c>
      <c r="H97" s="164">
        <f t="shared" ref="H97" si="65">AVERAGE(G97,G98,G99)</f>
        <v>0.10859582858549753</v>
      </c>
      <c r="I97" s="164">
        <f t="shared" ref="I97" si="66">STDEV(G97,G99)/SQRT(3)</f>
        <v>1.0799203242305305E-3</v>
      </c>
    </row>
    <row r="98" spans="1:9" x14ac:dyDescent="0.35">
      <c r="A98" s="161"/>
      <c r="B98" s="191"/>
      <c r="C98" s="35" t="s">
        <v>75</v>
      </c>
      <c r="D98">
        <v>17.673999999999999</v>
      </c>
      <c r="E98">
        <v>15.822392463684082</v>
      </c>
      <c r="F98" s="34">
        <f t="shared" si="59"/>
        <v>1.8516075363159175</v>
      </c>
      <c r="G98" s="34">
        <f t="shared" si="60"/>
        <v>0.27708345313844535</v>
      </c>
      <c r="H98" s="165"/>
      <c r="I98" s="165"/>
    </row>
    <row r="99" spans="1:9" x14ac:dyDescent="0.35">
      <c r="A99" s="161"/>
      <c r="B99" s="192"/>
      <c r="C99" s="35" t="s">
        <v>76</v>
      </c>
      <c r="D99">
        <v>18.702999999999999</v>
      </c>
      <c r="E99">
        <v>13.262619972229004</v>
      </c>
      <c r="F99" s="34">
        <f t="shared" si="59"/>
        <v>5.4403800277709955</v>
      </c>
      <c r="G99" s="34">
        <f t="shared" si="60"/>
        <v>2.3029389430410729E-2</v>
      </c>
      <c r="H99" s="166"/>
      <c r="I99" s="166"/>
    </row>
    <row r="100" spans="1:9" x14ac:dyDescent="0.35">
      <c r="A100" s="161"/>
      <c r="B100" s="190" t="s">
        <v>313</v>
      </c>
      <c r="C100" s="35" t="s">
        <v>74</v>
      </c>
      <c r="D100">
        <v>20.408999999999999</v>
      </c>
      <c r="E100">
        <v>13.91949462890625</v>
      </c>
      <c r="F100" s="34">
        <f t="shared" ref="F100:F117" si="67">D100-E100</f>
        <v>6.4895053710937489</v>
      </c>
      <c r="G100" s="34">
        <f t="shared" ref="G100:G117" si="68">2^-F100</f>
        <v>1.1129207154781237E-2</v>
      </c>
      <c r="H100" s="164">
        <f t="shared" ref="H100" si="69">AVERAGE(G100,G101,G102)</f>
        <v>1.3016239417949965E-2</v>
      </c>
      <c r="I100" s="164">
        <f t="shared" ref="I100" si="70">STDEV(G100,G102)/SQRT(3)</f>
        <v>9.6496372337392814E-4</v>
      </c>
    </row>
    <row r="101" spans="1:9" x14ac:dyDescent="0.35">
      <c r="A101" s="161"/>
      <c r="B101" s="191"/>
      <c r="C101" s="35" t="s">
        <v>75</v>
      </c>
      <c r="D101">
        <v>19.946999999999999</v>
      </c>
      <c r="E101">
        <v>13.831878662109375</v>
      </c>
      <c r="F101" s="34">
        <f t="shared" si="67"/>
        <v>6.1151213378906242</v>
      </c>
      <c r="G101" s="34">
        <f t="shared" si="68"/>
        <v>1.4426635201725121E-2</v>
      </c>
      <c r="H101" s="165"/>
      <c r="I101" s="165"/>
    </row>
    <row r="102" spans="1:9" x14ac:dyDescent="0.35">
      <c r="A102" s="161"/>
      <c r="B102" s="192"/>
      <c r="C102" s="35" t="s">
        <v>76</v>
      </c>
      <c r="D102">
        <v>19.274000000000001</v>
      </c>
      <c r="E102">
        <v>13.062341690063477</v>
      </c>
      <c r="F102" s="34">
        <f t="shared" si="67"/>
        <v>6.2116583099365243</v>
      </c>
      <c r="G102" s="34">
        <f t="shared" si="68"/>
        <v>1.3492875897343538E-2</v>
      </c>
      <c r="H102" s="166"/>
      <c r="I102" s="166"/>
    </row>
    <row r="103" spans="1:9" x14ac:dyDescent="0.35">
      <c r="A103" s="161"/>
      <c r="B103" s="190" t="s">
        <v>312</v>
      </c>
      <c r="C103" s="35" t="s">
        <v>74</v>
      </c>
      <c r="D103">
        <v>19.79</v>
      </c>
      <c r="E103">
        <v>13.062341690063477</v>
      </c>
      <c r="F103" s="34">
        <f t="shared" si="67"/>
        <v>6.7276583099365226</v>
      </c>
      <c r="G103" s="34">
        <f t="shared" si="68"/>
        <v>9.435676616209426E-3</v>
      </c>
      <c r="H103" s="164">
        <f t="shared" ref="H103" si="71">AVERAGE(G103,G104,G105)</f>
        <v>1.9059429830093514E-2</v>
      </c>
      <c r="I103" s="164">
        <f t="shared" ref="I103" si="72">STDEV(G103,G105)/SQRT(3)</f>
        <v>6.8491804806555968E-3</v>
      </c>
    </row>
    <row r="104" spans="1:9" x14ac:dyDescent="0.35">
      <c r="A104" s="161"/>
      <c r="B104" s="191"/>
      <c r="C104" s="35" t="s">
        <v>75</v>
      </c>
      <c r="D104">
        <v>18.844000000000001</v>
      </c>
      <c r="E104">
        <v>13.306488037109375</v>
      </c>
      <c r="F104" s="34">
        <f t="shared" si="67"/>
        <v>5.5375119628906262</v>
      </c>
      <c r="G104" s="34">
        <f t="shared" si="68"/>
        <v>2.1529938924025046E-2</v>
      </c>
      <c r="H104" s="165"/>
      <c r="I104" s="165"/>
    </row>
    <row r="105" spans="1:9" x14ac:dyDescent="0.35">
      <c r="A105" s="161"/>
      <c r="B105" s="192"/>
      <c r="C105" s="35" t="s">
        <v>76</v>
      </c>
      <c r="D105">
        <v>19.902999999999999</v>
      </c>
      <c r="E105">
        <v>14.6494083404541</v>
      </c>
      <c r="F105" s="34">
        <f t="shared" si="67"/>
        <v>5.2535916595458989</v>
      </c>
      <c r="G105" s="34">
        <f t="shared" si="68"/>
        <v>2.6212673950046068E-2</v>
      </c>
      <c r="H105" s="166"/>
      <c r="I105" s="166"/>
    </row>
    <row r="106" spans="1:9" x14ac:dyDescent="0.35">
      <c r="A106" s="161" t="s">
        <v>144</v>
      </c>
      <c r="B106" s="189" t="s">
        <v>73</v>
      </c>
      <c r="C106" s="35" t="s">
        <v>2</v>
      </c>
      <c r="D106">
        <v>18.241</v>
      </c>
      <c r="E106">
        <v>13.831878662109375</v>
      </c>
      <c r="F106" s="34">
        <f t="shared" si="67"/>
        <v>4.4091213378906247</v>
      </c>
      <c r="G106" s="34">
        <f t="shared" si="68"/>
        <v>4.7067618293005542E-2</v>
      </c>
      <c r="H106" s="164">
        <f>AVERAGE(G106,G107,G108)</f>
        <v>0.16108769519155308</v>
      </c>
      <c r="I106" s="164">
        <f>STDEV(G106,G108)/SQRT(3)</f>
        <v>3.7182107430759142E-3</v>
      </c>
    </row>
    <row r="107" spans="1:9" x14ac:dyDescent="0.35">
      <c r="A107" s="161"/>
      <c r="B107" s="189"/>
      <c r="C107" s="35" t="s">
        <v>1</v>
      </c>
      <c r="D107">
        <v>17.082999999999998</v>
      </c>
      <c r="E107">
        <v>15.754693984985352</v>
      </c>
      <c r="F107" s="34">
        <f t="shared" si="67"/>
        <v>1.3283060150146468</v>
      </c>
      <c r="G107" s="34">
        <f t="shared" si="68"/>
        <v>0.39823556806531885</v>
      </c>
      <c r="H107" s="165"/>
      <c r="I107" s="165"/>
    </row>
    <row r="108" spans="1:9" x14ac:dyDescent="0.35">
      <c r="A108" s="161"/>
      <c r="B108" s="189"/>
      <c r="C108" s="35" t="s">
        <v>0</v>
      </c>
      <c r="D108">
        <v>17.981999999999999</v>
      </c>
      <c r="E108">
        <v>13.262619972229004</v>
      </c>
      <c r="F108" s="34">
        <f t="shared" si="67"/>
        <v>4.7193800277709954</v>
      </c>
      <c r="G108" s="34">
        <f t="shared" si="68"/>
        <v>3.7959899216334872E-2</v>
      </c>
      <c r="H108" s="166"/>
      <c r="I108" s="166"/>
    </row>
    <row r="109" spans="1:9" x14ac:dyDescent="0.35">
      <c r="A109" s="161"/>
      <c r="B109" s="189" t="s">
        <v>311</v>
      </c>
      <c r="C109" s="35" t="s">
        <v>74</v>
      </c>
      <c r="D109">
        <v>16.984000000000002</v>
      </c>
      <c r="E109">
        <v>13.306488037109375</v>
      </c>
      <c r="F109" s="34">
        <f t="shared" si="67"/>
        <v>3.6775119628906268</v>
      </c>
      <c r="G109" s="34">
        <f t="shared" si="68"/>
        <v>7.8155327945445066E-2</v>
      </c>
      <c r="H109" s="164">
        <f t="shared" ref="H109" si="73">AVERAGE(G109,G110,G111)</f>
        <v>0.31582605995335006</v>
      </c>
      <c r="I109" s="164">
        <f t="shared" ref="I109" si="74">STDEV(G109,G111)/SQRT(3)</f>
        <v>4.6385474413919887E-2</v>
      </c>
    </row>
    <row r="110" spans="1:9" x14ac:dyDescent="0.35">
      <c r="A110" s="161"/>
      <c r="B110" s="189"/>
      <c r="C110" s="35" t="s">
        <v>75</v>
      </c>
      <c r="D110">
        <v>16.384</v>
      </c>
      <c r="E110">
        <v>15.822392463684082</v>
      </c>
      <c r="F110" s="34">
        <f t="shared" si="67"/>
        <v>0.56160753631591831</v>
      </c>
      <c r="G110" s="34">
        <f t="shared" si="68"/>
        <v>0.67754678017813164</v>
      </c>
      <c r="H110" s="165"/>
      <c r="I110" s="165"/>
    </row>
    <row r="111" spans="1:9" x14ac:dyDescent="0.35">
      <c r="A111" s="161"/>
      <c r="B111" s="189"/>
      <c r="C111" s="35" t="s">
        <v>76</v>
      </c>
      <c r="D111">
        <v>16.302</v>
      </c>
      <c r="E111">
        <v>13.91949462890625</v>
      </c>
      <c r="F111" s="34">
        <f t="shared" si="67"/>
        <v>2.3825053710937496</v>
      </c>
      <c r="G111" s="34">
        <f t="shared" si="68"/>
        <v>0.1917760717364734</v>
      </c>
      <c r="H111" s="166"/>
      <c r="I111" s="166"/>
    </row>
    <row r="112" spans="1:9" x14ac:dyDescent="0.35">
      <c r="A112" s="161"/>
      <c r="B112" s="190" t="s">
        <v>252</v>
      </c>
      <c r="C112" s="35" t="s">
        <v>74</v>
      </c>
      <c r="D112">
        <v>16.109000000000002</v>
      </c>
      <c r="E112">
        <v>14.8881015777588</v>
      </c>
      <c r="F112" s="34">
        <f t="shared" si="67"/>
        <v>1.220898422241202</v>
      </c>
      <c r="G112" s="34">
        <f t="shared" si="68"/>
        <v>0.42901547041685401</v>
      </c>
      <c r="H112" s="164">
        <f t="shared" ref="H112" si="75">AVERAGE(G112,G113,G114)</f>
        <v>0.29301003221582367</v>
      </c>
      <c r="I112" s="164">
        <f t="shared" ref="I112" si="76">STDEV(G112,G114)/SQRT(3)</f>
        <v>6.8904946165781591E-2</v>
      </c>
    </row>
    <row r="113" spans="1:9" x14ac:dyDescent="0.35">
      <c r="A113" s="161"/>
      <c r="B113" s="191"/>
      <c r="C113" s="35" t="s">
        <v>75</v>
      </c>
      <c r="D113">
        <v>17.047000000000001</v>
      </c>
      <c r="E113">
        <v>14.6494083404541</v>
      </c>
      <c r="F113" s="34">
        <f t="shared" si="67"/>
        <v>2.3975916595459008</v>
      </c>
      <c r="G113" s="34">
        <f t="shared" si="68"/>
        <v>0.18978111467387229</v>
      </c>
      <c r="H113" s="165"/>
      <c r="I113" s="165"/>
    </row>
    <row r="114" spans="1:9" x14ac:dyDescent="0.35">
      <c r="A114" s="161"/>
      <c r="B114" s="192"/>
      <c r="C114" s="35" t="s">
        <v>76</v>
      </c>
      <c r="D114">
        <v>15.773999999999999</v>
      </c>
      <c r="E114">
        <v>13.831878662109375</v>
      </c>
      <c r="F114" s="34">
        <f t="shared" si="67"/>
        <v>1.9421213378906241</v>
      </c>
      <c r="G114" s="34">
        <f t="shared" si="68"/>
        <v>0.26023351155674468</v>
      </c>
      <c r="H114" s="166"/>
      <c r="I114" s="166"/>
    </row>
    <row r="115" spans="1:9" x14ac:dyDescent="0.35">
      <c r="A115" s="161"/>
      <c r="B115" s="190" t="s">
        <v>314</v>
      </c>
      <c r="C115" s="35" t="s">
        <v>74</v>
      </c>
      <c r="D115">
        <v>16.902999999999999</v>
      </c>
      <c r="E115">
        <v>14.8881015777588</v>
      </c>
      <c r="F115" s="34">
        <f t="shared" si="67"/>
        <v>2.014898422241199</v>
      </c>
      <c r="G115" s="34">
        <f t="shared" si="68"/>
        <v>0.24743158473694807</v>
      </c>
      <c r="H115" s="164">
        <f t="shared" ref="H115" si="77">AVERAGE(G115,G116,G117)</f>
        <v>0.29234670146155123</v>
      </c>
      <c r="I115" s="164">
        <f t="shared" ref="I115" si="78">STDEV(G115,G117)/SQRT(3)</f>
        <v>2.454200279760544E-2</v>
      </c>
    </row>
    <row r="116" spans="1:9" x14ac:dyDescent="0.35">
      <c r="A116" s="161"/>
      <c r="B116" s="191"/>
      <c r="C116" s="35" t="s">
        <v>75</v>
      </c>
      <c r="D116">
        <v>16.283999999999999</v>
      </c>
      <c r="E116">
        <v>14.6494083404541</v>
      </c>
      <c r="F116" s="34">
        <f t="shared" si="67"/>
        <v>1.6345916595458991</v>
      </c>
      <c r="G116" s="34">
        <f t="shared" si="68"/>
        <v>0.32206155079066728</v>
      </c>
      <c r="H116" s="165"/>
      <c r="I116" s="165"/>
    </row>
    <row r="117" spans="1:9" x14ac:dyDescent="0.35">
      <c r="A117" s="161"/>
      <c r="B117" s="192"/>
      <c r="C117" s="35" t="s">
        <v>76</v>
      </c>
      <c r="D117">
        <v>15.532999999999999</v>
      </c>
      <c r="E117">
        <v>13.831878662109375</v>
      </c>
      <c r="F117" s="34">
        <f t="shared" si="67"/>
        <v>1.7011213378906245</v>
      </c>
      <c r="G117" s="34">
        <f t="shared" si="68"/>
        <v>0.30754696885703836</v>
      </c>
      <c r="H117" s="166"/>
      <c r="I117" s="166"/>
    </row>
    <row r="118" spans="1:9" x14ac:dyDescent="0.35">
      <c r="A118" s="161"/>
      <c r="B118" s="190" t="s">
        <v>313</v>
      </c>
      <c r="C118" s="35" t="s">
        <v>74</v>
      </c>
      <c r="D118">
        <v>18.959</v>
      </c>
      <c r="E118">
        <v>15.754693984985352</v>
      </c>
      <c r="F118" s="34">
        <f t="shared" ref="F118:F123" si="79">D118-E118</f>
        <v>3.2043060150146481</v>
      </c>
      <c r="G118" s="34">
        <f t="shared" ref="G118:G123" si="80">2^-F118</f>
        <v>0.10849451286441386</v>
      </c>
      <c r="H118" s="164">
        <f t="shared" ref="H118" si="81">AVERAGE(G118,G119,G120)</f>
        <v>9.1178446573588909E-2</v>
      </c>
      <c r="I118" s="164">
        <f t="shared" ref="I118" si="82">STDEV(G118,G120)/SQRT(3)</f>
        <v>4.8463370361375279E-3</v>
      </c>
    </row>
    <row r="119" spans="1:9" x14ac:dyDescent="0.35">
      <c r="A119" s="161"/>
      <c r="B119" s="191"/>
      <c r="C119" s="35" t="s">
        <v>75</v>
      </c>
      <c r="D119">
        <v>17.747</v>
      </c>
      <c r="E119">
        <v>13.262619972229004</v>
      </c>
      <c r="F119" s="34">
        <f t="shared" si="79"/>
        <v>4.484380027770996</v>
      </c>
      <c r="G119" s="34">
        <f t="shared" si="80"/>
        <v>4.4675261131849893E-2</v>
      </c>
      <c r="H119" s="165"/>
      <c r="I119" s="165"/>
    </row>
    <row r="120" spans="1:9" x14ac:dyDescent="0.35">
      <c r="A120" s="161"/>
      <c r="B120" s="192"/>
      <c r="C120" s="35" t="s">
        <v>76</v>
      </c>
      <c r="D120">
        <v>16.974</v>
      </c>
      <c r="E120">
        <v>13.91949462890625</v>
      </c>
      <c r="F120" s="34">
        <f t="shared" si="79"/>
        <v>3.0545053710937502</v>
      </c>
      <c r="G120" s="34">
        <f t="shared" si="80"/>
        <v>0.12036556572450297</v>
      </c>
      <c r="H120" s="166"/>
      <c r="I120" s="166"/>
    </row>
    <row r="121" spans="1:9" x14ac:dyDescent="0.35">
      <c r="A121" s="161"/>
      <c r="B121" s="190" t="s">
        <v>312</v>
      </c>
      <c r="C121" s="35" t="s">
        <v>74</v>
      </c>
      <c r="D121">
        <v>16.190000000000001</v>
      </c>
      <c r="E121">
        <v>13.062341690063477</v>
      </c>
      <c r="F121" s="34">
        <f t="shared" si="79"/>
        <v>3.1276583099365247</v>
      </c>
      <c r="G121" s="34">
        <f t="shared" si="80"/>
        <v>0.11441449090738699</v>
      </c>
      <c r="H121" s="164">
        <f t="shared" ref="H121" si="83">AVERAGE(G121,G122,G123)</f>
        <v>8.2078853804989249E-2</v>
      </c>
      <c r="I121" s="164">
        <f t="shared" ref="I121" si="84">STDEV(G121,G123)/SQRT(3)</f>
        <v>1.8809743109661166E-2</v>
      </c>
    </row>
    <row r="122" spans="1:9" x14ac:dyDescent="0.35">
      <c r="A122" s="161"/>
      <c r="B122" s="191"/>
      <c r="C122" s="35" t="s">
        <v>75</v>
      </c>
      <c r="D122">
        <v>17.283999999999999</v>
      </c>
      <c r="E122">
        <v>13.306488037109375</v>
      </c>
      <c r="F122" s="34">
        <f t="shared" si="79"/>
        <v>3.9775119628906239</v>
      </c>
      <c r="G122" s="34">
        <f t="shared" si="80"/>
        <v>6.348185241169535E-2</v>
      </c>
      <c r="H122" s="165"/>
      <c r="I122" s="165"/>
    </row>
    <row r="123" spans="1:9" x14ac:dyDescent="0.35">
      <c r="A123" s="161"/>
      <c r="B123" s="192"/>
      <c r="C123" s="35" t="s">
        <v>76</v>
      </c>
      <c r="D123">
        <v>17.702999999999999</v>
      </c>
      <c r="E123">
        <v>13.831878662109375</v>
      </c>
      <c r="F123" s="34">
        <f t="shared" si="79"/>
        <v>3.8711213378906244</v>
      </c>
      <c r="G123" s="34">
        <f t="shared" si="80"/>
        <v>6.8340218095885419E-2</v>
      </c>
      <c r="H123" s="166"/>
      <c r="I123" s="166"/>
    </row>
    <row r="125" spans="1:9" x14ac:dyDescent="0.35">
      <c r="B125" s="168" t="s">
        <v>131</v>
      </c>
      <c r="C125" s="168"/>
      <c r="D125" s="168"/>
      <c r="E125" s="168"/>
      <c r="F125" s="168"/>
      <c r="G125" s="168"/>
      <c r="H125" s="168"/>
      <c r="I125" s="168"/>
    </row>
    <row r="126" spans="1:9" x14ac:dyDescent="0.35">
      <c r="B126" s="33" t="s">
        <v>8</v>
      </c>
      <c r="C126" s="34"/>
      <c r="D126" s="33" t="s">
        <v>7</v>
      </c>
      <c r="E126" s="33" t="s">
        <v>6</v>
      </c>
      <c r="F126" s="33" t="s">
        <v>5</v>
      </c>
      <c r="G126" s="33" t="s">
        <v>4</v>
      </c>
      <c r="H126" s="33" t="s">
        <v>3</v>
      </c>
      <c r="I126" s="33" t="s">
        <v>72</v>
      </c>
    </row>
    <row r="127" spans="1:9" x14ac:dyDescent="0.35">
      <c r="A127" s="161" t="s">
        <v>143</v>
      </c>
      <c r="B127" s="189" t="s">
        <v>73</v>
      </c>
      <c r="C127" s="35" t="s">
        <v>2</v>
      </c>
      <c r="D127">
        <v>27.11</v>
      </c>
      <c r="E127">
        <v>14.6494083404541</v>
      </c>
      <c r="F127" s="34">
        <f t="shared" ref="F127:F162" si="85">D127-E127</f>
        <v>12.4605916595459</v>
      </c>
      <c r="G127" s="34">
        <f t="shared" ref="G127:G162" si="86">2^-F127</f>
        <v>1.7741410584158892E-4</v>
      </c>
      <c r="H127" s="164">
        <f>AVERAGE(G127,G128,G129)</f>
        <v>2.1204450491306407E-4</v>
      </c>
      <c r="I127" s="164">
        <f>STDEV(G127,G129)/SQRT(3)</f>
        <v>6.0312872814596803E-5</v>
      </c>
    </row>
    <row r="128" spans="1:9" x14ac:dyDescent="0.35">
      <c r="A128" s="161"/>
      <c r="B128" s="189"/>
      <c r="C128" s="35" t="s">
        <v>1</v>
      </c>
      <c r="D128">
        <v>26.702000000000002</v>
      </c>
      <c r="E128">
        <v>13.831878662109375</v>
      </c>
      <c r="F128" s="34">
        <f t="shared" si="85"/>
        <v>12.870121337890627</v>
      </c>
      <c r="G128" s="34">
        <f t="shared" si="86"/>
        <v>1.3356953973887316E-4</v>
      </c>
      <c r="H128" s="165"/>
      <c r="I128" s="165"/>
    </row>
    <row r="129" spans="1:9" x14ac:dyDescent="0.35">
      <c r="A129" s="161"/>
      <c r="B129" s="189"/>
      <c r="C129" s="35" t="s">
        <v>0</v>
      </c>
      <c r="D129">
        <v>27.408999999999999</v>
      </c>
      <c r="E129">
        <v>15.822392463684082</v>
      </c>
      <c r="F129" s="34">
        <f t="shared" si="85"/>
        <v>11.586607536315917</v>
      </c>
      <c r="G129" s="34">
        <f t="shared" si="86"/>
        <v>3.2514986915873018E-4</v>
      </c>
      <c r="H129" s="166"/>
      <c r="I129" s="166"/>
    </row>
    <row r="130" spans="1:9" x14ac:dyDescent="0.35">
      <c r="A130" s="161"/>
      <c r="B130" s="189" t="s">
        <v>311</v>
      </c>
      <c r="C130" s="35" t="s">
        <v>74</v>
      </c>
      <c r="D130">
        <v>24.123769377948999</v>
      </c>
      <c r="E130">
        <v>14.8881015777588</v>
      </c>
      <c r="F130" s="34">
        <f t="shared" si="85"/>
        <v>9.2356678001901997</v>
      </c>
      <c r="G130" s="34">
        <f t="shared" si="86"/>
        <v>1.6587730170207194E-3</v>
      </c>
      <c r="H130" s="164">
        <f t="shared" ref="H130" si="87">AVERAGE(G130,G131,G132)</f>
        <v>2.9746793215618874E-3</v>
      </c>
      <c r="I130" s="164">
        <f t="shared" ref="I130" si="88">STDEV(G130,G132)/SQRT(3)</f>
        <v>1.7766374349133796E-3</v>
      </c>
    </row>
    <row r="131" spans="1:9" x14ac:dyDescent="0.35">
      <c r="A131" s="161"/>
      <c r="B131" s="189"/>
      <c r="C131" s="35" t="s">
        <v>75</v>
      </c>
      <c r="D131">
        <v>24.287922890000001</v>
      </c>
      <c r="E131">
        <v>14.6494083404541</v>
      </c>
      <c r="F131" s="34">
        <f t="shared" si="85"/>
        <v>9.638514549545901</v>
      </c>
      <c r="G131" s="34">
        <f t="shared" si="86"/>
        <v>1.2546367571792828E-3</v>
      </c>
      <c r="H131" s="165"/>
      <c r="I131" s="165"/>
    </row>
    <row r="132" spans="1:9" x14ac:dyDescent="0.35">
      <c r="A132" s="161"/>
      <c r="B132" s="189"/>
      <c r="C132" s="35" t="s">
        <v>76</v>
      </c>
      <c r="D132">
        <v>23.132962490035901</v>
      </c>
      <c r="E132">
        <v>15.754693984985352</v>
      </c>
      <c r="F132" s="34">
        <f t="shared" si="85"/>
        <v>7.3782685050505492</v>
      </c>
      <c r="G132" s="34">
        <f t="shared" si="86"/>
        <v>6.0106281904856599E-3</v>
      </c>
      <c r="H132" s="166"/>
      <c r="I132" s="166"/>
    </row>
    <row r="133" spans="1:9" x14ac:dyDescent="0.35">
      <c r="A133" s="161"/>
      <c r="B133" s="190" t="s">
        <v>252</v>
      </c>
      <c r="C133" s="35" t="s">
        <v>74</v>
      </c>
      <c r="D133">
        <v>20.792289</v>
      </c>
      <c r="E133">
        <v>13.262619972229004</v>
      </c>
      <c r="F133" s="34">
        <f t="shared" si="85"/>
        <v>7.5296690277709963</v>
      </c>
      <c r="G133" s="34">
        <f t="shared" si="86"/>
        <v>5.4118252575921528E-3</v>
      </c>
      <c r="H133" s="164">
        <f t="shared" ref="H133" si="89">AVERAGE(G133,G134,G135)</f>
        <v>3.9078024952311921E-3</v>
      </c>
      <c r="I133" s="164">
        <f t="shared" ref="I133" si="90">STDEV(G133,G135)/SQRT(3)</f>
        <v>3.9932826699723721E-4</v>
      </c>
    </row>
    <row r="134" spans="1:9" x14ac:dyDescent="0.35">
      <c r="A134" s="161"/>
      <c r="B134" s="191"/>
      <c r="C134" s="35" t="s">
        <v>75</v>
      </c>
      <c r="D134">
        <v>22.119</v>
      </c>
      <c r="E134">
        <v>13.062341690063477</v>
      </c>
      <c r="F134" s="34">
        <f t="shared" si="85"/>
        <v>9.0566583099365232</v>
      </c>
      <c r="G134" s="34">
        <f t="shared" si="86"/>
        <v>1.8779074645223865E-3</v>
      </c>
      <c r="H134" s="165"/>
      <c r="I134" s="165"/>
    </row>
    <row r="135" spans="1:9" x14ac:dyDescent="0.35">
      <c r="A135" s="161"/>
      <c r="B135" s="192"/>
      <c r="C135" s="35" t="s">
        <v>76</v>
      </c>
      <c r="D135">
        <v>21.123769377948999</v>
      </c>
      <c r="E135">
        <v>13.306488037109375</v>
      </c>
      <c r="F135" s="34">
        <f t="shared" si="85"/>
        <v>7.8172813408396244</v>
      </c>
      <c r="G135" s="34">
        <f t="shared" si="86"/>
        <v>4.433674763579038E-3</v>
      </c>
      <c r="H135" s="166"/>
      <c r="I135" s="166"/>
    </row>
    <row r="136" spans="1:9" x14ac:dyDescent="0.35">
      <c r="A136" s="161"/>
      <c r="B136" s="190" t="s">
        <v>314</v>
      </c>
      <c r="C136" s="35" t="s">
        <v>74</v>
      </c>
      <c r="D136">
        <v>21.146999999999998</v>
      </c>
      <c r="E136">
        <v>13.306488037109375</v>
      </c>
      <c r="F136" s="34">
        <f t="shared" si="85"/>
        <v>7.8405119628906235</v>
      </c>
      <c r="G136" s="34">
        <f t="shared" si="86"/>
        <v>4.3628543812689428E-3</v>
      </c>
      <c r="H136" s="164">
        <f t="shared" ref="H136" si="91">AVERAGE(G136,G137,G138)</f>
        <v>5.7955439690165729E-3</v>
      </c>
      <c r="I136" s="164">
        <f t="shared" ref="I136" si="92">STDEV(G136,G138)/SQRT(3)</f>
        <v>1.4633868779601535E-3</v>
      </c>
    </row>
    <row r="137" spans="1:9" x14ac:dyDescent="0.35">
      <c r="A137" s="161"/>
      <c r="B137" s="191"/>
      <c r="C137" s="35" t="s">
        <v>75</v>
      </c>
      <c r="D137">
        <v>22.173999999999999</v>
      </c>
      <c r="E137">
        <v>15.822392463684082</v>
      </c>
      <c r="F137" s="34">
        <f t="shared" si="85"/>
        <v>6.3516075363159175</v>
      </c>
      <c r="G137" s="34">
        <f t="shared" si="86"/>
        <v>1.2245474291798729E-2</v>
      </c>
      <c r="H137" s="165"/>
      <c r="I137" s="165"/>
    </row>
    <row r="138" spans="1:9" x14ac:dyDescent="0.35">
      <c r="A138" s="161"/>
      <c r="B138" s="192"/>
      <c r="C138" s="35" t="s">
        <v>76</v>
      </c>
      <c r="D138">
        <v>23.59</v>
      </c>
      <c r="E138">
        <v>13.262619972229004</v>
      </c>
      <c r="F138" s="34">
        <f t="shared" si="85"/>
        <v>10.327380027770996</v>
      </c>
      <c r="G138" s="34">
        <f t="shared" si="86"/>
        <v>7.7830323398204939E-4</v>
      </c>
      <c r="H138" s="166"/>
      <c r="I138" s="166"/>
    </row>
    <row r="139" spans="1:9" x14ac:dyDescent="0.35">
      <c r="A139" s="161"/>
      <c r="B139" s="190" t="s">
        <v>313</v>
      </c>
      <c r="C139" s="35" t="s">
        <v>74</v>
      </c>
      <c r="D139">
        <v>19.011815879228902</v>
      </c>
      <c r="E139">
        <v>13.91949462890625</v>
      </c>
      <c r="F139" s="34">
        <f t="shared" si="85"/>
        <v>5.0923212503226516</v>
      </c>
      <c r="G139" s="34">
        <f t="shared" si="86"/>
        <v>2.9312884453809911E-2</v>
      </c>
      <c r="H139" s="164">
        <f t="shared" ref="H139" si="93">AVERAGE(G139,G140,G141)</f>
        <v>1.8996903816130693E-2</v>
      </c>
      <c r="I139" s="164">
        <f t="shared" ref="I139" si="94">STDEV(G139,G141)/SQRT(3)</f>
        <v>6.2164763477078125E-3</v>
      </c>
    </row>
    <row r="140" spans="1:9" x14ac:dyDescent="0.35">
      <c r="A140" s="161"/>
      <c r="B140" s="191"/>
      <c r="C140" s="35" t="s">
        <v>75</v>
      </c>
      <c r="D140">
        <v>20.032962490035899</v>
      </c>
      <c r="E140">
        <v>13.831878662109375</v>
      </c>
      <c r="F140" s="34">
        <f t="shared" si="85"/>
        <v>6.2010838279265244</v>
      </c>
      <c r="G140" s="34">
        <f t="shared" si="86"/>
        <v>1.3592137590736781E-2</v>
      </c>
      <c r="H140" s="165"/>
      <c r="I140" s="165"/>
    </row>
    <row r="141" spans="1:9" x14ac:dyDescent="0.35">
      <c r="A141" s="161"/>
      <c r="B141" s="192"/>
      <c r="C141" s="35" t="s">
        <v>76</v>
      </c>
      <c r="D141">
        <v>19.2119677037598</v>
      </c>
      <c r="E141">
        <v>13.062341690063477</v>
      </c>
      <c r="F141" s="34">
        <f t="shared" si="85"/>
        <v>6.1496260136963237</v>
      </c>
      <c r="G141" s="34">
        <f t="shared" si="86"/>
        <v>1.4085689403845384E-2</v>
      </c>
      <c r="H141" s="166"/>
      <c r="I141" s="166"/>
    </row>
    <row r="142" spans="1:9" x14ac:dyDescent="0.35">
      <c r="A142" s="161"/>
      <c r="B142" s="190" t="s">
        <v>312</v>
      </c>
      <c r="C142" s="35" t="s">
        <v>74</v>
      </c>
      <c r="D142">
        <v>21.747</v>
      </c>
      <c r="E142">
        <v>13.062341690063477</v>
      </c>
      <c r="F142" s="34">
        <f t="shared" si="85"/>
        <v>8.6846583099365233</v>
      </c>
      <c r="G142" s="34">
        <f t="shared" si="86"/>
        <v>2.4302857847325597E-3</v>
      </c>
      <c r="H142" s="164">
        <f t="shared" ref="H142" si="95">AVERAGE(G142,G143,G144)</f>
        <v>9.5671394489958983E-3</v>
      </c>
      <c r="I142" s="164">
        <f t="shared" ref="I142" si="96">STDEV(G142,G144)/SQRT(3)</f>
        <v>8.4081697944096978E-3</v>
      </c>
    </row>
    <row r="143" spans="1:9" x14ac:dyDescent="0.35">
      <c r="A143" s="161"/>
      <c r="B143" s="191"/>
      <c r="C143" s="35" t="s">
        <v>75</v>
      </c>
      <c r="D143">
        <v>21.574000000000002</v>
      </c>
      <c r="E143">
        <v>13.306488037109375</v>
      </c>
      <c r="F143" s="34">
        <f t="shared" si="85"/>
        <v>8.2675119628906266</v>
      </c>
      <c r="G143" s="34">
        <f t="shared" si="86"/>
        <v>3.2451211105366732E-3</v>
      </c>
      <c r="H143" s="165"/>
      <c r="I143" s="165"/>
    </row>
    <row r="144" spans="1:9" x14ac:dyDescent="0.35">
      <c r="A144" s="161"/>
      <c r="B144" s="192"/>
      <c r="C144" s="35" t="s">
        <v>76</v>
      </c>
      <c r="D144">
        <v>20.09</v>
      </c>
      <c r="E144">
        <v>14.6494083404541</v>
      </c>
      <c r="F144" s="34">
        <f t="shared" si="85"/>
        <v>5.4405916595459001</v>
      </c>
      <c r="G144" s="34">
        <f t="shared" si="86"/>
        <v>2.302601145171846E-2</v>
      </c>
      <c r="H144" s="166"/>
      <c r="I144" s="166"/>
    </row>
    <row r="145" spans="1:9" x14ac:dyDescent="0.35">
      <c r="A145" s="161" t="s">
        <v>144</v>
      </c>
      <c r="B145" s="189" t="s">
        <v>73</v>
      </c>
      <c r="C145" s="35" t="s">
        <v>2</v>
      </c>
      <c r="D145">
        <v>19.41</v>
      </c>
      <c r="E145">
        <v>13.831878662109375</v>
      </c>
      <c r="F145" s="34">
        <f t="shared" si="85"/>
        <v>5.5781213378906251</v>
      </c>
      <c r="G145" s="34">
        <f t="shared" si="86"/>
        <v>2.093235819756132E-2</v>
      </c>
      <c r="H145" s="164">
        <f>AVERAGE(G145,G146,G147)</f>
        <v>1.5526146563846726E-2</v>
      </c>
      <c r="I145" s="164">
        <f>STDEV(G145,G147)/SQRT(3)</f>
        <v>6.2210952914933428E-3</v>
      </c>
    </row>
    <row r="146" spans="1:9" x14ac:dyDescent="0.35">
      <c r="A146" s="161"/>
      <c r="B146" s="189"/>
      <c r="C146" s="35" t="s">
        <v>1</v>
      </c>
      <c r="D146">
        <v>21.402000000000001</v>
      </c>
      <c r="E146">
        <v>15.754693984985352</v>
      </c>
      <c r="F146" s="34">
        <f t="shared" si="85"/>
        <v>5.6473060150146495</v>
      </c>
      <c r="G146" s="34">
        <f t="shared" si="86"/>
        <v>1.9952232401807209E-2</v>
      </c>
      <c r="H146" s="165"/>
      <c r="I146" s="165"/>
    </row>
    <row r="147" spans="1:9" x14ac:dyDescent="0.35">
      <c r="A147" s="161"/>
      <c r="B147" s="189"/>
      <c r="C147" s="35" t="s">
        <v>0</v>
      </c>
      <c r="D147">
        <v>20.719000000000001</v>
      </c>
      <c r="E147">
        <v>13.262619972229004</v>
      </c>
      <c r="F147" s="34">
        <f t="shared" si="85"/>
        <v>7.4563800277709973</v>
      </c>
      <c r="G147" s="34">
        <f t="shared" si="86"/>
        <v>5.6938490921716539E-3</v>
      </c>
      <c r="H147" s="166"/>
      <c r="I147" s="166"/>
    </row>
    <row r="148" spans="1:9" x14ac:dyDescent="0.35">
      <c r="A148" s="161"/>
      <c r="B148" s="189" t="s">
        <v>311</v>
      </c>
      <c r="C148" s="35" t="s">
        <v>74</v>
      </c>
      <c r="D148">
        <v>18.3723769377949</v>
      </c>
      <c r="E148">
        <v>13.306488037109375</v>
      </c>
      <c r="F148" s="34">
        <f t="shared" si="85"/>
        <v>5.0658889006855254</v>
      </c>
      <c r="G148" s="34">
        <f t="shared" si="86"/>
        <v>2.985489074412833E-2</v>
      </c>
      <c r="H148" s="164">
        <f t="shared" ref="H148" si="97">AVERAGE(G148,G149,G150)</f>
        <v>3.725893254333363E-2</v>
      </c>
      <c r="I148" s="164">
        <f t="shared" ref="I148" si="98">STDEV(G148,G150)/SQRT(3)</f>
        <v>6.2918049372425212E-3</v>
      </c>
    </row>
    <row r="149" spans="1:9" x14ac:dyDescent="0.35">
      <c r="A149" s="161"/>
      <c r="B149" s="189"/>
      <c r="C149" s="35" t="s">
        <v>75</v>
      </c>
      <c r="D149">
        <v>19.711815879228901</v>
      </c>
      <c r="E149">
        <v>15.822392463684082</v>
      </c>
      <c r="F149" s="34">
        <f t="shared" si="85"/>
        <v>3.8894234155448189</v>
      </c>
      <c r="G149" s="34">
        <f t="shared" si="86"/>
        <v>6.7478727799112334E-2</v>
      </c>
      <c r="H149" s="165"/>
      <c r="I149" s="165"/>
    </row>
    <row r="150" spans="1:9" x14ac:dyDescent="0.35">
      <c r="A150" s="161"/>
      <c r="B150" s="189"/>
      <c r="C150" s="35" t="s">
        <v>76</v>
      </c>
      <c r="D150">
        <v>20.032962490035899</v>
      </c>
      <c r="E150">
        <v>13.91949462890625</v>
      </c>
      <c r="F150" s="34">
        <f t="shared" si="85"/>
        <v>6.1134678611296494</v>
      </c>
      <c r="G150" s="34">
        <f t="shared" si="86"/>
        <v>1.4443179086760235E-2</v>
      </c>
      <c r="H150" s="166"/>
      <c r="I150" s="166"/>
    </row>
    <row r="151" spans="1:9" x14ac:dyDescent="0.35">
      <c r="A151" s="161"/>
      <c r="B151" s="190" t="s">
        <v>252</v>
      </c>
      <c r="C151" s="35" t="s">
        <v>74</v>
      </c>
      <c r="D151">
        <v>16.109000000000002</v>
      </c>
      <c r="E151">
        <v>14.8881015777588</v>
      </c>
      <c r="F151" s="34">
        <f t="shared" si="85"/>
        <v>1.220898422241202</v>
      </c>
      <c r="G151" s="34">
        <f t="shared" si="86"/>
        <v>0.42901547041685401</v>
      </c>
      <c r="H151" s="164">
        <f t="shared" ref="H151" si="99">AVERAGE(G151,G152,G153)</f>
        <v>0.29301003221582367</v>
      </c>
      <c r="I151" s="164">
        <f t="shared" ref="I151" si="100">STDEV(G151,G153)/SQRT(3)</f>
        <v>6.8904946165781591E-2</v>
      </c>
    </row>
    <row r="152" spans="1:9" x14ac:dyDescent="0.35">
      <c r="A152" s="161"/>
      <c r="B152" s="191"/>
      <c r="C152" s="35" t="s">
        <v>75</v>
      </c>
      <c r="D152">
        <v>17.047000000000001</v>
      </c>
      <c r="E152">
        <v>14.6494083404541</v>
      </c>
      <c r="F152" s="34">
        <f t="shared" si="85"/>
        <v>2.3975916595459008</v>
      </c>
      <c r="G152" s="34">
        <f t="shared" si="86"/>
        <v>0.18978111467387229</v>
      </c>
      <c r="H152" s="165"/>
      <c r="I152" s="165"/>
    </row>
    <row r="153" spans="1:9" x14ac:dyDescent="0.35">
      <c r="A153" s="161"/>
      <c r="B153" s="192"/>
      <c r="C153" s="35" t="s">
        <v>76</v>
      </c>
      <c r="D153">
        <v>15.773999999999999</v>
      </c>
      <c r="E153">
        <v>13.831878662109375</v>
      </c>
      <c r="F153" s="34">
        <f t="shared" si="85"/>
        <v>1.9421213378906241</v>
      </c>
      <c r="G153" s="34">
        <f t="shared" si="86"/>
        <v>0.26023351155674468</v>
      </c>
      <c r="H153" s="166"/>
      <c r="I153" s="166"/>
    </row>
    <row r="154" spans="1:9" x14ac:dyDescent="0.35">
      <c r="A154" s="161"/>
      <c r="B154" s="190" t="s">
        <v>314</v>
      </c>
      <c r="C154" s="35" t="s">
        <v>74</v>
      </c>
      <c r="D154">
        <v>16.902999999999999</v>
      </c>
      <c r="E154">
        <v>14.8881015777588</v>
      </c>
      <c r="F154" s="34">
        <f t="shared" si="85"/>
        <v>2.014898422241199</v>
      </c>
      <c r="G154" s="34">
        <f t="shared" si="86"/>
        <v>0.24743158473694807</v>
      </c>
      <c r="H154" s="164">
        <f t="shared" ref="H154" si="101">AVERAGE(G154,G155,G156)</f>
        <v>0.29234670146155123</v>
      </c>
      <c r="I154" s="164">
        <f t="shared" ref="I154" si="102">STDEV(G154,G156)/SQRT(3)</f>
        <v>2.454200279760544E-2</v>
      </c>
    </row>
    <row r="155" spans="1:9" x14ac:dyDescent="0.35">
      <c r="A155" s="161"/>
      <c r="B155" s="191"/>
      <c r="C155" s="35" t="s">
        <v>75</v>
      </c>
      <c r="D155">
        <v>16.283999999999999</v>
      </c>
      <c r="E155">
        <v>14.6494083404541</v>
      </c>
      <c r="F155" s="34">
        <f t="shared" si="85"/>
        <v>1.6345916595458991</v>
      </c>
      <c r="G155" s="34">
        <f t="shared" si="86"/>
        <v>0.32206155079066728</v>
      </c>
      <c r="H155" s="165"/>
      <c r="I155" s="165"/>
    </row>
    <row r="156" spans="1:9" x14ac:dyDescent="0.35">
      <c r="A156" s="161"/>
      <c r="B156" s="192"/>
      <c r="C156" s="35" t="s">
        <v>76</v>
      </c>
      <c r="D156">
        <v>15.532999999999999</v>
      </c>
      <c r="E156">
        <v>13.831878662109375</v>
      </c>
      <c r="F156" s="34">
        <f t="shared" si="85"/>
        <v>1.7011213378906245</v>
      </c>
      <c r="G156" s="34">
        <f t="shared" si="86"/>
        <v>0.30754696885703836</v>
      </c>
      <c r="H156" s="166"/>
      <c r="I156" s="166"/>
    </row>
    <row r="157" spans="1:9" x14ac:dyDescent="0.35">
      <c r="A157" s="161"/>
      <c r="B157" s="190" t="s">
        <v>313</v>
      </c>
      <c r="C157" s="35" t="s">
        <v>74</v>
      </c>
      <c r="D157">
        <v>18.959</v>
      </c>
      <c r="E157">
        <v>15.754693984985352</v>
      </c>
      <c r="F157" s="34">
        <f t="shared" si="85"/>
        <v>3.2043060150146481</v>
      </c>
      <c r="G157" s="34">
        <f t="shared" si="86"/>
        <v>0.10849451286441386</v>
      </c>
      <c r="H157" s="164">
        <f t="shared" ref="H157" si="103">AVERAGE(G157,G158,G159)</f>
        <v>9.3392825853378561E-2</v>
      </c>
      <c r="I157" s="164">
        <f t="shared" ref="I157" si="104">STDEV(G157,G159)/SQRT(3)</f>
        <v>4.8463370361375279E-3</v>
      </c>
    </row>
    <row r="158" spans="1:9" x14ac:dyDescent="0.35">
      <c r="A158" s="161"/>
      <c r="B158" s="191"/>
      <c r="C158" s="35" t="s">
        <v>75</v>
      </c>
      <c r="D158">
        <v>17.547000000000001</v>
      </c>
      <c r="E158">
        <v>13.262619972229004</v>
      </c>
      <c r="F158" s="34">
        <f t="shared" si="85"/>
        <v>4.2843800277709967</v>
      </c>
      <c r="G158" s="34">
        <f t="shared" si="86"/>
        <v>5.1318398971218905E-2</v>
      </c>
      <c r="H158" s="165"/>
      <c r="I158" s="165"/>
    </row>
    <row r="159" spans="1:9" x14ac:dyDescent="0.35">
      <c r="A159" s="161"/>
      <c r="B159" s="192"/>
      <c r="C159" s="35" t="s">
        <v>76</v>
      </c>
      <c r="D159">
        <v>16.974</v>
      </c>
      <c r="E159">
        <v>13.91949462890625</v>
      </c>
      <c r="F159" s="34">
        <f t="shared" si="85"/>
        <v>3.0545053710937502</v>
      </c>
      <c r="G159" s="34">
        <f t="shared" si="86"/>
        <v>0.12036556572450297</v>
      </c>
      <c r="H159" s="166"/>
      <c r="I159" s="166"/>
    </row>
    <row r="160" spans="1:9" x14ac:dyDescent="0.35">
      <c r="A160" s="161"/>
      <c r="B160" s="190" t="s">
        <v>312</v>
      </c>
      <c r="C160" s="35" t="s">
        <v>74</v>
      </c>
      <c r="D160">
        <v>16.388999999999999</v>
      </c>
      <c r="E160">
        <v>13.062341690063477</v>
      </c>
      <c r="F160" s="34">
        <f t="shared" si="85"/>
        <v>3.3266583099365228</v>
      </c>
      <c r="G160" s="34">
        <f t="shared" si="86"/>
        <v>9.9672663395792352E-2</v>
      </c>
      <c r="H160" s="164">
        <f t="shared" ref="H160" si="105">AVERAGE(G160,G161,G162)</f>
        <v>9.1721993394392423E-2</v>
      </c>
      <c r="I160" s="164">
        <f t="shared" ref="I160" si="106">STDEV(G160,G162)/SQRT(3)</f>
        <v>2.4556066458376303E-3</v>
      </c>
    </row>
    <row r="161" spans="1:9" x14ac:dyDescent="0.35">
      <c r="A161" s="161"/>
      <c r="B161" s="191"/>
      <c r="C161" s="35" t="s">
        <v>75</v>
      </c>
      <c r="D161">
        <v>17.146999999999998</v>
      </c>
      <c r="E161">
        <v>13.306488037109375</v>
      </c>
      <c r="F161" s="34">
        <f t="shared" si="85"/>
        <v>3.8405119628906235</v>
      </c>
      <c r="G161" s="34">
        <f t="shared" si="86"/>
        <v>6.9805670100303113E-2</v>
      </c>
      <c r="H161" s="165"/>
      <c r="I161" s="165"/>
    </row>
    <row r="162" spans="1:9" x14ac:dyDescent="0.35">
      <c r="A162" s="161"/>
      <c r="B162" s="192"/>
      <c r="C162" s="35" t="s">
        <v>76</v>
      </c>
      <c r="D162">
        <v>17.074000000000002</v>
      </c>
      <c r="E162">
        <v>13.831878662109375</v>
      </c>
      <c r="F162" s="34">
        <f t="shared" si="85"/>
        <v>3.2421213378906266</v>
      </c>
      <c r="G162" s="34">
        <f t="shared" si="86"/>
        <v>0.10568764668708183</v>
      </c>
      <c r="H162" s="166"/>
      <c r="I162" s="166"/>
    </row>
    <row r="165" spans="1:9" x14ac:dyDescent="0.35">
      <c r="B165" s="168" t="s">
        <v>315</v>
      </c>
      <c r="C165" s="168"/>
      <c r="D165" s="168"/>
      <c r="E165" s="168"/>
      <c r="F165" s="168"/>
      <c r="G165" s="168"/>
      <c r="H165" s="168"/>
      <c r="I165" s="168"/>
    </row>
    <row r="166" spans="1:9" x14ac:dyDescent="0.35">
      <c r="B166" s="33" t="s">
        <v>8</v>
      </c>
      <c r="C166" s="34"/>
      <c r="D166" s="33" t="s">
        <v>7</v>
      </c>
      <c r="E166" s="33" t="s">
        <v>6</v>
      </c>
      <c r="F166" s="33" t="s">
        <v>5</v>
      </c>
      <c r="G166" s="33" t="s">
        <v>4</v>
      </c>
      <c r="H166" s="33" t="s">
        <v>3</v>
      </c>
      <c r="I166" s="33" t="s">
        <v>72</v>
      </c>
    </row>
    <row r="167" spans="1:9" x14ac:dyDescent="0.35">
      <c r="A167" s="161" t="s">
        <v>143</v>
      </c>
      <c r="B167" s="189" t="s">
        <v>73</v>
      </c>
      <c r="C167" s="35" t="s">
        <v>2</v>
      </c>
      <c r="D167">
        <v>16.047000000000001</v>
      </c>
      <c r="E167">
        <v>14.6494083404541</v>
      </c>
      <c r="F167" s="34">
        <f t="shared" ref="F167:F202" si="107">D167-E167</f>
        <v>1.3975916595459008</v>
      </c>
      <c r="G167" s="34">
        <f t="shared" ref="G167:G202" si="108">2^-F167</f>
        <v>0.37956222934774458</v>
      </c>
      <c r="H167" s="164">
        <f>AVERAGE(G167,G168,G169)</f>
        <v>0.19309064620165559</v>
      </c>
      <c r="I167" s="164">
        <f>STDEV(G167,G169)/SQRT(3)</f>
        <v>0.10009514524606113</v>
      </c>
    </row>
    <row r="168" spans="1:9" x14ac:dyDescent="0.35">
      <c r="A168" s="161"/>
      <c r="B168" s="189"/>
      <c r="C168" s="35" t="s">
        <v>1</v>
      </c>
      <c r="D168">
        <v>17.768000000000001</v>
      </c>
      <c r="E168">
        <v>13.831878662109375</v>
      </c>
      <c r="F168" s="34">
        <f t="shared" si="107"/>
        <v>3.9361213378906257</v>
      </c>
      <c r="G168" s="34">
        <f t="shared" si="108"/>
        <v>6.5329511492096731E-2</v>
      </c>
      <c r="H168" s="165"/>
      <c r="I168" s="165"/>
    </row>
    <row r="169" spans="1:9" x14ac:dyDescent="0.35">
      <c r="A169" s="161"/>
      <c r="B169" s="189"/>
      <c r="C169" s="35" t="s">
        <v>0</v>
      </c>
      <c r="D169">
        <v>18.718</v>
      </c>
      <c r="E169">
        <v>15.822392463684082</v>
      </c>
      <c r="F169" s="34">
        <f t="shared" si="107"/>
        <v>2.8956075363159179</v>
      </c>
      <c r="G169" s="34">
        <f t="shared" si="108"/>
        <v>0.1343801977651255</v>
      </c>
      <c r="H169" s="166"/>
      <c r="I169" s="166"/>
    </row>
    <row r="170" spans="1:9" x14ac:dyDescent="0.35">
      <c r="A170" s="161"/>
      <c r="B170" s="189" t="s">
        <v>311</v>
      </c>
      <c r="C170" s="35" t="s">
        <v>74</v>
      </c>
      <c r="D170">
        <v>17.579999999999998</v>
      </c>
      <c r="E170">
        <v>14.8881015777588</v>
      </c>
      <c r="F170" s="34">
        <f t="shared" si="107"/>
        <v>2.6918984222411986</v>
      </c>
      <c r="G170" s="34">
        <f t="shared" si="108"/>
        <v>0.15475968234297913</v>
      </c>
      <c r="H170" s="164">
        <f t="shared" ref="H170" si="109">AVERAGE(G170,G171,G172)</f>
        <v>0.26475794866198166</v>
      </c>
      <c r="I170" s="164">
        <f t="shared" ref="I170" si="110">STDEV(G170,G172)/SQRT(3)</f>
        <v>7.2211467864197756E-2</v>
      </c>
    </row>
    <row r="171" spans="1:9" x14ac:dyDescent="0.35">
      <c r="A171" s="161"/>
      <c r="B171" s="189"/>
      <c r="C171" s="35" t="s">
        <v>75</v>
      </c>
      <c r="D171">
        <v>16.349</v>
      </c>
      <c r="E171">
        <v>14.6494083404541</v>
      </c>
      <c r="F171" s="34">
        <f t="shared" si="107"/>
        <v>1.6995916595459004</v>
      </c>
      <c r="G171" s="34">
        <f t="shared" si="108"/>
        <v>0.30787323145531731</v>
      </c>
      <c r="H171" s="165"/>
      <c r="I171" s="165"/>
    </row>
    <row r="172" spans="1:9" x14ac:dyDescent="0.35">
      <c r="A172" s="161"/>
      <c r="B172" s="189"/>
      <c r="C172" s="35" t="s">
        <v>76</v>
      </c>
      <c r="D172">
        <v>17.347000000000001</v>
      </c>
      <c r="E172">
        <v>15.754693984985352</v>
      </c>
      <c r="F172" s="34">
        <f t="shared" si="107"/>
        <v>1.5923060150146497</v>
      </c>
      <c r="G172" s="34">
        <f t="shared" si="108"/>
        <v>0.33164093218764856</v>
      </c>
      <c r="H172" s="166"/>
      <c r="I172" s="166"/>
    </row>
    <row r="173" spans="1:9" x14ac:dyDescent="0.35">
      <c r="A173" s="161"/>
      <c r="B173" s="190" t="s">
        <v>252</v>
      </c>
      <c r="C173" s="35" t="s">
        <v>74</v>
      </c>
      <c r="D173">
        <v>15.109</v>
      </c>
      <c r="E173">
        <v>13.262619972229004</v>
      </c>
      <c r="F173" s="34">
        <f t="shared" si="107"/>
        <v>1.8463800277709961</v>
      </c>
      <c r="G173" s="34">
        <f t="shared" si="108"/>
        <v>0.27808926756347874</v>
      </c>
      <c r="H173" s="164">
        <f t="shared" ref="H173" si="111">AVERAGE(G173,G174,G175)</f>
        <v>0.35469579994932188</v>
      </c>
      <c r="I173" s="164">
        <f t="shared" ref="I173" si="112">STDEV(G173,G175)/SQRT(3)</f>
        <v>0.10419972876213135</v>
      </c>
    </row>
    <row r="174" spans="1:9" x14ac:dyDescent="0.35">
      <c r="A174" s="161"/>
      <c r="B174" s="191"/>
      <c r="C174" s="35" t="s">
        <v>75</v>
      </c>
      <c r="D174">
        <v>15.047000000000001</v>
      </c>
      <c r="E174">
        <v>13.062341690063477</v>
      </c>
      <c r="F174" s="34">
        <f t="shared" si="107"/>
        <v>1.984658309936524</v>
      </c>
      <c r="G174" s="34">
        <f t="shared" si="108"/>
        <v>0.2526726979173779</v>
      </c>
      <c r="H174" s="165"/>
      <c r="I174" s="165"/>
    </row>
    <row r="175" spans="1:9" x14ac:dyDescent="0.35">
      <c r="A175" s="161"/>
      <c r="B175" s="192"/>
      <c r="C175" s="35" t="s">
        <v>76</v>
      </c>
      <c r="D175">
        <v>14.2134</v>
      </c>
      <c r="E175">
        <v>13.306488037109375</v>
      </c>
      <c r="F175" s="34">
        <f t="shared" si="107"/>
        <v>0.90691196289062503</v>
      </c>
      <c r="G175" s="34">
        <f t="shared" si="108"/>
        <v>0.53332543436710889</v>
      </c>
      <c r="H175" s="166"/>
      <c r="I175" s="166"/>
    </row>
    <row r="176" spans="1:9" x14ac:dyDescent="0.35">
      <c r="A176" s="161"/>
      <c r="B176" s="190" t="s">
        <v>314</v>
      </c>
      <c r="C176" s="35" t="s">
        <v>74</v>
      </c>
      <c r="D176">
        <v>16.047000000000001</v>
      </c>
      <c r="E176">
        <v>13.306488037109375</v>
      </c>
      <c r="F176" s="34">
        <f t="shared" si="107"/>
        <v>2.7405119628906256</v>
      </c>
      <c r="G176" s="34">
        <f t="shared" si="108"/>
        <v>0.14963172949613585</v>
      </c>
      <c r="H176" s="164">
        <f t="shared" ref="H176" si="113">AVERAGE(G176,G177,G178)</f>
        <v>0.28575934404864672</v>
      </c>
      <c r="I176" s="164">
        <f t="shared" ref="I176" si="114">STDEV(G176,G178)/SQRT(3)</f>
        <v>3.3153425637577678E-2</v>
      </c>
    </row>
    <row r="177" spans="1:9" x14ac:dyDescent="0.35">
      <c r="A177" s="161"/>
      <c r="B177" s="191"/>
      <c r="C177" s="35" t="s">
        <v>75</v>
      </c>
      <c r="D177">
        <v>16.468</v>
      </c>
      <c r="E177">
        <v>15.822392463684082</v>
      </c>
      <c r="F177" s="34">
        <f t="shared" si="107"/>
        <v>0.64560753631591794</v>
      </c>
      <c r="G177" s="34">
        <f t="shared" si="108"/>
        <v>0.63922354919103974</v>
      </c>
      <c r="H177" s="165"/>
      <c r="I177" s="165"/>
    </row>
    <row r="178" spans="1:9" x14ac:dyDescent="0.35">
      <c r="A178" s="161"/>
      <c r="B178" s="192"/>
      <c r="C178" s="35" t="s">
        <v>76</v>
      </c>
      <c r="D178">
        <v>17.132000000000001</v>
      </c>
      <c r="E178">
        <v>13.262619972229004</v>
      </c>
      <c r="F178" s="34">
        <f t="shared" si="107"/>
        <v>3.8693800277709975</v>
      </c>
      <c r="G178" s="34">
        <f t="shared" si="108"/>
        <v>6.8422753458764474E-2</v>
      </c>
      <c r="H178" s="166"/>
      <c r="I178" s="166"/>
    </row>
    <row r="179" spans="1:9" x14ac:dyDescent="0.35">
      <c r="A179" s="161"/>
      <c r="B179" s="190" t="s">
        <v>313</v>
      </c>
      <c r="C179" s="35" t="s">
        <v>74</v>
      </c>
      <c r="D179">
        <v>20.196999999999999</v>
      </c>
      <c r="E179">
        <v>13.91949462890625</v>
      </c>
      <c r="F179" s="34">
        <f t="shared" si="107"/>
        <v>6.2775053710937492</v>
      </c>
      <c r="G179" s="34">
        <f t="shared" si="108"/>
        <v>1.2890880586033059E-2</v>
      </c>
      <c r="H179" s="164">
        <f t="shared" ref="H179" si="115">AVERAGE(G179,G180,G181)</f>
        <v>1.8425673008980945E-2</v>
      </c>
      <c r="I179" s="164">
        <f t="shared" ref="I179" si="116">STDEV(G179,G181)/SQRT(3)</f>
        <v>2.4736253110720398E-3</v>
      </c>
    </row>
    <row r="180" spans="1:9" x14ac:dyDescent="0.35">
      <c r="A180" s="161"/>
      <c r="B180" s="191"/>
      <c r="C180" s="35" t="s">
        <v>75</v>
      </c>
      <c r="D180">
        <v>19.247</v>
      </c>
      <c r="E180">
        <v>13.831878662109375</v>
      </c>
      <c r="F180" s="34">
        <f t="shared" si="107"/>
        <v>5.4151213378906249</v>
      </c>
      <c r="G180" s="34">
        <f t="shared" si="108"/>
        <v>2.3436138027916886E-2</v>
      </c>
      <c r="H180" s="165"/>
      <c r="I180" s="165"/>
    </row>
    <row r="181" spans="1:9" x14ac:dyDescent="0.35">
      <c r="A181" s="161"/>
      <c r="B181" s="192"/>
      <c r="C181" s="35" t="s">
        <v>76</v>
      </c>
      <c r="D181">
        <v>18.783999999999999</v>
      </c>
      <c r="E181">
        <v>13.062341690063477</v>
      </c>
      <c r="F181" s="34">
        <f t="shared" si="107"/>
        <v>5.7216583099365224</v>
      </c>
      <c r="G181" s="34">
        <f t="shared" si="108"/>
        <v>1.8950000412992885E-2</v>
      </c>
      <c r="H181" s="166"/>
      <c r="I181" s="166"/>
    </row>
    <row r="182" spans="1:9" x14ac:dyDescent="0.35">
      <c r="A182" s="161"/>
      <c r="B182" s="190" t="s">
        <v>312</v>
      </c>
      <c r="C182" s="35" t="s">
        <v>74</v>
      </c>
      <c r="D182">
        <v>19.79</v>
      </c>
      <c r="E182">
        <v>13.062341690063477</v>
      </c>
      <c r="F182" s="34">
        <f t="shared" si="107"/>
        <v>6.7276583099365226</v>
      </c>
      <c r="G182" s="34">
        <f t="shared" si="108"/>
        <v>9.435676616209426E-3</v>
      </c>
      <c r="H182" s="164">
        <f t="shared" ref="H182" si="117">AVERAGE(G182,G183,G184)</f>
        <v>1.5471106676089337E-2</v>
      </c>
      <c r="I182" s="164">
        <f t="shared" ref="I182" si="118">STDEV(G182,G184)/SQRT(3)</f>
        <v>6.8491804806555968E-3</v>
      </c>
    </row>
    <row r="183" spans="1:9" x14ac:dyDescent="0.35">
      <c r="A183" s="161"/>
      <c r="B183" s="191"/>
      <c r="C183" s="35" t="s">
        <v>75</v>
      </c>
      <c r="D183">
        <v>19.844000000000001</v>
      </c>
      <c r="E183">
        <v>13.306488037109375</v>
      </c>
      <c r="F183" s="34">
        <f t="shared" si="107"/>
        <v>6.5375119628906262</v>
      </c>
      <c r="G183" s="34">
        <f t="shared" si="108"/>
        <v>1.0764969462012521E-2</v>
      </c>
      <c r="H183" s="165"/>
      <c r="I183" s="165"/>
    </row>
    <row r="184" spans="1:9" x14ac:dyDescent="0.35">
      <c r="A184" s="161"/>
      <c r="B184" s="192"/>
      <c r="C184" s="35" t="s">
        <v>76</v>
      </c>
      <c r="D184">
        <v>19.902999999999999</v>
      </c>
      <c r="E184">
        <v>14.6494083404541</v>
      </c>
      <c r="F184" s="34">
        <f t="shared" si="107"/>
        <v>5.2535916595458989</v>
      </c>
      <c r="G184" s="34">
        <f t="shared" si="108"/>
        <v>2.6212673950046068E-2</v>
      </c>
      <c r="H184" s="166"/>
      <c r="I184" s="166"/>
    </row>
    <row r="185" spans="1:9" x14ac:dyDescent="0.35">
      <c r="A185" s="161" t="s">
        <v>144</v>
      </c>
      <c r="B185" s="189" t="s">
        <v>73</v>
      </c>
      <c r="C185" s="35" t="s">
        <v>2</v>
      </c>
      <c r="D185">
        <v>16.78</v>
      </c>
      <c r="E185">
        <v>13.831878662109375</v>
      </c>
      <c r="F185" s="34">
        <f t="shared" si="107"/>
        <v>2.9481213378906261</v>
      </c>
      <c r="G185" s="34">
        <f t="shared" si="108"/>
        <v>0.12957673911534381</v>
      </c>
      <c r="H185" s="164">
        <f>AVERAGE(G185,G186,G187)</f>
        <v>0.42998125127492171</v>
      </c>
      <c r="I185" s="164">
        <f>STDEV(G185,G187)/SQRT(3)</f>
        <v>1.8461636155980451E-2</v>
      </c>
    </row>
    <row r="186" spans="1:9" x14ac:dyDescent="0.35">
      <c r="A186" s="161"/>
      <c r="B186" s="189"/>
      <c r="C186" s="35" t="s">
        <v>1</v>
      </c>
      <c r="D186">
        <v>15.648999999999999</v>
      </c>
      <c r="E186">
        <v>15.754693984985352</v>
      </c>
      <c r="F186" s="34">
        <f t="shared" si="107"/>
        <v>-0.10569398498535243</v>
      </c>
      <c r="G186" s="34">
        <f t="shared" si="108"/>
        <v>1.0760118639931466</v>
      </c>
      <c r="H186" s="165"/>
      <c r="I186" s="165"/>
    </row>
    <row r="187" spans="1:9" x14ac:dyDescent="0.35">
      <c r="A187" s="161"/>
      <c r="B187" s="189"/>
      <c r="C187" s="35" t="s">
        <v>0</v>
      </c>
      <c r="D187">
        <v>16.829999999999998</v>
      </c>
      <c r="E187">
        <v>13.262619972229004</v>
      </c>
      <c r="F187" s="34">
        <f t="shared" si="107"/>
        <v>3.5673800277709944</v>
      </c>
      <c r="G187" s="34">
        <f t="shared" si="108"/>
        <v>8.4355150716274696E-2</v>
      </c>
      <c r="H187" s="166"/>
      <c r="I187" s="166"/>
    </row>
    <row r="188" spans="1:9" x14ac:dyDescent="0.35">
      <c r="A188" s="161"/>
      <c r="B188" s="189" t="s">
        <v>311</v>
      </c>
      <c r="C188" s="35" t="s">
        <v>74</v>
      </c>
      <c r="D188">
        <v>14.18</v>
      </c>
      <c r="E188">
        <v>13.306488037109375</v>
      </c>
      <c r="F188" s="34">
        <f t="shared" si="107"/>
        <v>0.87351196289062472</v>
      </c>
      <c r="G188" s="34">
        <f t="shared" si="108"/>
        <v>0.54581654696643622</v>
      </c>
      <c r="H188" s="164">
        <f t="shared" ref="H188" si="119">AVERAGE(G188,G189,G190)</f>
        <v>0.92508936018977772</v>
      </c>
      <c r="I188" s="164">
        <f t="shared" ref="I188" si="120">STDEV(G188,G190)/SQRT(3)</f>
        <v>0.11423489204394442</v>
      </c>
    </row>
    <row r="189" spans="1:9" x14ac:dyDescent="0.35">
      <c r="A189" s="161"/>
      <c r="B189" s="189"/>
      <c r="C189" s="35" t="s">
        <v>75</v>
      </c>
      <c r="D189">
        <v>14.849</v>
      </c>
      <c r="E189">
        <v>15.822392463684082</v>
      </c>
      <c r="F189" s="34">
        <f t="shared" si="107"/>
        <v>-0.97339246368408183</v>
      </c>
      <c r="G189" s="34">
        <f t="shared" si="108"/>
        <v>1.9634521829660463</v>
      </c>
      <c r="H189" s="165"/>
      <c r="I189" s="165"/>
    </row>
    <row r="190" spans="1:9" x14ac:dyDescent="0.35">
      <c r="A190" s="161"/>
      <c r="B190" s="189"/>
      <c r="C190" s="35" t="s">
        <v>76</v>
      </c>
      <c r="D190">
        <v>15.83</v>
      </c>
      <c r="E190">
        <v>13.91949462890625</v>
      </c>
      <c r="F190" s="34">
        <f t="shared" si="107"/>
        <v>1.9105053710937501</v>
      </c>
      <c r="G190" s="34">
        <f t="shared" si="108"/>
        <v>0.26599935063685065</v>
      </c>
      <c r="H190" s="166"/>
      <c r="I190" s="166"/>
    </row>
    <row r="191" spans="1:9" x14ac:dyDescent="0.35">
      <c r="A191" s="161"/>
      <c r="B191" s="190" t="s">
        <v>252</v>
      </c>
      <c r="C191" s="35" t="s">
        <v>74</v>
      </c>
      <c r="D191">
        <v>14.349</v>
      </c>
      <c r="E191">
        <v>14.8881015777588</v>
      </c>
      <c r="F191" s="34">
        <f t="shared" si="107"/>
        <v>-0.53910157775879952</v>
      </c>
      <c r="G191" s="34">
        <f t="shared" si="108"/>
        <v>1.4530673540259038</v>
      </c>
      <c r="H191" s="164">
        <f t="shared" ref="H191" si="121">AVERAGE(G191,G192,G193)</f>
        <v>0.76408282039117481</v>
      </c>
      <c r="I191" s="164">
        <f t="shared" ref="I191" si="122">STDEV(G191,G193)/SQRT(3)</f>
        <v>0.43072512707540866</v>
      </c>
    </row>
    <row r="192" spans="1:9" x14ac:dyDescent="0.35">
      <c r="A192" s="161"/>
      <c r="B192" s="191"/>
      <c r="C192" s="35" t="s">
        <v>75</v>
      </c>
      <c r="D192">
        <v>15.83</v>
      </c>
      <c r="E192">
        <v>14.6494083404541</v>
      </c>
      <c r="F192" s="34">
        <f t="shared" si="107"/>
        <v>1.1805916595459003</v>
      </c>
      <c r="G192" s="34">
        <f t="shared" si="108"/>
        <v>0.44117053385191085</v>
      </c>
      <c r="H192" s="165"/>
      <c r="I192" s="165"/>
    </row>
    <row r="193" spans="1:9" x14ac:dyDescent="0.35">
      <c r="A193" s="161"/>
      <c r="B193" s="192"/>
      <c r="C193" s="35" t="s">
        <v>76</v>
      </c>
      <c r="D193">
        <v>15.161</v>
      </c>
      <c r="E193">
        <v>13.831878662109375</v>
      </c>
      <c r="F193" s="34">
        <f t="shared" si="107"/>
        <v>1.3291213378906246</v>
      </c>
      <c r="G193" s="34">
        <f t="shared" si="108"/>
        <v>0.39801057329570966</v>
      </c>
      <c r="H193" s="166"/>
      <c r="I193" s="166"/>
    </row>
    <row r="194" spans="1:9" x14ac:dyDescent="0.35">
      <c r="A194" s="161"/>
      <c r="B194" s="190" t="s">
        <v>314</v>
      </c>
      <c r="C194" s="35" t="s">
        <v>74</v>
      </c>
      <c r="D194">
        <v>14.903</v>
      </c>
      <c r="E194">
        <v>14.8881015777588</v>
      </c>
      <c r="F194" s="34">
        <f t="shared" si="107"/>
        <v>1.4898422241200748E-2</v>
      </c>
      <c r="G194" s="34">
        <f t="shared" si="108"/>
        <v>0.98972633894779094</v>
      </c>
      <c r="H194" s="164">
        <f t="shared" ref="H194" si="123">AVERAGE(G194,G195,G196)</f>
        <v>1.169386805846204</v>
      </c>
      <c r="I194" s="164">
        <f t="shared" ref="I194" si="124">STDEV(G194,G196)/SQRT(3)</f>
        <v>9.8168011190421761E-2</v>
      </c>
    </row>
    <row r="195" spans="1:9" x14ac:dyDescent="0.35">
      <c r="A195" s="161"/>
      <c r="B195" s="191"/>
      <c r="C195" s="35" t="s">
        <v>75</v>
      </c>
      <c r="D195">
        <v>14.284000000000001</v>
      </c>
      <c r="E195">
        <v>14.6494083404541</v>
      </c>
      <c r="F195" s="34">
        <f t="shared" si="107"/>
        <v>-0.36540834045409909</v>
      </c>
      <c r="G195" s="34">
        <f t="shared" si="108"/>
        <v>1.2882462031626676</v>
      </c>
      <c r="H195" s="165"/>
      <c r="I195" s="165"/>
    </row>
    <row r="196" spans="1:9" x14ac:dyDescent="0.35">
      <c r="A196" s="161"/>
      <c r="B196" s="192"/>
      <c r="C196" s="35" t="s">
        <v>76</v>
      </c>
      <c r="D196">
        <v>13.532999999999999</v>
      </c>
      <c r="E196">
        <v>13.831878662109375</v>
      </c>
      <c r="F196" s="34">
        <f t="shared" si="107"/>
        <v>-0.29887866210937553</v>
      </c>
      <c r="G196" s="34">
        <f t="shared" si="108"/>
        <v>1.2301878754281537</v>
      </c>
      <c r="H196" s="166"/>
      <c r="I196" s="166"/>
    </row>
    <row r="197" spans="1:9" x14ac:dyDescent="0.35">
      <c r="A197" s="161"/>
      <c r="B197" s="190" t="s">
        <v>313</v>
      </c>
      <c r="C197" s="35" t="s">
        <v>74</v>
      </c>
      <c r="D197">
        <v>16.459</v>
      </c>
      <c r="E197">
        <v>15.754693984985352</v>
      </c>
      <c r="F197" s="34">
        <f t="shared" si="107"/>
        <v>0.70430601501464807</v>
      </c>
      <c r="G197" s="34">
        <f t="shared" si="108"/>
        <v>0.61373764614366522</v>
      </c>
      <c r="H197" s="164">
        <f t="shared" ref="H197" si="125">AVERAGE(G197,G198,G199)</f>
        <v>0.28645269611497076</v>
      </c>
      <c r="I197" s="164">
        <f t="shared" ref="I197" si="126">STDEV(G197,G199)/SQRT(3)</f>
        <v>0.17607649324041974</v>
      </c>
    </row>
    <row r="198" spans="1:9" x14ac:dyDescent="0.35">
      <c r="A198" s="161"/>
      <c r="B198" s="191"/>
      <c r="C198" s="35" t="s">
        <v>75</v>
      </c>
      <c r="D198">
        <v>17.247</v>
      </c>
      <c r="E198">
        <v>13.262619972229004</v>
      </c>
      <c r="F198" s="34">
        <f t="shared" si="107"/>
        <v>3.984380027770996</v>
      </c>
      <c r="G198" s="34">
        <f t="shared" si="108"/>
        <v>6.3180360195221691E-2</v>
      </c>
      <c r="H198" s="165"/>
      <c r="I198" s="165"/>
    </row>
    <row r="199" spans="1:9" x14ac:dyDescent="0.35">
      <c r="A199" s="161"/>
      <c r="B199" s="192"/>
      <c r="C199" s="35" t="s">
        <v>76</v>
      </c>
      <c r="D199">
        <v>16.373999999999999</v>
      </c>
      <c r="E199">
        <v>13.91949462890625</v>
      </c>
      <c r="F199" s="34">
        <f t="shared" si="107"/>
        <v>2.4545053710937488</v>
      </c>
      <c r="G199" s="34">
        <f t="shared" si="108"/>
        <v>0.18244008200602549</v>
      </c>
      <c r="H199" s="166"/>
      <c r="I199" s="166"/>
    </row>
    <row r="200" spans="1:9" x14ac:dyDescent="0.35">
      <c r="A200" s="161"/>
      <c r="B200" s="190" t="s">
        <v>312</v>
      </c>
      <c r="C200" s="35" t="s">
        <v>74</v>
      </c>
      <c r="D200">
        <v>16.010000000000002</v>
      </c>
      <c r="E200">
        <v>13.062341690063477</v>
      </c>
      <c r="F200" s="34">
        <f t="shared" si="107"/>
        <v>2.947658309936525</v>
      </c>
      <c r="G200" s="34">
        <f t="shared" si="108"/>
        <v>0.12961833299330139</v>
      </c>
      <c r="H200" s="164">
        <f t="shared" ref="H200" si="127">AVERAGE(G200,G201,G202)</f>
        <v>0.27121577818752035</v>
      </c>
      <c r="I200" s="164">
        <f t="shared" ref="I200" si="128">STDEV(G200,G202)/SQRT(3)</f>
        <v>0.10889631154329195</v>
      </c>
    </row>
    <row r="201" spans="1:9" x14ac:dyDescent="0.35">
      <c r="A201" s="161"/>
      <c r="B201" s="191"/>
      <c r="C201" s="35" t="s">
        <v>75</v>
      </c>
      <c r="D201">
        <v>15.103999999999999</v>
      </c>
      <c r="E201">
        <v>13.306488037109375</v>
      </c>
      <c r="F201" s="34">
        <f t="shared" si="107"/>
        <v>1.7975119628906242</v>
      </c>
      <c r="G201" s="34">
        <f t="shared" si="108"/>
        <v>0.28767027042374349</v>
      </c>
      <c r="H201" s="165"/>
      <c r="I201" s="165"/>
    </row>
    <row r="202" spans="1:9" x14ac:dyDescent="0.35">
      <c r="A202" s="161"/>
      <c r="B202" s="192"/>
      <c r="C202" s="35" t="s">
        <v>76</v>
      </c>
      <c r="D202">
        <v>15.167</v>
      </c>
      <c r="E202">
        <v>13.831878662109375</v>
      </c>
      <c r="F202" s="34">
        <f t="shared" si="107"/>
        <v>1.3351213378906248</v>
      </c>
      <c r="G202" s="34">
        <f t="shared" si="108"/>
        <v>0.39635873114551617</v>
      </c>
      <c r="H202" s="166"/>
      <c r="I202" s="166"/>
    </row>
  </sheetData>
  <mergeCells count="200">
    <mergeCell ref="H106:H108"/>
    <mergeCell ref="I106:I108"/>
    <mergeCell ref="B118:B120"/>
    <mergeCell ref="H118:H120"/>
    <mergeCell ref="I118:I120"/>
    <mergeCell ref="B121:B123"/>
    <mergeCell ref="H121:H123"/>
    <mergeCell ref="I121:I123"/>
    <mergeCell ref="H112:H114"/>
    <mergeCell ref="I112:I114"/>
    <mergeCell ref="B115:B117"/>
    <mergeCell ref="H115:H117"/>
    <mergeCell ref="I115:I117"/>
    <mergeCell ref="B109:B111"/>
    <mergeCell ref="H109:H111"/>
    <mergeCell ref="I109:I111"/>
    <mergeCell ref="A88:A105"/>
    <mergeCell ref="A106:A123"/>
    <mergeCell ref="B112:B114"/>
    <mergeCell ref="A84:I84"/>
    <mergeCell ref="B86:I86"/>
    <mergeCell ref="B88:B90"/>
    <mergeCell ref="H88:H90"/>
    <mergeCell ref="I88:I90"/>
    <mergeCell ref="B91:B93"/>
    <mergeCell ref="H91:H93"/>
    <mergeCell ref="I91:I93"/>
    <mergeCell ref="B94:B96"/>
    <mergeCell ref="H94:H96"/>
    <mergeCell ref="I94:I96"/>
    <mergeCell ref="B97:B99"/>
    <mergeCell ref="H97:H99"/>
    <mergeCell ref="I97:I99"/>
    <mergeCell ref="B100:B102"/>
    <mergeCell ref="H100:H102"/>
    <mergeCell ref="I100:I102"/>
    <mergeCell ref="B103:B105"/>
    <mergeCell ref="H103:H105"/>
    <mergeCell ref="I103:I105"/>
    <mergeCell ref="B106:B108"/>
    <mergeCell ref="B11:B13"/>
    <mergeCell ref="H11:H13"/>
    <mergeCell ref="I11:I13"/>
    <mergeCell ref="B14:B16"/>
    <mergeCell ref="H14:H16"/>
    <mergeCell ref="I14:I16"/>
    <mergeCell ref="B8:B10"/>
    <mergeCell ref="H8:H10"/>
    <mergeCell ref="I8:I10"/>
    <mergeCell ref="B3:I3"/>
    <mergeCell ref="B5:B7"/>
    <mergeCell ref="H5:H7"/>
    <mergeCell ref="I5:I7"/>
    <mergeCell ref="A1:I1"/>
    <mergeCell ref="H65:H67"/>
    <mergeCell ref="I65:I67"/>
    <mergeCell ref="B68:B70"/>
    <mergeCell ref="H68:H70"/>
    <mergeCell ref="I68:I70"/>
    <mergeCell ref="H41:H43"/>
    <mergeCell ref="I41:I43"/>
    <mergeCell ref="B30:I30"/>
    <mergeCell ref="B32:B34"/>
    <mergeCell ref="H32:H34"/>
    <mergeCell ref="I32:I34"/>
    <mergeCell ref="B35:B37"/>
    <mergeCell ref="H35:H37"/>
    <mergeCell ref="I35:I37"/>
    <mergeCell ref="H17:H19"/>
    <mergeCell ref="I17:I19"/>
    <mergeCell ref="B20:B22"/>
    <mergeCell ref="H20:H22"/>
    <mergeCell ref="I20:I22"/>
    <mergeCell ref="A71:A82"/>
    <mergeCell ref="A59:A70"/>
    <mergeCell ref="A5:A16"/>
    <mergeCell ref="A17:A28"/>
    <mergeCell ref="B17:B19"/>
    <mergeCell ref="B23:B25"/>
    <mergeCell ref="B38:B40"/>
    <mergeCell ref="B41:B43"/>
    <mergeCell ref="B65:B67"/>
    <mergeCell ref="B57:I57"/>
    <mergeCell ref="B59:B61"/>
    <mergeCell ref="H59:H61"/>
    <mergeCell ref="I59:I61"/>
    <mergeCell ref="B62:B64"/>
    <mergeCell ref="H62:H64"/>
    <mergeCell ref="I62:I64"/>
    <mergeCell ref="H23:H25"/>
    <mergeCell ref="I23:I25"/>
    <mergeCell ref="B26:B28"/>
    <mergeCell ref="H26:H28"/>
    <mergeCell ref="I26:I28"/>
    <mergeCell ref="B71:B73"/>
    <mergeCell ref="H71:H73"/>
    <mergeCell ref="I71:I73"/>
    <mergeCell ref="B74:B76"/>
    <mergeCell ref="H74:H76"/>
    <mergeCell ref="I74:I76"/>
    <mergeCell ref="B77:B79"/>
    <mergeCell ref="H77:H79"/>
    <mergeCell ref="I77:I79"/>
    <mergeCell ref="B80:B82"/>
    <mergeCell ref="H80:H82"/>
    <mergeCell ref="I80:I82"/>
    <mergeCell ref="I50:I52"/>
    <mergeCell ref="B53:B55"/>
    <mergeCell ref="H53:H55"/>
    <mergeCell ref="I53:I55"/>
    <mergeCell ref="A32:A43"/>
    <mergeCell ref="A44:A55"/>
    <mergeCell ref="B44:B46"/>
    <mergeCell ref="H44:H46"/>
    <mergeCell ref="I44:I46"/>
    <mergeCell ref="B47:B49"/>
    <mergeCell ref="H47:H49"/>
    <mergeCell ref="I47:I49"/>
    <mergeCell ref="B50:B52"/>
    <mergeCell ref="H50:H52"/>
    <mergeCell ref="H38:H40"/>
    <mergeCell ref="I38:I40"/>
    <mergeCell ref="B125:I125"/>
    <mergeCell ref="A127:A144"/>
    <mergeCell ref="B127:B129"/>
    <mergeCell ref="H127:H129"/>
    <mergeCell ref="I127:I129"/>
    <mergeCell ref="B130:B132"/>
    <mergeCell ref="H130:H132"/>
    <mergeCell ref="I130:I132"/>
    <mergeCell ref="B133:B135"/>
    <mergeCell ref="H133:H135"/>
    <mergeCell ref="I133:I135"/>
    <mergeCell ref="B136:B138"/>
    <mergeCell ref="H136:H138"/>
    <mergeCell ref="I136:I138"/>
    <mergeCell ref="B139:B141"/>
    <mergeCell ref="H139:H141"/>
    <mergeCell ref="I139:I141"/>
    <mergeCell ref="B142:B144"/>
    <mergeCell ref="H142:H144"/>
    <mergeCell ref="I142:I144"/>
    <mergeCell ref="A145:A162"/>
    <mergeCell ref="B145:B147"/>
    <mergeCell ref="H145:H147"/>
    <mergeCell ref="I145:I147"/>
    <mergeCell ref="B148:B150"/>
    <mergeCell ref="H148:H150"/>
    <mergeCell ref="I148:I150"/>
    <mergeCell ref="B151:B153"/>
    <mergeCell ref="H151:H153"/>
    <mergeCell ref="I151:I153"/>
    <mergeCell ref="B154:B156"/>
    <mergeCell ref="H154:H156"/>
    <mergeCell ref="I154:I156"/>
    <mergeCell ref="B157:B159"/>
    <mergeCell ref="H157:H159"/>
    <mergeCell ref="I157:I159"/>
    <mergeCell ref="B160:B162"/>
    <mergeCell ref="H160:H162"/>
    <mergeCell ref="I160:I162"/>
    <mergeCell ref="B165:I165"/>
    <mergeCell ref="A167:A184"/>
    <mergeCell ref="B167:B169"/>
    <mergeCell ref="H167:H169"/>
    <mergeCell ref="I167:I169"/>
    <mergeCell ref="B170:B172"/>
    <mergeCell ref="H170:H172"/>
    <mergeCell ref="I170:I172"/>
    <mergeCell ref="B173:B175"/>
    <mergeCell ref="H173:H175"/>
    <mergeCell ref="I173:I175"/>
    <mergeCell ref="B176:B178"/>
    <mergeCell ref="H176:H178"/>
    <mergeCell ref="I176:I178"/>
    <mergeCell ref="B179:B181"/>
    <mergeCell ref="H179:H181"/>
    <mergeCell ref="I179:I181"/>
    <mergeCell ref="B182:B184"/>
    <mergeCell ref="H182:H184"/>
    <mergeCell ref="I182:I184"/>
    <mergeCell ref="A185:A202"/>
    <mergeCell ref="B185:B187"/>
    <mergeCell ref="H185:H187"/>
    <mergeCell ref="I185:I187"/>
    <mergeCell ref="B188:B190"/>
    <mergeCell ref="H188:H190"/>
    <mergeCell ref="I188:I190"/>
    <mergeCell ref="B191:B193"/>
    <mergeCell ref="H191:H193"/>
    <mergeCell ref="I191:I193"/>
    <mergeCell ref="B194:B196"/>
    <mergeCell ref="H194:H196"/>
    <mergeCell ref="I194:I196"/>
    <mergeCell ref="B197:B199"/>
    <mergeCell ref="H197:H199"/>
    <mergeCell ref="I197:I199"/>
    <mergeCell ref="B200:B202"/>
    <mergeCell ref="H200:H202"/>
    <mergeCell ref="I200:I20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975A2-958E-4CB0-A8C2-4331D2D7CBB4}">
  <dimension ref="A1:I347"/>
  <sheetViews>
    <sheetView topLeftCell="A329" zoomScaleNormal="100" workbookViewId="0">
      <selection activeCell="J101" sqref="J101"/>
    </sheetView>
  </sheetViews>
  <sheetFormatPr defaultRowHeight="14.5" x14ac:dyDescent="0.35"/>
  <cols>
    <col min="1" max="1" width="21.1796875" customWidth="1"/>
    <col min="3" max="3" width="10.453125" customWidth="1"/>
  </cols>
  <sheetData>
    <row r="1" spans="1:9" ht="21" x14ac:dyDescent="0.5">
      <c r="A1" s="163" t="s">
        <v>316</v>
      </c>
      <c r="B1" s="163"/>
      <c r="C1" s="163"/>
      <c r="D1" s="163"/>
      <c r="E1" s="163"/>
      <c r="F1" s="163"/>
      <c r="G1" s="163"/>
      <c r="H1" s="163"/>
      <c r="I1" s="140"/>
    </row>
    <row r="3" spans="1:9" x14ac:dyDescent="0.35">
      <c r="A3" s="168" t="s">
        <v>82</v>
      </c>
      <c r="B3" s="168"/>
      <c r="C3" s="168"/>
      <c r="D3" s="168"/>
      <c r="E3" s="168"/>
      <c r="F3" s="168"/>
      <c r="G3" s="168"/>
      <c r="H3" s="168"/>
    </row>
    <row r="4" spans="1:9" x14ac:dyDescent="0.35">
      <c r="A4" s="33" t="s">
        <v>8</v>
      </c>
      <c r="B4" s="34"/>
      <c r="C4" s="33" t="s">
        <v>7</v>
      </c>
      <c r="D4" s="33" t="s">
        <v>6</v>
      </c>
      <c r="E4" s="33" t="s">
        <v>5</v>
      </c>
      <c r="F4" s="33" t="s">
        <v>4</v>
      </c>
      <c r="G4" s="33" t="s">
        <v>3</v>
      </c>
      <c r="H4" s="33" t="s">
        <v>72</v>
      </c>
    </row>
    <row r="5" spans="1:9" x14ac:dyDescent="0.35">
      <c r="A5" s="167" t="s">
        <v>11</v>
      </c>
      <c r="B5" s="35" t="s">
        <v>2</v>
      </c>
      <c r="C5" s="1">
        <v>26.251828549300001</v>
      </c>
      <c r="D5" s="36">
        <v>16.198989868164063</v>
      </c>
      <c r="E5" s="37">
        <f t="shared" ref="E5:E10" si="0">C5-D5</f>
        <v>10.052838681135938</v>
      </c>
      <c r="F5" s="37">
        <f t="shared" ref="F5:F10" si="1">2^-E5</f>
        <v>9.4144296698853603E-4</v>
      </c>
      <c r="G5" s="164">
        <f t="shared" ref="G5" si="2">AVERAGE(F5:F7)</f>
        <v>1.9452021070700727E-3</v>
      </c>
      <c r="H5" s="164">
        <f t="shared" ref="H5" si="3">STDEV(F5:F7)/SQRT(3)</f>
        <v>1.1503087110267521E-3</v>
      </c>
    </row>
    <row r="6" spans="1:9" x14ac:dyDescent="0.35">
      <c r="A6" s="167"/>
      <c r="B6" s="35" t="s">
        <v>1</v>
      </c>
      <c r="C6" s="1">
        <v>25.742360753947999</v>
      </c>
      <c r="D6" s="36">
        <v>17.8605861663818</v>
      </c>
      <c r="E6" s="34">
        <f t="shared" si="0"/>
        <v>7.8817745875661984</v>
      </c>
      <c r="F6" s="34">
        <f t="shared" si="1"/>
        <v>4.239839631637655E-3</v>
      </c>
      <c r="G6" s="165"/>
      <c r="H6" s="165"/>
    </row>
    <row r="7" spans="1:9" x14ac:dyDescent="0.35">
      <c r="A7" s="167"/>
      <c r="B7" s="35" t="s">
        <v>0</v>
      </c>
      <c r="C7" s="1">
        <v>26.776697670986</v>
      </c>
      <c r="D7" s="36">
        <v>16.198989868164063</v>
      </c>
      <c r="E7" s="34">
        <f t="shared" si="0"/>
        <v>10.577707802821937</v>
      </c>
      <c r="F7" s="34">
        <f t="shared" si="1"/>
        <v>6.5432372258402696E-4</v>
      </c>
      <c r="G7" s="166"/>
      <c r="H7" s="166"/>
    </row>
    <row r="8" spans="1:9" x14ac:dyDescent="0.35">
      <c r="A8" s="167" t="s">
        <v>251</v>
      </c>
      <c r="B8" s="35" t="s">
        <v>74</v>
      </c>
      <c r="C8" s="1">
        <v>22.151341138631999</v>
      </c>
      <c r="D8" s="36">
        <v>14.494866371154785</v>
      </c>
      <c r="E8" s="34">
        <f t="shared" si="0"/>
        <v>7.6564747674772136</v>
      </c>
      <c r="F8" s="34">
        <f t="shared" si="1"/>
        <v>4.9564580403624542E-3</v>
      </c>
      <c r="G8" s="164">
        <f t="shared" ref="G8" si="4">AVERAGE(F8:F10)</f>
        <v>8.1723682287496695E-3</v>
      </c>
      <c r="H8" s="164">
        <f t="shared" ref="H8" si="5">STDEV(F8:F10)/SQRT(3)</f>
        <v>1.6091724156728875E-3</v>
      </c>
    </row>
    <row r="9" spans="1:9" x14ac:dyDescent="0.35">
      <c r="A9" s="167"/>
      <c r="B9" s="35" t="s">
        <v>75</v>
      </c>
      <c r="C9" s="1">
        <v>24.611295628855999</v>
      </c>
      <c r="D9" s="36">
        <v>17.919315338134801</v>
      </c>
      <c r="E9" s="34">
        <f t="shared" si="0"/>
        <v>6.6919802907211974</v>
      </c>
      <c r="F9" s="34">
        <f t="shared" si="1"/>
        <v>9.6719312786871046E-3</v>
      </c>
      <c r="G9" s="165"/>
      <c r="H9" s="165"/>
    </row>
    <row r="10" spans="1:9" x14ac:dyDescent="0.35">
      <c r="A10" s="167"/>
      <c r="B10" s="35" t="s">
        <v>76</v>
      </c>
      <c r="C10" s="1">
        <v>22.5613139985918</v>
      </c>
      <c r="D10" s="36">
        <v>15.901312828063965</v>
      </c>
      <c r="E10" s="34">
        <f t="shared" si="0"/>
        <v>6.6600011705278348</v>
      </c>
      <c r="F10" s="34">
        <f t="shared" si="1"/>
        <v>9.8887153671994472E-3</v>
      </c>
      <c r="G10" s="166"/>
      <c r="H10" s="166"/>
    </row>
    <row r="11" spans="1:9" x14ac:dyDescent="0.35">
      <c r="C11" s="1"/>
    </row>
    <row r="12" spans="1:9" x14ac:dyDescent="0.35">
      <c r="A12" s="168" t="s">
        <v>203</v>
      </c>
      <c r="B12" s="168"/>
      <c r="C12" s="168"/>
      <c r="D12" s="168"/>
      <c r="E12" s="168"/>
      <c r="F12" s="168"/>
      <c r="G12" s="168"/>
      <c r="H12" s="168"/>
    </row>
    <row r="13" spans="1:9" x14ac:dyDescent="0.35">
      <c r="A13" s="33" t="s">
        <v>8</v>
      </c>
      <c r="B13" s="34"/>
      <c r="C13" s="33" t="s">
        <v>7</v>
      </c>
      <c r="D13" s="33" t="s">
        <v>6</v>
      </c>
      <c r="E13" s="33" t="s">
        <v>5</v>
      </c>
      <c r="F13" s="33" t="s">
        <v>4</v>
      </c>
      <c r="G13" s="33" t="s">
        <v>3</v>
      </c>
      <c r="H13" s="33" t="s">
        <v>72</v>
      </c>
    </row>
    <row r="14" spans="1:9" x14ac:dyDescent="0.35">
      <c r="A14" s="167" t="s">
        <v>11</v>
      </c>
      <c r="B14" s="35" t="s">
        <v>2</v>
      </c>
      <c r="C14" s="1">
        <v>26.518285493</v>
      </c>
      <c r="D14" s="36">
        <v>16.198989868164063</v>
      </c>
      <c r="E14" s="37">
        <f t="shared" ref="E14:E19" si="6">C14-D14</f>
        <v>10.319295624835938</v>
      </c>
      <c r="F14" s="37">
        <f t="shared" ref="F14:F19" si="7">2^-E14</f>
        <v>7.8267683980655551E-4</v>
      </c>
      <c r="G14" s="164">
        <f t="shared" ref="G14" si="8">AVERAGE(F14:F16)</f>
        <v>1.2015009902040499E-3</v>
      </c>
      <c r="H14" s="164">
        <f t="shared" ref="H14" si="9">STDEV(F14:F16)/SQRT(3)</f>
        <v>2.9139227310260717E-4</v>
      </c>
    </row>
    <row r="15" spans="1:9" x14ac:dyDescent="0.35">
      <c r="A15" s="167"/>
      <c r="B15" s="35" t="s">
        <v>1</v>
      </c>
      <c r="C15" s="1">
        <v>27.742360753947999</v>
      </c>
      <c r="D15" s="36">
        <v>17.8605861663818</v>
      </c>
      <c r="E15" s="34">
        <f t="shared" si="6"/>
        <v>9.8817745875661984</v>
      </c>
      <c r="F15" s="34">
        <f t="shared" si="7"/>
        <v>1.0599599079094135E-3</v>
      </c>
      <c r="G15" s="165"/>
      <c r="H15" s="165"/>
    </row>
    <row r="16" spans="1:9" x14ac:dyDescent="0.35">
      <c r="A16" s="167"/>
      <c r="B16" s="35" t="s">
        <v>0</v>
      </c>
      <c r="C16" s="1">
        <v>25.347669767098601</v>
      </c>
      <c r="D16" s="36">
        <v>16.198989868164063</v>
      </c>
      <c r="E16" s="34">
        <f t="shared" si="6"/>
        <v>9.1486798989345388</v>
      </c>
      <c r="F16" s="34">
        <f t="shared" si="7"/>
        <v>1.7618662228961811E-3</v>
      </c>
      <c r="G16" s="166"/>
      <c r="H16" s="166"/>
    </row>
    <row r="17" spans="1:8" x14ac:dyDescent="0.35">
      <c r="A17" s="167" t="s">
        <v>251</v>
      </c>
      <c r="B17" s="35" t="s">
        <v>74</v>
      </c>
      <c r="C17" s="1">
        <v>23.151341138631999</v>
      </c>
      <c r="D17" s="36">
        <v>14.494866371154785</v>
      </c>
      <c r="E17" s="34">
        <f t="shared" si="6"/>
        <v>8.6564747674772136</v>
      </c>
      <c r="F17" s="34">
        <f t="shared" si="7"/>
        <v>2.4782290201812271E-3</v>
      </c>
      <c r="G17" s="164">
        <f t="shared" ref="G17" si="10">AVERAGE(F17:F19)</f>
        <v>2.9150221238674729E-3</v>
      </c>
      <c r="H17" s="164">
        <f t="shared" ref="H17" si="11">STDEV(F17:F19)/SQRT(3)</f>
        <v>4.3982166064637031E-4</v>
      </c>
    </row>
    <row r="18" spans="1:8" x14ac:dyDescent="0.35">
      <c r="A18" s="167"/>
      <c r="B18" s="35" t="s">
        <v>75</v>
      </c>
      <c r="C18" s="1">
        <v>25.961129562885599</v>
      </c>
      <c r="D18" s="36">
        <v>17.919315338134801</v>
      </c>
      <c r="E18" s="34">
        <f t="shared" si="6"/>
        <v>8.041814224750798</v>
      </c>
      <c r="F18" s="34">
        <f t="shared" si="7"/>
        <v>3.7946585096213297E-3</v>
      </c>
      <c r="G18" s="165"/>
      <c r="H18" s="165"/>
    </row>
    <row r="19" spans="1:8" x14ac:dyDescent="0.35">
      <c r="A19" s="167"/>
      <c r="B19" s="35" t="s">
        <v>76</v>
      </c>
      <c r="C19" s="1">
        <v>24.5613139985918</v>
      </c>
      <c r="D19" s="36">
        <v>15.901312828063965</v>
      </c>
      <c r="E19" s="34">
        <f t="shared" si="6"/>
        <v>8.6600011705278348</v>
      </c>
      <c r="F19" s="34">
        <f t="shared" si="7"/>
        <v>2.4721788417998614E-3</v>
      </c>
      <c r="G19" s="166"/>
      <c r="H19" s="166"/>
    </row>
    <row r="21" spans="1:8" x14ac:dyDescent="0.35">
      <c r="A21" s="168" t="s">
        <v>317</v>
      </c>
      <c r="B21" s="168"/>
      <c r="C21" s="168"/>
      <c r="D21" s="168"/>
      <c r="E21" s="168"/>
      <c r="F21" s="168"/>
      <c r="G21" s="168"/>
      <c r="H21" s="168"/>
    </row>
    <row r="22" spans="1:8" x14ac:dyDescent="0.35">
      <c r="A22" s="33" t="s">
        <v>8</v>
      </c>
      <c r="B22" s="34"/>
      <c r="C22" s="33" t="s">
        <v>7</v>
      </c>
      <c r="D22" s="33" t="s">
        <v>6</v>
      </c>
      <c r="E22" s="33" t="s">
        <v>5</v>
      </c>
      <c r="F22" s="33" t="s">
        <v>4</v>
      </c>
      <c r="G22" s="33" t="s">
        <v>3</v>
      </c>
      <c r="H22" s="33" t="s">
        <v>72</v>
      </c>
    </row>
    <row r="23" spans="1:8" x14ac:dyDescent="0.35">
      <c r="A23" s="167" t="s">
        <v>11</v>
      </c>
      <c r="B23" s="35" t="s">
        <v>2</v>
      </c>
      <c r="C23" s="1">
        <v>25.518285493</v>
      </c>
      <c r="D23" s="36">
        <v>16.198989868164063</v>
      </c>
      <c r="E23" s="37">
        <f t="shared" ref="E23:E28" si="12">C23-D23</f>
        <v>9.319295624835938</v>
      </c>
      <c r="F23" s="37">
        <f t="shared" ref="F23:F28" si="13">2^-E23</f>
        <v>1.5653536796131097E-3</v>
      </c>
      <c r="G23" s="164">
        <f t="shared" ref="G23" si="14">AVERAGE(F23:F25)</f>
        <v>2.106754471834206E-3</v>
      </c>
      <c r="H23" s="164">
        <f t="shared" ref="H23" si="15">STDEV(F23:F25)/SQRT(3)</f>
        <v>3.0884754407135715E-4</v>
      </c>
    </row>
    <row r="24" spans="1:8" x14ac:dyDescent="0.35">
      <c r="A24" s="167"/>
      <c r="B24" s="35" t="s">
        <v>1</v>
      </c>
      <c r="C24" s="1">
        <v>26.742360753947999</v>
      </c>
      <c r="D24" s="36">
        <v>17.8605861663818</v>
      </c>
      <c r="E24" s="34">
        <f t="shared" si="12"/>
        <v>8.8817745875661984</v>
      </c>
      <c r="F24" s="34">
        <f t="shared" si="13"/>
        <v>2.119919815818827E-3</v>
      </c>
      <c r="G24" s="165"/>
      <c r="H24" s="165"/>
    </row>
    <row r="25" spans="1:8" x14ac:dyDescent="0.35">
      <c r="A25" s="167"/>
      <c r="B25" s="35" t="s">
        <v>0</v>
      </c>
      <c r="C25" s="1">
        <v>24.76697670986</v>
      </c>
      <c r="D25" s="36">
        <v>16.198989868164063</v>
      </c>
      <c r="E25" s="34">
        <f t="shared" si="12"/>
        <v>8.5679868416959373</v>
      </c>
      <c r="F25" s="34">
        <f t="shared" si="13"/>
        <v>2.6349899200706806E-3</v>
      </c>
      <c r="G25" s="166"/>
      <c r="H25" s="166"/>
    </row>
    <row r="26" spans="1:8" x14ac:dyDescent="0.35">
      <c r="A26" s="167" t="s">
        <v>251</v>
      </c>
      <c r="B26" s="35" t="s">
        <v>74</v>
      </c>
      <c r="C26" s="1">
        <v>23.151341138631999</v>
      </c>
      <c r="D26" s="36">
        <v>14.494866371154785</v>
      </c>
      <c r="E26" s="34">
        <f t="shared" si="12"/>
        <v>8.6564747674772136</v>
      </c>
      <c r="F26" s="34">
        <f t="shared" si="13"/>
        <v>2.4782290201812271E-3</v>
      </c>
      <c r="G26" s="164">
        <f t="shared" ref="G26" si="16">AVERAGE(F26:F28)</f>
        <v>5.0039679076745369E-3</v>
      </c>
      <c r="H26" s="164">
        <f t="shared" ref="H26" si="17">STDEV(F26:F28)/SQRT(3)</f>
        <v>1.4757450285249297E-3</v>
      </c>
    </row>
    <row r="27" spans="1:8" x14ac:dyDescent="0.35">
      <c r="A27" s="167"/>
      <c r="B27" s="35" t="s">
        <v>75</v>
      </c>
      <c r="C27" s="1">
        <v>24.961129562885599</v>
      </c>
      <c r="D27" s="36">
        <v>17.919315338134801</v>
      </c>
      <c r="E27" s="34">
        <f t="shared" si="12"/>
        <v>7.041814224750798</v>
      </c>
      <c r="F27" s="34">
        <f t="shared" si="13"/>
        <v>7.5893170192426595E-3</v>
      </c>
      <c r="G27" s="165"/>
      <c r="H27" s="165"/>
    </row>
    <row r="28" spans="1:8" x14ac:dyDescent="0.35">
      <c r="A28" s="167"/>
      <c r="B28" s="35" t="s">
        <v>76</v>
      </c>
      <c r="C28" s="1">
        <v>23.5613139985918</v>
      </c>
      <c r="D28" s="36">
        <v>15.901312828063965</v>
      </c>
      <c r="E28" s="34">
        <f t="shared" si="12"/>
        <v>7.6600011705278348</v>
      </c>
      <c r="F28" s="34">
        <f t="shared" si="13"/>
        <v>4.9443576835997228E-3</v>
      </c>
      <c r="G28" s="166"/>
      <c r="H28" s="166"/>
    </row>
    <row r="30" spans="1:8" x14ac:dyDescent="0.35">
      <c r="A30" s="168" t="s">
        <v>318</v>
      </c>
      <c r="B30" s="168"/>
      <c r="C30" s="168"/>
      <c r="D30" s="168"/>
      <c r="E30" s="168"/>
      <c r="F30" s="168"/>
      <c r="G30" s="168"/>
      <c r="H30" s="168"/>
    </row>
    <row r="31" spans="1:8" x14ac:dyDescent="0.35">
      <c r="A31" s="33" t="s">
        <v>8</v>
      </c>
      <c r="B31" s="34"/>
      <c r="C31" s="33" t="s">
        <v>7</v>
      </c>
      <c r="D31" s="33" t="s">
        <v>6</v>
      </c>
      <c r="E31" s="33" t="s">
        <v>5</v>
      </c>
      <c r="F31" s="33" t="s">
        <v>4</v>
      </c>
      <c r="G31" s="33" t="s">
        <v>3</v>
      </c>
      <c r="H31" s="33" t="s">
        <v>72</v>
      </c>
    </row>
    <row r="32" spans="1:8" x14ac:dyDescent="0.35">
      <c r="A32" s="167" t="s">
        <v>11</v>
      </c>
      <c r="B32" s="35" t="s">
        <v>2</v>
      </c>
      <c r="C32" s="1">
        <v>25.518285493</v>
      </c>
      <c r="D32" s="36">
        <v>16.198989868164063</v>
      </c>
      <c r="E32" s="37">
        <f t="shared" ref="E32:E37" si="18">C32-D32</f>
        <v>9.319295624835938</v>
      </c>
      <c r="F32" s="37">
        <f t="shared" ref="F32:F37" si="19">2^-E32</f>
        <v>1.5653536796131097E-3</v>
      </c>
      <c r="G32" s="164">
        <f t="shared" ref="G32" si="20">AVERAGE(F32:F34)</f>
        <v>2.7518137694878242E-3</v>
      </c>
      <c r="H32" s="164">
        <f t="shared" ref="H32" si="21">STDEV(F32:F34)/SQRT(3)</f>
        <v>5.9809394105829027E-4</v>
      </c>
    </row>
    <row r="33" spans="1:8" x14ac:dyDescent="0.35">
      <c r="A33" s="167"/>
      <c r="B33" s="35" t="s">
        <v>1</v>
      </c>
      <c r="C33" s="1">
        <v>26.142360753948001</v>
      </c>
      <c r="D33" s="36">
        <v>17.8605861663818</v>
      </c>
      <c r="E33" s="34">
        <f t="shared" si="18"/>
        <v>8.2817745875662006</v>
      </c>
      <c r="F33" s="34">
        <f t="shared" si="19"/>
        <v>3.2131975845102658E-3</v>
      </c>
      <c r="G33" s="165"/>
      <c r="H33" s="165"/>
    </row>
    <row r="34" spans="1:8" x14ac:dyDescent="0.35">
      <c r="A34" s="167"/>
      <c r="B34" s="35" t="s">
        <v>0</v>
      </c>
      <c r="C34" s="1">
        <v>24.366976709860001</v>
      </c>
      <c r="D34" s="36">
        <v>16.198989868164063</v>
      </c>
      <c r="E34" s="34">
        <f t="shared" si="18"/>
        <v>8.1679868416959387</v>
      </c>
      <c r="F34" s="34">
        <f t="shared" si="19"/>
        <v>3.4768900443400965E-3</v>
      </c>
      <c r="G34" s="166"/>
      <c r="H34" s="166"/>
    </row>
    <row r="35" spans="1:8" x14ac:dyDescent="0.35">
      <c r="A35" s="167" t="s">
        <v>251</v>
      </c>
      <c r="B35" s="35" t="s">
        <v>74</v>
      </c>
      <c r="C35" s="1">
        <v>23.151341138631999</v>
      </c>
      <c r="D35" s="36">
        <v>14.494866371154785</v>
      </c>
      <c r="E35" s="34">
        <f t="shared" si="18"/>
        <v>8.6564747674772136</v>
      </c>
      <c r="F35" s="34">
        <f t="shared" si="19"/>
        <v>2.4782290201812271E-3</v>
      </c>
      <c r="G35" s="164">
        <f t="shared" ref="G35" si="22">AVERAGE(F35:F37)</f>
        <v>4.0861841143748356E-3</v>
      </c>
      <c r="H35" s="164">
        <f t="shared" ref="H35" si="23">STDEV(F35:F37)/SQRT(3)</f>
        <v>8.0458620783644438E-4</v>
      </c>
    </row>
    <row r="36" spans="1:8" x14ac:dyDescent="0.35">
      <c r="A36" s="167"/>
      <c r="B36" s="35" t="s">
        <v>75</v>
      </c>
      <c r="C36" s="1">
        <v>25.611295628855999</v>
      </c>
      <c r="D36" s="36">
        <v>17.919315338134801</v>
      </c>
      <c r="E36" s="34">
        <f t="shared" si="18"/>
        <v>7.6919802907211974</v>
      </c>
      <c r="F36" s="34">
        <f t="shared" si="19"/>
        <v>4.8359656393435566E-3</v>
      </c>
      <c r="G36" s="165"/>
      <c r="H36" s="165"/>
    </row>
    <row r="37" spans="1:8" x14ac:dyDescent="0.35">
      <c r="A37" s="167"/>
      <c r="B37" s="35" t="s">
        <v>76</v>
      </c>
      <c r="C37" s="1">
        <v>23.5613139985918</v>
      </c>
      <c r="D37" s="36">
        <v>15.901312828063965</v>
      </c>
      <c r="E37" s="34">
        <f t="shared" si="18"/>
        <v>7.6600011705278348</v>
      </c>
      <c r="F37" s="34">
        <f t="shared" si="19"/>
        <v>4.9443576835997228E-3</v>
      </c>
      <c r="G37" s="166"/>
      <c r="H37" s="166"/>
    </row>
    <row r="40" spans="1:8" ht="21" x14ac:dyDescent="0.5">
      <c r="A40" s="163" t="s">
        <v>319</v>
      </c>
      <c r="B40" s="163"/>
      <c r="C40" s="163"/>
      <c r="D40" s="163"/>
      <c r="E40" s="163"/>
      <c r="F40" s="163"/>
      <c r="G40" s="163"/>
      <c r="H40" s="163"/>
    </row>
    <row r="41" spans="1:8" x14ac:dyDescent="0.35">
      <c r="A41" s="168" t="s">
        <v>82</v>
      </c>
      <c r="B41" s="168"/>
      <c r="C41" s="168"/>
      <c r="D41" s="168"/>
      <c r="E41" s="168"/>
      <c r="F41" s="168"/>
      <c r="G41" s="168"/>
      <c r="H41" s="168"/>
    </row>
    <row r="42" spans="1:8" x14ac:dyDescent="0.35">
      <c r="A42" s="33" t="s">
        <v>8</v>
      </c>
      <c r="B42" s="34"/>
      <c r="C42" s="33" t="s">
        <v>7</v>
      </c>
      <c r="D42" s="33" t="s">
        <v>6</v>
      </c>
      <c r="E42" s="33" t="s">
        <v>5</v>
      </c>
      <c r="F42" s="33" t="s">
        <v>4</v>
      </c>
      <c r="G42" s="33" t="s">
        <v>3</v>
      </c>
      <c r="H42" s="33" t="s">
        <v>72</v>
      </c>
    </row>
    <row r="43" spans="1:8" x14ac:dyDescent="0.35">
      <c r="A43" s="167" t="s">
        <v>73</v>
      </c>
      <c r="B43" s="35" t="s">
        <v>2</v>
      </c>
      <c r="C43">
        <v>20.81</v>
      </c>
      <c r="D43">
        <v>13.062341690063477</v>
      </c>
      <c r="E43" s="37">
        <f t="shared" ref="E43:E48" si="24">C43-D43</f>
        <v>7.7476583099365222</v>
      </c>
      <c r="F43" s="37">
        <f t="shared" ref="F43:F48" si="25">2^-E43</f>
        <v>4.652886433964486E-3</v>
      </c>
      <c r="G43" s="164">
        <f t="shared" ref="G43" si="26">AVERAGE(F43:F45)</f>
        <v>6.9559690506443865E-3</v>
      </c>
      <c r="H43" s="164">
        <f t="shared" ref="H43" si="27">STDEV(F43:F45)/SQRT(3)</f>
        <v>3.6546942030796343E-3</v>
      </c>
    </row>
    <row r="44" spans="1:8" x14ac:dyDescent="0.35">
      <c r="A44" s="167"/>
      <c r="B44" s="35" t="s">
        <v>1</v>
      </c>
      <c r="C44">
        <v>22.202000000000002</v>
      </c>
      <c r="D44">
        <v>13.306488037109375</v>
      </c>
      <c r="E44" s="34">
        <f t="shared" si="24"/>
        <v>8.8955119628906267</v>
      </c>
      <c r="F44" s="34">
        <f t="shared" si="25"/>
        <v>2.0998296917358029E-3</v>
      </c>
      <c r="G44" s="165"/>
      <c r="H44" s="165"/>
    </row>
    <row r="45" spans="1:8" x14ac:dyDescent="0.35">
      <c r="A45" s="167"/>
      <c r="B45" s="35" t="s">
        <v>0</v>
      </c>
      <c r="C45">
        <v>21.969000000000001</v>
      </c>
      <c r="D45">
        <v>15.822392463684082</v>
      </c>
      <c r="E45" s="34">
        <f t="shared" si="24"/>
        <v>6.1466075363159192</v>
      </c>
      <c r="F45" s="34">
        <f t="shared" si="25"/>
        <v>1.4115191026232871E-2</v>
      </c>
      <c r="G45" s="166"/>
      <c r="H45" s="166"/>
    </row>
    <row r="46" spans="1:8" x14ac:dyDescent="0.35">
      <c r="A46" s="167" t="s">
        <v>251</v>
      </c>
      <c r="B46" s="35" t="s">
        <v>74</v>
      </c>
      <c r="C46">
        <v>20.067</v>
      </c>
      <c r="D46">
        <v>13.062341690063477</v>
      </c>
      <c r="E46" s="34">
        <f t="shared" si="24"/>
        <v>7.0046583099365236</v>
      </c>
      <c r="F46" s="34">
        <f t="shared" si="25"/>
        <v>7.7873149443340372E-3</v>
      </c>
      <c r="G46" s="164">
        <f t="shared" ref="G46" si="28">AVERAGE(F46:F48)</f>
        <v>1.2292583812290999E-2</v>
      </c>
      <c r="H46" s="164">
        <f t="shared" ref="H46" si="29">STDEV(F46:F48)/SQRT(3)</f>
        <v>3.9194775865983213E-3</v>
      </c>
    </row>
    <row r="47" spans="1:8" x14ac:dyDescent="0.35">
      <c r="A47" s="167"/>
      <c r="B47" s="35" t="s">
        <v>75</v>
      </c>
      <c r="C47">
        <v>20.103999999999999</v>
      </c>
      <c r="D47">
        <v>13.306488037109375</v>
      </c>
      <c r="E47" s="34">
        <f t="shared" si="24"/>
        <v>6.7975119628906242</v>
      </c>
      <c r="F47" s="34">
        <f t="shared" si="25"/>
        <v>8.9896959507419875E-3</v>
      </c>
      <c r="G47" s="165"/>
      <c r="H47" s="165"/>
    </row>
    <row r="48" spans="1:8" x14ac:dyDescent="0.35">
      <c r="A48" s="167"/>
      <c r="B48" s="35" t="s">
        <v>76</v>
      </c>
      <c r="C48">
        <v>21.459</v>
      </c>
      <c r="D48">
        <v>15.822392463684082</v>
      </c>
      <c r="E48" s="34">
        <f t="shared" si="24"/>
        <v>5.6366075363159176</v>
      </c>
      <c r="F48" s="34">
        <f t="shared" si="25"/>
        <v>2.0100740541796974E-2</v>
      </c>
      <c r="G48" s="166"/>
      <c r="H48" s="166"/>
    </row>
    <row r="49" spans="1:8" x14ac:dyDescent="0.35">
      <c r="A49" s="167" t="s">
        <v>253</v>
      </c>
      <c r="B49" s="35" t="s">
        <v>2</v>
      </c>
      <c r="C49">
        <v>20.724</v>
      </c>
      <c r="D49">
        <v>15.754693984985352</v>
      </c>
      <c r="E49" s="37">
        <f t="shared" ref="E49:E54" si="30">C49-D49</f>
        <v>4.9693060150146486</v>
      </c>
      <c r="F49" s="37">
        <f t="shared" ref="F49:F54" si="31">2^-E49</f>
        <v>3.1921980785349219E-2</v>
      </c>
      <c r="G49" s="164">
        <f t="shared" ref="G49" si="32">AVERAGE(F49:F51)</f>
        <v>1.7141066060399435E-2</v>
      </c>
      <c r="H49" s="164">
        <f t="shared" ref="H49" si="33">STDEV(F49:F51)/SQRT(3)</f>
        <v>7.4526932877756304E-3</v>
      </c>
    </row>
    <row r="50" spans="1:8" x14ac:dyDescent="0.35">
      <c r="A50" s="167"/>
      <c r="B50" s="35" t="s">
        <v>1</v>
      </c>
      <c r="C50">
        <v>20.213000000000001</v>
      </c>
      <c r="D50">
        <v>13.262619972229004</v>
      </c>
      <c r="E50" s="34">
        <f t="shared" si="30"/>
        <v>6.9503800277709971</v>
      </c>
      <c r="F50" s="34">
        <f t="shared" si="31"/>
        <v>8.085876994228778E-3</v>
      </c>
      <c r="G50" s="165"/>
      <c r="H50" s="165"/>
    </row>
    <row r="51" spans="1:8" x14ac:dyDescent="0.35">
      <c r="A51" s="167"/>
      <c r="B51" s="35" t="s">
        <v>0</v>
      </c>
      <c r="C51">
        <v>20.3723769377949</v>
      </c>
      <c r="D51">
        <v>13.91949462890625</v>
      </c>
      <c r="E51" s="34">
        <f t="shared" si="30"/>
        <v>6.4528823088886504</v>
      </c>
      <c r="F51" s="34">
        <f t="shared" si="31"/>
        <v>1.1415340401620308E-2</v>
      </c>
      <c r="G51" s="166"/>
      <c r="H51" s="166"/>
    </row>
    <row r="52" spans="1:8" x14ac:dyDescent="0.35">
      <c r="A52" s="167" t="s">
        <v>252</v>
      </c>
      <c r="B52" s="35" t="s">
        <v>74</v>
      </c>
      <c r="C52">
        <v>20.918158792288999</v>
      </c>
      <c r="D52">
        <v>14.8881015777588</v>
      </c>
      <c r="E52" s="34">
        <f t="shared" si="30"/>
        <v>6.0300572145301992</v>
      </c>
      <c r="F52" s="34">
        <f t="shared" si="31"/>
        <v>1.5302835256539327E-2</v>
      </c>
      <c r="G52" s="164">
        <f t="shared" ref="G52" si="34">AVERAGE(F52:F54)</f>
        <v>1.0890929685191534E-2</v>
      </c>
      <c r="H52" s="164">
        <f t="shared" ref="H52" si="35">STDEV(F52:F54)/SQRT(3)</f>
        <v>2.3290945957170242E-3</v>
      </c>
    </row>
    <row r="53" spans="1:8" x14ac:dyDescent="0.35">
      <c r="A53" s="167"/>
      <c r="B53" s="35" t="s">
        <v>75</v>
      </c>
      <c r="C53">
        <v>21.296249003589999</v>
      </c>
      <c r="D53">
        <v>14.6494083404541</v>
      </c>
      <c r="E53" s="34">
        <f t="shared" si="30"/>
        <v>6.6468406631358992</v>
      </c>
      <c r="F53" s="34">
        <f t="shared" si="31"/>
        <v>9.9793345894656042E-3</v>
      </c>
      <c r="G53" s="165"/>
      <c r="H53" s="165"/>
    </row>
    <row r="54" spans="1:8" x14ac:dyDescent="0.35">
      <c r="A54" s="167"/>
      <c r="B54" s="35" t="s">
        <v>76</v>
      </c>
      <c r="C54">
        <v>20.9119677037598</v>
      </c>
      <c r="D54">
        <v>13.831878662109375</v>
      </c>
      <c r="E54" s="34">
        <f t="shared" si="30"/>
        <v>7.0800890416504245</v>
      </c>
      <c r="F54" s="34">
        <f t="shared" si="31"/>
        <v>7.39061920956967E-3</v>
      </c>
      <c r="G54" s="166"/>
      <c r="H54" s="166"/>
    </row>
    <row r="56" spans="1:8" x14ac:dyDescent="0.35">
      <c r="A56" s="168" t="s">
        <v>203</v>
      </c>
      <c r="B56" s="168"/>
      <c r="C56" s="168"/>
      <c r="D56" s="168"/>
      <c r="E56" s="168"/>
      <c r="F56" s="168"/>
      <c r="G56" s="168"/>
      <c r="H56" s="168"/>
    </row>
    <row r="57" spans="1:8" x14ac:dyDescent="0.35">
      <c r="A57" s="33" t="s">
        <v>8</v>
      </c>
      <c r="B57" s="34"/>
      <c r="C57" s="33" t="s">
        <v>7</v>
      </c>
      <c r="D57" s="33" t="s">
        <v>6</v>
      </c>
      <c r="E57" s="33" t="s">
        <v>5</v>
      </c>
      <c r="F57" s="33" t="s">
        <v>4</v>
      </c>
      <c r="G57" s="33" t="s">
        <v>3</v>
      </c>
      <c r="H57" s="33" t="s">
        <v>72</v>
      </c>
    </row>
    <row r="58" spans="1:8" x14ac:dyDescent="0.35">
      <c r="A58" s="167" t="s">
        <v>73</v>
      </c>
      <c r="B58" s="35" t="s">
        <v>2</v>
      </c>
      <c r="C58">
        <v>25.869</v>
      </c>
      <c r="D58">
        <v>13.062341690063477</v>
      </c>
      <c r="E58" s="37">
        <f t="shared" ref="E58:E69" si="36">C58-D58</f>
        <v>12.806658309936523</v>
      </c>
      <c r="F58" s="37">
        <f t="shared" ref="F58:F69" si="37">2^-E58</f>
        <v>1.3957630738292129E-4</v>
      </c>
      <c r="G58" s="164">
        <f t="shared" ref="G58" si="38">AVERAGE(F58:F60)</f>
        <v>1.7352822983531001E-4</v>
      </c>
      <c r="H58" s="164">
        <f t="shared" ref="H58" si="39">STDEV(F58:F60)/SQRT(3)</f>
        <v>2.4271327306756549E-5</v>
      </c>
    </row>
    <row r="59" spans="1:8" x14ac:dyDescent="0.35">
      <c r="A59" s="167"/>
      <c r="B59" s="35" t="s">
        <v>1</v>
      </c>
      <c r="C59">
        <v>25.911999999999999</v>
      </c>
      <c r="D59">
        <v>13.306488037109375</v>
      </c>
      <c r="E59" s="34">
        <f t="shared" si="36"/>
        <v>12.605511962890624</v>
      </c>
      <c r="F59" s="34">
        <f t="shared" si="37"/>
        <v>1.6045852233812004E-4</v>
      </c>
      <c r="G59" s="165"/>
      <c r="H59" s="165"/>
    </row>
    <row r="60" spans="1:8" x14ac:dyDescent="0.35">
      <c r="A60" s="167"/>
      <c r="B60" s="35" t="s">
        <v>0</v>
      </c>
      <c r="C60">
        <v>27.969000000000001</v>
      </c>
      <c r="D60">
        <v>15.822392463684082</v>
      </c>
      <c r="E60" s="34">
        <f t="shared" si="36"/>
        <v>12.146607536315919</v>
      </c>
      <c r="F60" s="34">
        <f t="shared" si="37"/>
        <v>2.2054985978488869E-4</v>
      </c>
      <c r="G60" s="166"/>
      <c r="H60" s="166"/>
    </row>
    <row r="61" spans="1:8" x14ac:dyDescent="0.35">
      <c r="A61" s="167" t="s">
        <v>251</v>
      </c>
      <c r="B61" s="35" t="s">
        <v>74</v>
      </c>
      <c r="C61">
        <v>24.189</v>
      </c>
      <c r="D61">
        <v>13.062341690063477</v>
      </c>
      <c r="E61" s="34">
        <f t="shared" si="36"/>
        <v>11.126658309936523</v>
      </c>
      <c r="F61" s="34">
        <f t="shared" si="37"/>
        <v>4.4724150187859312E-4</v>
      </c>
      <c r="G61" s="164">
        <f t="shared" ref="G61" si="40">AVERAGE(F61:F63)</f>
        <v>7.9107165992665701E-4</v>
      </c>
      <c r="H61" s="164">
        <f t="shared" ref="H61" si="41">STDEV(F61:F63)/SQRT(3)</f>
        <v>4.936009860371268E-4</v>
      </c>
    </row>
    <row r="62" spans="1:8" x14ac:dyDescent="0.35">
      <c r="A62" s="167"/>
      <c r="B62" s="35" t="s">
        <v>75</v>
      </c>
      <c r="C62">
        <v>25.902000000000001</v>
      </c>
      <c r="D62">
        <v>13.306488037109375</v>
      </c>
      <c r="E62" s="34">
        <f t="shared" si="36"/>
        <v>12.595511962890626</v>
      </c>
      <c r="F62" s="34">
        <f t="shared" si="37"/>
        <v>1.6157459962226956E-4</v>
      </c>
      <c r="G62" s="165"/>
      <c r="H62" s="165"/>
    </row>
    <row r="63" spans="1:8" x14ac:dyDescent="0.35">
      <c r="A63" s="167"/>
      <c r="B63" s="35" t="s">
        <v>76</v>
      </c>
      <c r="C63">
        <v>24.969000000000001</v>
      </c>
      <c r="D63">
        <v>15.822392463684082</v>
      </c>
      <c r="E63" s="34">
        <f t="shared" si="36"/>
        <v>9.1466075363159192</v>
      </c>
      <c r="F63" s="34">
        <f t="shared" si="37"/>
        <v>1.7643988782791084E-3</v>
      </c>
      <c r="G63" s="166"/>
      <c r="H63" s="166"/>
    </row>
    <row r="64" spans="1:8" x14ac:dyDescent="0.35">
      <c r="A64" s="167" t="s">
        <v>253</v>
      </c>
      <c r="B64" s="35" t="s">
        <v>2</v>
      </c>
      <c r="C64">
        <v>25.724</v>
      </c>
      <c r="D64">
        <v>15.754693984985352</v>
      </c>
      <c r="E64" s="37">
        <f t="shared" si="36"/>
        <v>9.9693060150146486</v>
      </c>
      <c r="F64" s="37">
        <f t="shared" si="37"/>
        <v>9.9756189954216265E-4</v>
      </c>
      <c r="G64" s="164">
        <f t="shared" ref="G64" si="42">AVERAGE(F64:F66)</f>
        <v>4.4382387635811285E-4</v>
      </c>
      <c r="H64" s="164">
        <f t="shared" ref="H64" si="43">STDEV(F64:F66)/SQRT(3)</f>
        <v>2.7694736740510481E-4</v>
      </c>
    </row>
    <row r="65" spans="1:8" x14ac:dyDescent="0.35">
      <c r="A65" s="167"/>
      <c r="B65" s="35" t="s">
        <v>1</v>
      </c>
      <c r="C65">
        <v>25.913</v>
      </c>
      <c r="D65">
        <v>13.262619972229004</v>
      </c>
      <c r="E65" s="34">
        <f t="shared" si="36"/>
        <v>12.650380027770996</v>
      </c>
      <c r="F65" s="34">
        <f t="shared" si="37"/>
        <v>1.5554503575685856E-4</v>
      </c>
      <c r="G65" s="165"/>
      <c r="H65" s="165"/>
    </row>
    <row r="66" spans="1:8" x14ac:dyDescent="0.35">
      <c r="A66" s="167"/>
      <c r="B66" s="35" t="s">
        <v>0</v>
      </c>
      <c r="C66">
        <v>26.3723769377949</v>
      </c>
      <c r="D66">
        <v>13.91949462890625</v>
      </c>
      <c r="E66" s="34">
        <f t="shared" si="36"/>
        <v>12.45288230888865</v>
      </c>
      <c r="F66" s="34">
        <f t="shared" si="37"/>
        <v>1.7836469377531723E-4</v>
      </c>
      <c r="G66" s="166"/>
      <c r="H66" s="166"/>
    </row>
    <row r="67" spans="1:8" x14ac:dyDescent="0.35">
      <c r="A67" s="167" t="s">
        <v>252</v>
      </c>
      <c r="B67" s="35" t="s">
        <v>74</v>
      </c>
      <c r="C67">
        <v>25.603999999999999</v>
      </c>
      <c r="D67">
        <v>14.8881015777588</v>
      </c>
      <c r="E67" s="34">
        <f t="shared" si="36"/>
        <v>10.715898422241199</v>
      </c>
      <c r="F67" s="34">
        <f t="shared" si="37"/>
        <v>5.9455651781235635E-4</v>
      </c>
      <c r="G67" s="164">
        <f t="shared" ref="G67" si="44">AVERAGE(F67:F69)</f>
        <v>3.9467730240934563E-4</v>
      </c>
      <c r="H67" s="164">
        <f t="shared" ref="H67" si="45">STDEV(F67:F69)/SQRT(3)</f>
        <v>1.199318277218055E-4</v>
      </c>
    </row>
    <row r="68" spans="1:8" x14ac:dyDescent="0.35">
      <c r="A68" s="167"/>
      <c r="B68" s="35" t="s">
        <v>75</v>
      </c>
      <c r="C68">
        <v>25.902999999999999</v>
      </c>
      <c r="D68">
        <v>14.6494083404541</v>
      </c>
      <c r="E68" s="34">
        <f t="shared" si="36"/>
        <v>11.253591659545899</v>
      </c>
      <c r="F68" s="34">
        <f t="shared" si="37"/>
        <v>4.0957303046946976E-4</v>
      </c>
      <c r="G68" s="165"/>
      <c r="H68" s="165"/>
    </row>
    <row r="69" spans="1:8" x14ac:dyDescent="0.35">
      <c r="A69" s="167"/>
      <c r="B69" s="35" t="s">
        <v>76</v>
      </c>
      <c r="C69" s="30">
        <v>26.272376937794899</v>
      </c>
      <c r="D69" s="30">
        <v>13.831878662109375</v>
      </c>
      <c r="E69" s="34">
        <f t="shared" si="36"/>
        <v>12.440498275685524</v>
      </c>
      <c r="F69" s="34">
        <f t="shared" si="37"/>
        <v>1.7990235894621098E-4</v>
      </c>
      <c r="G69" s="166"/>
      <c r="H69" s="166"/>
    </row>
    <row r="71" spans="1:8" x14ac:dyDescent="0.35">
      <c r="A71" s="168" t="s">
        <v>317</v>
      </c>
      <c r="B71" s="168"/>
      <c r="C71" s="168"/>
      <c r="D71" s="168"/>
      <c r="E71" s="168"/>
      <c r="F71" s="168"/>
      <c r="G71" s="168"/>
      <c r="H71" s="168"/>
    </row>
    <row r="72" spans="1:8" x14ac:dyDescent="0.35">
      <c r="A72" s="33" t="s">
        <v>8</v>
      </c>
      <c r="B72" s="34"/>
      <c r="C72" s="33" t="s">
        <v>7</v>
      </c>
      <c r="D72" s="33" t="s">
        <v>6</v>
      </c>
      <c r="E72" s="33" t="s">
        <v>5</v>
      </c>
      <c r="F72" s="33" t="s">
        <v>4</v>
      </c>
      <c r="G72" s="33" t="s">
        <v>3</v>
      </c>
      <c r="H72" s="33" t="s">
        <v>72</v>
      </c>
    </row>
    <row r="73" spans="1:8" x14ac:dyDescent="0.35">
      <c r="A73" s="167" t="s">
        <v>73</v>
      </c>
      <c r="B73" s="35" t="s">
        <v>2</v>
      </c>
      <c r="C73">
        <v>21.41</v>
      </c>
      <c r="D73">
        <v>13.062341690063477</v>
      </c>
      <c r="E73" s="37">
        <f t="shared" ref="E73:E84" si="46">C73-D73</f>
        <v>8.3476583099365236</v>
      </c>
      <c r="F73" s="37">
        <f t="shared" ref="F73:F84" si="47">2^-E73</f>
        <v>3.0697602287720074E-3</v>
      </c>
      <c r="G73" s="164">
        <f t="shared" ref="G73" si="48">AVERAGE(F73:F75)</f>
        <v>4.4556576224924309E-3</v>
      </c>
      <c r="H73" s="164">
        <f t="shared" ref="H73" si="49">STDEV(F73:F75)/SQRT(3)</f>
        <v>2.1913411689468937E-3</v>
      </c>
    </row>
    <row r="74" spans="1:8" x14ac:dyDescent="0.35">
      <c r="A74" s="167"/>
      <c r="B74" s="35" t="s">
        <v>1</v>
      </c>
      <c r="C74">
        <v>22.641999999999999</v>
      </c>
      <c r="D74">
        <v>13.306488037109375</v>
      </c>
      <c r="E74" s="34">
        <f t="shared" si="46"/>
        <v>9.3355119628906245</v>
      </c>
      <c r="F74" s="34">
        <f t="shared" si="47"/>
        <v>1.5478571380399806E-3</v>
      </c>
      <c r="G74" s="165"/>
      <c r="H74" s="165"/>
    </row>
    <row r="75" spans="1:8" x14ac:dyDescent="0.35">
      <c r="A75" s="167"/>
      <c r="B75" s="35" t="s">
        <v>0</v>
      </c>
      <c r="C75">
        <v>22.658999999999999</v>
      </c>
      <c r="D75">
        <v>15.822392463684082</v>
      </c>
      <c r="E75" s="34">
        <f t="shared" si="46"/>
        <v>6.8366075363159169</v>
      </c>
      <c r="F75" s="34">
        <f t="shared" si="47"/>
        <v>8.7493555006653047E-3</v>
      </c>
      <c r="G75" s="166"/>
      <c r="H75" s="166"/>
    </row>
    <row r="76" spans="1:8" x14ac:dyDescent="0.35">
      <c r="A76" s="167" t="s">
        <v>251</v>
      </c>
      <c r="B76" s="35" t="s">
        <v>74</v>
      </c>
      <c r="C76">
        <v>21.677</v>
      </c>
      <c r="D76">
        <v>13.062341690063477</v>
      </c>
      <c r="E76" s="34">
        <f t="shared" si="46"/>
        <v>8.614658309936523</v>
      </c>
      <c r="F76" s="34">
        <f t="shared" si="47"/>
        <v>2.551111534205746E-3</v>
      </c>
      <c r="G76" s="164">
        <f t="shared" ref="G76" si="50">AVERAGE(F76:F78)</f>
        <v>6.5203437921723178E-3</v>
      </c>
      <c r="H76" s="164">
        <f t="shared" ref="H76" si="51">STDEV(F76:F78)/SQRT(3)</f>
        <v>2.1026532216089151E-3</v>
      </c>
    </row>
    <row r="77" spans="1:8" x14ac:dyDescent="0.35">
      <c r="A77" s="167"/>
      <c r="B77" s="35" t="s">
        <v>75</v>
      </c>
      <c r="C77">
        <v>20.404</v>
      </c>
      <c r="D77">
        <v>13.306488037109375</v>
      </c>
      <c r="E77" s="34">
        <f t="shared" si="46"/>
        <v>7.0975119628906249</v>
      </c>
      <c r="F77" s="34">
        <f t="shared" si="47"/>
        <v>7.3019020785041197E-3</v>
      </c>
      <c r="G77" s="165"/>
      <c r="H77" s="165"/>
    </row>
    <row r="78" spans="1:8" x14ac:dyDescent="0.35">
      <c r="A78" s="167"/>
      <c r="B78" s="35" t="s">
        <v>76</v>
      </c>
      <c r="C78">
        <v>22.509</v>
      </c>
      <c r="D78">
        <v>15.822392463684082</v>
      </c>
      <c r="E78" s="34">
        <f t="shared" si="46"/>
        <v>6.6866075363159183</v>
      </c>
      <c r="F78" s="34">
        <f t="shared" si="47"/>
        <v>9.7080177638070864E-3</v>
      </c>
      <c r="G78" s="166"/>
      <c r="H78" s="166"/>
    </row>
    <row r="79" spans="1:8" x14ac:dyDescent="0.35">
      <c r="A79" s="167" t="s">
        <v>253</v>
      </c>
      <c r="B79" s="35" t="s">
        <v>2</v>
      </c>
      <c r="C79">
        <v>22.724</v>
      </c>
      <c r="D79">
        <v>15.754693984985352</v>
      </c>
      <c r="E79" s="37">
        <f t="shared" si="46"/>
        <v>6.9693060150146486</v>
      </c>
      <c r="F79" s="37">
        <f t="shared" si="47"/>
        <v>7.980495196337303E-3</v>
      </c>
      <c r="G79" s="164">
        <f t="shared" ref="G79" si="52">AVERAGE(F79:F81)</f>
        <v>9.160570864062129E-3</v>
      </c>
      <c r="H79" s="164">
        <f t="shared" ref="H79" si="53">STDEV(F79:F81)/SQRT(3)</f>
        <v>1.1277951323204274E-3</v>
      </c>
    </row>
    <row r="80" spans="1:8" x14ac:dyDescent="0.35">
      <c r="A80" s="167"/>
      <c r="B80" s="35" t="s">
        <v>1</v>
      </c>
      <c r="C80">
        <v>20.213000000000001</v>
      </c>
      <c r="D80">
        <v>13.262619972229004</v>
      </c>
      <c r="E80" s="34">
        <f t="shared" si="46"/>
        <v>6.9503800277709971</v>
      </c>
      <c r="F80" s="34">
        <f t="shared" si="47"/>
        <v>8.085876994228778E-3</v>
      </c>
      <c r="G80" s="165"/>
      <c r="H80" s="165"/>
    </row>
    <row r="81" spans="1:8" x14ac:dyDescent="0.35">
      <c r="A81" s="167"/>
      <c r="B81" s="35" t="s">
        <v>0</v>
      </c>
      <c r="C81">
        <v>20.3723769377949</v>
      </c>
      <c r="D81">
        <v>13.91949462890625</v>
      </c>
      <c r="E81" s="34">
        <f t="shared" si="46"/>
        <v>6.4528823088886504</v>
      </c>
      <c r="F81" s="34">
        <f t="shared" si="47"/>
        <v>1.1415340401620308E-2</v>
      </c>
      <c r="G81" s="166"/>
      <c r="H81" s="166"/>
    </row>
    <row r="82" spans="1:8" x14ac:dyDescent="0.35">
      <c r="A82" s="167" t="s">
        <v>252</v>
      </c>
      <c r="B82" s="35" t="s">
        <v>74</v>
      </c>
      <c r="C82">
        <v>20.918158792288999</v>
      </c>
      <c r="D82">
        <v>14.8881015777588</v>
      </c>
      <c r="E82" s="34">
        <f t="shared" si="46"/>
        <v>6.0300572145301992</v>
      </c>
      <c r="F82" s="34">
        <f t="shared" si="47"/>
        <v>1.5302835256539327E-2</v>
      </c>
      <c r="G82" s="164">
        <f t="shared" ref="G82" si="54">AVERAGE(F82:F84)</f>
        <v>1.0266397633481033E-2</v>
      </c>
      <c r="H82" s="164">
        <f t="shared" ref="H82" si="55">STDEV(F82:F84)/SQRT(3)</f>
        <v>2.5266662373322878E-3</v>
      </c>
    </row>
    <row r="83" spans="1:8" x14ac:dyDescent="0.35">
      <c r="A83" s="167"/>
      <c r="B83" s="35" t="s">
        <v>75</v>
      </c>
      <c r="C83">
        <v>21.59624900359</v>
      </c>
      <c r="D83">
        <v>14.6494083404541</v>
      </c>
      <c r="E83" s="34">
        <f t="shared" si="46"/>
        <v>6.9468406631358999</v>
      </c>
      <c r="F83" s="34">
        <f t="shared" si="47"/>
        <v>8.1057384343340994E-3</v>
      </c>
      <c r="G83" s="165"/>
      <c r="H83" s="165"/>
    </row>
    <row r="84" spans="1:8" x14ac:dyDescent="0.35">
      <c r="A84" s="167"/>
      <c r="B84" s="35" t="s">
        <v>76</v>
      </c>
      <c r="C84">
        <v>20.9119677037598</v>
      </c>
      <c r="D84">
        <v>13.831878662109375</v>
      </c>
      <c r="E84" s="34">
        <f t="shared" si="46"/>
        <v>7.0800890416504245</v>
      </c>
      <c r="F84" s="34">
        <f t="shared" si="47"/>
        <v>7.39061920956967E-3</v>
      </c>
      <c r="G84" s="166"/>
      <c r="H84" s="166"/>
    </row>
    <row r="86" spans="1:8" x14ac:dyDescent="0.35">
      <c r="A86" s="168" t="s">
        <v>318</v>
      </c>
      <c r="B86" s="168"/>
      <c r="C86" s="168"/>
      <c r="D86" s="168"/>
      <c r="E86" s="168"/>
      <c r="F86" s="168"/>
      <c r="G86" s="168"/>
      <c r="H86" s="168"/>
    </row>
    <row r="87" spans="1:8" x14ac:dyDescent="0.35">
      <c r="A87" s="33" t="s">
        <v>8</v>
      </c>
      <c r="B87" s="34"/>
      <c r="C87" s="33" t="s">
        <v>7</v>
      </c>
      <c r="D87" s="33" t="s">
        <v>6</v>
      </c>
      <c r="E87" s="33" t="s">
        <v>5</v>
      </c>
      <c r="F87" s="33" t="s">
        <v>4</v>
      </c>
      <c r="G87" s="33" t="s">
        <v>3</v>
      </c>
      <c r="H87" s="33" t="s">
        <v>72</v>
      </c>
    </row>
    <row r="88" spans="1:8" x14ac:dyDescent="0.35">
      <c r="A88" s="167" t="s">
        <v>73</v>
      </c>
      <c r="B88" s="35" t="s">
        <v>2</v>
      </c>
      <c r="C88">
        <v>21.41</v>
      </c>
      <c r="D88">
        <v>13.062341690063477</v>
      </c>
      <c r="E88" s="37">
        <f t="shared" ref="E88:E99" si="56">C88-D88</f>
        <v>8.3476583099365236</v>
      </c>
      <c r="F88" s="37">
        <f t="shared" ref="F88:F99" si="57">2^-E88</f>
        <v>3.0697602287720074E-3</v>
      </c>
      <c r="G88" s="164">
        <f t="shared" ref="G88" si="58">AVERAGE(F88:F90)</f>
        <v>7.8880618353941948E-3</v>
      </c>
      <c r="H88" s="164">
        <f t="shared" ref="H88" si="59">STDEV(F88:F90)/SQRT(3)</f>
        <v>4.8053304238168237E-3</v>
      </c>
    </row>
    <row r="89" spans="1:8" x14ac:dyDescent="0.35">
      <c r="A89" s="167"/>
      <c r="B89" s="35" t="s">
        <v>1</v>
      </c>
      <c r="C89">
        <v>21.641999999999999</v>
      </c>
      <c r="D89">
        <v>13.306488037109375</v>
      </c>
      <c r="E89" s="34">
        <f t="shared" si="56"/>
        <v>8.3355119628906245</v>
      </c>
      <c r="F89" s="34">
        <f t="shared" si="57"/>
        <v>3.0957142760799617E-3</v>
      </c>
      <c r="G89" s="165"/>
      <c r="H89" s="165"/>
    </row>
    <row r="90" spans="1:8" x14ac:dyDescent="0.35">
      <c r="A90" s="167"/>
      <c r="B90" s="35" t="s">
        <v>0</v>
      </c>
      <c r="C90">
        <v>21.658999999999999</v>
      </c>
      <c r="D90">
        <v>15.822392463684082</v>
      </c>
      <c r="E90" s="34">
        <f t="shared" si="56"/>
        <v>5.8366075363159169</v>
      </c>
      <c r="F90" s="34">
        <f t="shared" si="57"/>
        <v>1.7498711001330613E-2</v>
      </c>
      <c r="G90" s="166"/>
      <c r="H90" s="166"/>
    </row>
    <row r="91" spans="1:8" x14ac:dyDescent="0.35">
      <c r="A91" s="167" t="s">
        <v>251</v>
      </c>
      <c r="B91" s="35" t="s">
        <v>74</v>
      </c>
      <c r="C91">
        <v>21.677</v>
      </c>
      <c r="D91">
        <v>13.062341690063477</v>
      </c>
      <c r="E91" s="34">
        <f t="shared" si="56"/>
        <v>8.614658309936523</v>
      </c>
      <c r="F91" s="34">
        <f t="shared" si="57"/>
        <v>2.551111534205746E-3</v>
      </c>
      <c r="G91" s="164">
        <f t="shared" ref="G91" si="60">AVERAGE(F91:F93)</f>
        <v>9.7563497134413469E-3</v>
      </c>
      <c r="H91" s="164">
        <f t="shared" ref="H91" si="61">STDEV(F91:F93)/SQRT(3)</f>
        <v>5.020778499407819E-3</v>
      </c>
    </row>
    <row r="92" spans="1:8" x14ac:dyDescent="0.35">
      <c r="A92" s="167"/>
      <c r="B92" s="35" t="s">
        <v>75</v>
      </c>
      <c r="C92">
        <v>20.404</v>
      </c>
      <c r="D92">
        <v>13.306488037109375</v>
      </c>
      <c r="E92" s="34">
        <f t="shared" si="56"/>
        <v>7.0975119628906249</v>
      </c>
      <c r="F92" s="34">
        <f t="shared" si="57"/>
        <v>7.3019020785041197E-3</v>
      </c>
      <c r="G92" s="165"/>
      <c r="H92" s="165"/>
    </row>
    <row r="93" spans="1:8" x14ac:dyDescent="0.35">
      <c r="A93" s="167"/>
      <c r="B93" s="35" t="s">
        <v>76</v>
      </c>
      <c r="C93">
        <v>21.509</v>
      </c>
      <c r="D93">
        <v>15.822392463684082</v>
      </c>
      <c r="E93" s="34">
        <f t="shared" si="56"/>
        <v>5.6866075363159183</v>
      </c>
      <c r="F93" s="34">
        <f t="shared" si="57"/>
        <v>1.9416035527614173E-2</v>
      </c>
      <c r="G93" s="166"/>
      <c r="H93" s="166"/>
    </row>
    <row r="94" spans="1:8" x14ac:dyDescent="0.35">
      <c r="A94" s="167" t="s">
        <v>253</v>
      </c>
      <c r="B94" s="35" t="s">
        <v>2</v>
      </c>
      <c r="C94">
        <v>21.724</v>
      </c>
      <c r="D94">
        <v>15.754693984985352</v>
      </c>
      <c r="E94" s="37">
        <f t="shared" si="56"/>
        <v>5.9693060150146486</v>
      </c>
      <c r="F94" s="37">
        <f t="shared" si="57"/>
        <v>1.5960990392674609E-2</v>
      </c>
      <c r="G94" s="164">
        <f t="shared" ref="G94" si="62">AVERAGE(F94:F96)</f>
        <v>1.9065815214261178E-2</v>
      </c>
      <c r="H94" s="164">
        <f t="shared" ref="H94" si="63">STDEV(F94:F96)/SQRT(3)</f>
        <v>3.0000600372051701E-3</v>
      </c>
    </row>
    <row r="95" spans="1:8" x14ac:dyDescent="0.35">
      <c r="A95" s="167"/>
      <c r="B95" s="35" t="s">
        <v>1</v>
      </c>
      <c r="C95">
        <v>19.213000000000001</v>
      </c>
      <c r="D95">
        <v>13.262619972229004</v>
      </c>
      <c r="E95" s="34">
        <f t="shared" si="56"/>
        <v>5.9503800277709971</v>
      </c>
      <c r="F95" s="34">
        <f t="shared" si="57"/>
        <v>1.6171753988457559E-2</v>
      </c>
      <c r="G95" s="165"/>
      <c r="H95" s="165"/>
    </row>
    <row r="96" spans="1:8" x14ac:dyDescent="0.35">
      <c r="A96" s="167"/>
      <c r="B96" s="35" t="s">
        <v>0</v>
      </c>
      <c r="C96">
        <v>19.237693779490002</v>
      </c>
      <c r="D96">
        <v>13.91949462890625</v>
      </c>
      <c r="E96" s="34">
        <f t="shared" si="56"/>
        <v>5.3181991505837516</v>
      </c>
      <c r="F96" s="34">
        <f t="shared" si="57"/>
        <v>2.5064701261651365E-2</v>
      </c>
      <c r="G96" s="166"/>
      <c r="H96" s="166"/>
    </row>
    <row r="97" spans="1:8" x14ac:dyDescent="0.35">
      <c r="A97" s="167" t="s">
        <v>252</v>
      </c>
      <c r="B97" s="35" t="s">
        <v>74</v>
      </c>
      <c r="C97">
        <v>20.918158792288999</v>
      </c>
      <c r="D97">
        <v>14.8881015777588</v>
      </c>
      <c r="E97" s="34">
        <f t="shared" si="56"/>
        <v>6.0300572145301992</v>
      </c>
      <c r="F97" s="34">
        <f t="shared" si="57"/>
        <v>1.5302835256539327E-2</v>
      </c>
      <c r="G97" s="164">
        <f t="shared" ref="G97" si="64">AVERAGE(F97:F99)</f>
        <v>2.1446941163105877E-2</v>
      </c>
      <c r="H97" s="164">
        <f t="shared" ref="H97" si="65">STDEV(F97:F99)/SQRT(3)</f>
        <v>3.0938360836744142E-3</v>
      </c>
    </row>
    <row r="98" spans="1:8" x14ac:dyDescent="0.35">
      <c r="A98" s="167"/>
      <c r="B98" s="35" t="s">
        <v>75</v>
      </c>
      <c r="C98">
        <v>19.9624900359</v>
      </c>
      <c r="D98">
        <v>14.6494083404541</v>
      </c>
      <c r="E98" s="34">
        <f t="shared" si="56"/>
        <v>5.3130816954459004</v>
      </c>
      <c r="F98" s="34">
        <f t="shared" si="57"/>
        <v>2.5153767378749903E-2</v>
      </c>
      <c r="G98" s="165"/>
      <c r="H98" s="165"/>
    </row>
    <row r="99" spans="1:8" x14ac:dyDescent="0.35">
      <c r="A99" s="167"/>
      <c r="B99" s="35" t="s">
        <v>76</v>
      </c>
      <c r="C99">
        <v>19.219677037598</v>
      </c>
      <c r="D99">
        <v>13.831878662109375</v>
      </c>
      <c r="E99" s="34">
        <f t="shared" si="56"/>
        <v>5.3877983754886252</v>
      </c>
      <c r="F99" s="34">
        <f t="shared" si="57"/>
        <v>2.3884220854028405E-2</v>
      </c>
      <c r="G99" s="166"/>
      <c r="H99" s="166"/>
    </row>
    <row r="102" spans="1:8" ht="21" x14ac:dyDescent="0.5">
      <c r="A102" s="163" t="s">
        <v>381</v>
      </c>
      <c r="B102" s="163"/>
      <c r="C102" s="163"/>
      <c r="D102" s="163"/>
      <c r="E102" s="163"/>
      <c r="F102" s="163"/>
      <c r="G102" s="163"/>
      <c r="H102" s="163"/>
    </row>
    <row r="104" spans="1:8" x14ac:dyDescent="0.35">
      <c r="A104" s="188" t="s">
        <v>129</v>
      </c>
      <c r="B104" s="188"/>
      <c r="C104" s="188"/>
      <c r="D104" s="188"/>
      <c r="E104" s="188"/>
      <c r="F104" s="188"/>
      <c r="G104" s="188"/>
    </row>
    <row r="105" spans="1:8" ht="72" customHeight="1" x14ac:dyDescent="0.35">
      <c r="A105" s="142"/>
      <c r="B105" s="145" t="s">
        <v>321</v>
      </c>
      <c r="C105" s="145" t="s">
        <v>322</v>
      </c>
      <c r="D105" s="143" t="s">
        <v>323</v>
      </c>
      <c r="E105" s="145" t="s">
        <v>324</v>
      </c>
      <c r="F105" s="145" t="s">
        <v>325</v>
      </c>
      <c r="G105" s="145" t="s">
        <v>326</v>
      </c>
    </row>
    <row r="106" spans="1:8" x14ac:dyDescent="0.35">
      <c r="A106" s="142" t="s">
        <v>327</v>
      </c>
      <c r="B106" s="138">
        <v>7.8928418159484863</v>
      </c>
      <c r="C106" s="146">
        <f>AVERAGE(B106:B108)</f>
        <v>7.4669160207112784</v>
      </c>
      <c r="D106" s="146">
        <f>C106-3.32</f>
        <v>4.146916020711279</v>
      </c>
      <c r="E106" s="142"/>
      <c r="F106" s="144"/>
      <c r="G106" s="147"/>
    </row>
    <row r="107" spans="1:8" x14ac:dyDescent="0.35">
      <c r="A107" s="142" t="s">
        <v>328</v>
      </c>
      <c r="B107" s="138">
        <v>7.13708238601685</v>
      </c>
      <c r="C107" s="142"/>
      <c r="D107" s="142"/>
      <c r="E107" s="142"/>
      <c r="F107" s="142"/>
      <c r="G107" s="142"/>
    </row>
    <row r="108" spans="1:8" x14ac:dyDescent="0.35">
      <c r="A108" s="142" t="s">
        <v>329</v>
      </c>
      <c r="B108" s="138">
        <v>7.3708238601684997</v>
      </c>
      <c r="C108" s="142"/>
      <c r="D108" s="142"/>
      <c r="E108" s="142"/>
      <c r="F108" s="142"/>
      <c r="G108" s="142"/>
    </row>
    <row r="109" spans="1:8" x14ac:dyDescent="0.35">
      <c r="A109" s="142" t="s">
        <v>330</v>
      </c>
      <c r="B109" s="138">
        <v>21.451640472412102</v>
      </c>
      <c r="C109" s="146">
        <f>AVERAGE(B109:B111)</f>
        <v>20.759038314819332</v>
      </c>
      <c r="D109" s="142"/>
      <c r="E109" s="150">
        <f>100*2^(D106-C109)</f>
        <v>9.9828121250220068E-4</v>
      </c>
      <c r="F109" s="146">
        <f>C109-C109</f>
        <v>0</v>
      </c>
      <c r="G109" s="146">
        <f>2^-F109</f>
        <v>1</v>
      </c>
    </row>
    <row r="110" spans="1:8" x14ac:dyDescent="0.35">
      <c r="A110" s="142" t="s">
        <v>331</v>
      </c>
      <c r="B110" s="138">
        <v>20.373833999633799</v>
      </c>
      <c r="C110" s="142"/>
      <c r="D110" s="142"/>
      <c r="E110" s="150"/>
      <c r="F110" s="144"/>
      <c r="G110" s="144"/>
    </row>
    <row r="111" spans="1:8" x14ac:dyDescent="0.35">
      <c r="A111" s="142" t="s">
        <v>332</v>
      </c>
      <c r="B111" s="138">
        <v>20.451640472412102</v>
      </c>
      <c r="C111" s="142"/>
      <c r="D111" s="142"/>
      <c r="E111" s="150"/>
      <c r="F111" s="144"/>
      <c r="G111" s="144"/>
    </row>
    <row r="112" spans="1:8" x14ac:dyDescent="0.35">
      <c r="A112" s="133" t="s">
        <v>364</v>
      </c>
      <c r="B112" s="138">
        <v>20.451640472412102</v>
      </c>
      <c r="C112" s="146">
        <f>AVERAGE(B112:B114)</f>
        <v>21.092371648152668</v>
      </c>
      <c r="D112" s="142"/>
      <c r="E112" s="150">
        <f>100*2^(D106-C112)</f>
        <v>7.9233632344304116E-4</v>
      </c>
      <c r="F112" s="146">
        <f>C112-C109</f>
        <v>0.3333333333333357</v>
      </c>
      <c r="G112" s="146">
        <f>2^-F112</f>
        <v>0.79370052598409846</v>
      </c>
    </row>
    <row r="113" spans="1:7" x14ac:dyDescent="0.35">
      <c r="A113" s="133" t="s">
        <v>365</v>
      </c>
      <c r="B113" s="138">
        <v>21.373833999633799</v>
      </c>
      <c r="C113" s="142"/>
      <c r="D113" s="142"/>
      <c r="E113" s="150"/>
      <c r="F113" s="144"/>
      <c r="G113" s="144"/>
    </row>
    <row r="114" spans="1:7" x14ac:dyDescent="0.35">
      <c r="A114" s="133" t="s">
        <v>366</v>
      </c>
      <c r="B114" s="138">
        <v>21.451640472412102</v>
      </c>
      <c r="C114" s="142"/>
      <c r="D114" s="142"/>
      <c r="E114" s="150"/>
      <c r="F114" s="144"/>
      <c r="G114" s="144"/>
    </row>
    <row r="115" spans="1:7" x14ac:dyDescent="0.35">
      <c r="A115" s="142" t="s">
        <v>340</v>
      </c>
      <c r="B115" s="138">
        <v>7.8928418159484863</v>
      </c>
      <c r="C115" s="146">
        <f>AVERAGE(B115:B117)</f>
        <v>7.4669160207112784</v>
      </c>
      <c r="D115" s="146">
        <f>C115-3.32</f>
        <v>4.146916020711279</v>
      </c>
      <c r="E115" s="142"/>
      <c r="F115" s="144"/>
      <c r="G115" s="147"/>
    </row>
    <row r="116" spans="1:7" x14ac:dyDescent="0.35">
      <c r="A116" s="142" t="s">
        <v>341</v>
      </c>
      <c r="B116" s="138">
        <v>7.13708238601685</v>
      </c>
      <c r="C116" s="142"/>
      <c r="D116" s="142"/>
      <c r="E116" s="142"/>
      <c r="F116" s="142"/>
      <c r="G116" s="142"/>
    </row>
    <row r="117" spans="1:7" x14ac:dyDescent="0.35">
      <c r="A117" s="142" t="s">
        <v>342</v>
      </c>
      <c r="B117" s="138">
        <v>7.3708238601684997</v>
      </c>
      <c r="C117" s="142"/>
      <c r="D117" s="142"/>
      <c r="E117" s="142"/>
      <c r="F117" s="142"/>
      <c r="G117" s="142"/>
    </row>
    <row r="118" spans="1:7" x14ac:dyDescent="0.35">
      <c r="A118" s="142" t="s">
        <v>343</v>
      </c>
      <c r="B118" s="138">
        <v>20.451640472412102</v>
      </c>
      <c r="C118" s="146">
        <f>AVERAGE(B118:B120)</f>
        <v>20.759038314819332</v>
      </c>
      <c r="D118" s="142"/>
      <c r="E118" s="150">
        <f>100*2^(D115-C118)</f>
        <v>9.9828121250220068E-4</v>
      </c>
      <c r="F118" s="146">
        <f>C118-C118</f>
        <v>0</v>
      </c>
      <c r="G118" s="146">
        <f>2^-F118</f>
        <v>1</v>
      </c>
    </row>
    <row r="119" spans="1:7" x14ac:dyDescent="0.35">
      <c r="A119" s="142" t="s">
        <v>344</v>
      </c>
      <c r="B119" s="138">
        <v>20.373833999633799</v>
      </c>
      <c r="C119" s="142"/>
      <c r="D119" s="142"/>
      <c r="E119" s="150"/>
      <c r="F119" s="144"/>
      <c r="G119" s="144"/>
    </row>
    <row r="120" spans="1:7" x14ac:dyDescent="0.35">
      <c r="A120" s="142" t="s">
        <v>345</v>
      </c>
      <c r="B120" s="138">
        <v>21.451640472412102</v>
      </c>
      <c r="C120" s="142"/>
      <c r="D120" s="142"/>
      <c r="E120" s="150"/>
      <c r="F120" s="144"/>
      <c r="G120" s="144"/>
    </row>
    <row r="121" spans="1:7" x14ac:dyDescent="0.35">
      <c r="A121" s="133" t="s">
        <v>370</v>
      </c>
      <c r="B121" s="138">
        <v>20.451640472412102</v>
      </c>
      <c r="C121" s="146">
        <f>AVERAGE(B121:B123)</f>
        <v>20.976106821696032</v>
      </c>
      <c r="D121" s="142"/>
      <c r="E121" s="150">
        <f>100*2^(D115-C121)</f>
        <v>8.5883308430970346E-4</v>
      </c>
      <c r="F121" s="146">
        <f>C121-C118</f>
        <v>0.21706850687669998</v>
      </c>
      <c r="G121" s="146">
        <f>2^-F121</f>
        <v>0.86031177743697074</v>
      </c>
    </row>
    <row r="122" spans="1:7" x14ac:dyDescent="0.35">
      <c r="A122" s="133" t="s">
        <v>371</v>
      </c>
      <c r="B122" s="138">
        <v>20.738339996337999</v>
      </c>
      <c r="C122" s="142"/>
      <c r="D122" s="142"/>
      <c r="E122" s="150"/>
      <c r="F122" s="144"/>
      <c r="G122" s="144"/>
    </row>
    <row r="123" spans="1:7" x14ac:dyDescent="0.35">
      <c r="A123" s="133" t="s">
        <v>372</v>
      </c>
      <c r="B123" s="138">
        <v>21.738339996337999</v>
      </c>
    </row>
    <row r="124" spans="1:7" x14ac:dyDescent="0.35">
      <c r="A124" s="142" t="s">
        <v>346</v>
      </c>
      <c r="B124" s="138">
        <v>8.3331079483032227</v>
      </c>
      <c r="C124" s="146">
        <f>AVERAGE(B124:B126)</f>
        <v>8.0162687301635884</v>
      </c>
      <c r="D124" s="146">
        <f>C124-3.32</f>
        <v>4.6962687301635881</v>
      </c>
      <c r="E124" s="142"/>
      <c r="F124" s="144"/>
      <c r="G124" s="147"/>
    </row>
    <row r="125" spans="1:7" x14ac:dyDescent="0.35">
      <c r="A125" s="142" t="s">
        <v>347</v>
      </c>
      <c r="B125" s="138">
        <v>8.344874382019043</v>
      </c>
      <c r="C125" s="142"/>
      <c r="D125" s="142"/>
      <c r="E125" s="142"/>
      <c r="F125" s="142"/>
      <c r="G125" s="142"/>
    </row>
    <row r="126" spans="1:7" x14ac:dyDescent="0.35">
      <c r="A126" s="142" t="s">
        <v>348</v>
      </c>
      <c r="B126" s="138">
        <v>7.3708238601684997</v>
      </c>
      <c r="C126" s="142"/>
      <c r="D126" s="142"/>
      <c r="E126" s="142"/>
      <c r="F126" s="142"/>
      <c r="G126" s="142"/>
    </row>
    <row r="127" spans="1:7" x14ac:dyDescent="0.35">
      <c r="A127" s="142" t="s">
        <v>349</v>
      </c>
      <c r="B127" s="138">
        <v>21.264157295227101</v>
      </c>
      <c r="C127" s="146">
        <f>AVERAGE(B127:B129)</f>
        <v>21.182434399922368</v>
      </c>
      <c r="D127" s="142"/>
      <c r="E127" s="150">
        <f>100*2^(D124-C127)</f>
        <v>1.0893554736081258E-3</v>
      </c>
      <c r="F127" s="146">
        <f>C127-C127</f>
        <v>0</v>
      </c>
      <c r="G127" s="146">
        <f>2^-F127</f>
        <v>1</v>
      </c>
    </row>
    <row r="128" spans="1:7" x14ac:dyDescent="0.35">
      <c r="A128" s="142" t="s">
        <v>350</v>
      </c>
      <c r="B128" s="138">
        <v>21.64157295227</v>
      </c>
      <c r="C128" s="142"/>
      <c r="D128" s="142"/>
      <c r="E128" s="150"/>
      <c r="F128" s="144"/>
      <c r="G128" s="144"/>
    </row>
    <row r="129" spans="1:7" x14ac:dyDescent="0.35">
      <c r="A129" s="142" t="s">
        <v>351</v>
      </c>
      <c r="B129" s="138">
        <v>20.64157295227</v>
      </c>
      <c r="C129" s="142"/>
      <c r="D129" s="142"/>
      <c r="E129" s="150"/>
      <c r="F129" s="144"/>
      <c r="G129" s="144"/>
    </row>
    <row r="130" spans="1:7" x14ac:dyDescent="0.35">
      <c r="A130" s="133" t="s">
        <v>367</v>
      </c>
      <c r="B130" s="138">
        <v>21.3516404724121</v>
      </c>
      <c r="C130" s="146">
        <f>AVERAGE(B130:B132)</f>
        <v>21.215451278686633</v>
      </c>
      <c r="D130" s="142"/>
      <c r="E130" s="150">
        <f>100*2^(D106-C130)</f>
        <v>7.2754339998185795E-4</v>
      </c>
      <c r="F130" s="146">
        <f>C130-C127</f>
        <v>3.3016878764264845E-2</v>
      </c>
      <c r="G130" s="146">
        <f>2^-F130</f>
        <v>0.97737433158433384</v>
      </c>
    </row>
    <row r="131" spans="1:7" x14ac:dyDescent="0.35">
      <c r="A131" s="133" t="s">
        <v>368</v>
      </c>
      <c r="B131" s="138">
        <v>20.373833999633799</v>
      </c>
      <c r="C131" s="142"/>
      <c r="D131" s="142"/>
      <c r="E131" s="150"/>
      <c r="F131" s="144"/>
      <c r="G131" s="144"/>
    </row>
    <row r="132" spans="1:7" x14ac:dyDescent="0.35">
      <c r="A132" s="141" t="s">
        <v>379</v>
      </c>
      <c r="B132" s="149">
        <v>21.920879364013999</v>
      </c>
      <c r="C132" s="142"/>
      <c r="D132" s="142"/>
      <c r="E132" s="150"/>
      <c r="F132" s="144"/>
      <c r="G132" s="144"/>
    </row>
    <row r="133" spans="1:7" x14ac:dyDescent="0.35">
      <c r="A133" s="142" t="s">
        <v>352</v>
      </c>
      <c r="B133" s="138">
        <v>8.8928418159484899</v>
      </c>
      <c r="C133" s="146">
        <f>AVERAGE(B133:B135)</f>
        <v>8.8002493540446132</v>
      </c>
      <c r="D133" s="146">
        <f>C133-3.32</f>
        <v>5.4802493540446129</v>
      </c>
      <c r="E133" s="142"/>
      <c r="F133" s="144"/>
      <c r="G133" s="147"/>
    </row>
    <row r="134" spans="1:7" x14ac:dyDescent="0.35">
      <c r="A134" s="142" t="s">
        <v>353</v>
      </c>
      <c r="B134" s="138">
        <v>9.13708238601685</v>
      </c>
      <c r="C134" s="142"/>
      <c r="D134" s="142"/>
      <c r="E134" s="142"/>
      <c r="F134" s="142"/>
      <c r="G134" s="142"/>
    </row>
    <row r="135" spans="1:7" x14ac:dyDescent="0.35">
      <c r="A135" s="142" t="s">
        <v>354</v>
      </c>
      <c r="B135" s="138">
        <v>8.3708238601684997</v>
      </c>
      <c r="C135" s="142"/>
      <c r="D135" s="142"/>
      <c r="E135" s="142"/>
      <c r="F135" s="142"/>
      <c r="G135" s="142"/>
    </row>
    <row r="136" spans="1:7" x14ac:dyDescent="0.35">
      <c r="A136" s="142" t="s">
        <v>355</v>
      </c>
      <c r="B136" s="138">
        <v>21.451640472412102</v>
      </c>
      <c r="C136" s="146">
        <f>AVERAGE(B136:B138)</f>
        <v>21.092371648152668</v>
      </c>
      <c r="D136" s="142"/>
      <c r="E136" s="150">
        <f>100*2^(D133-C136)</f>
        <v>1.9965624250044018E-3</v>
      </c>
      <c r="F136" s="146">
        <f>C136-C136</f>
        <v>0</v>
      </c>
      <c r="G136" s="146">
        <f>2^-F136</f>
        <v>1</v>
      </c>
    </row>
    <row r="137" spans="1:7" x14ac:dyDescent="0.35">
      <c r="A137" s="142" t="s">
        <v>356</v>
      </c>
      <c r="B137" s="138">
        <v>20.373833999633799</v>
      </c>
      <c r="C137" s="142"/>
      <c r="D137" s="142"/>
      <c r="E137" s="150"/>
      <c r="F137" s="144"/>
      <c r="G137" s="144"/>
    </row>
    <row r="138" spans="1:7" x14ac:dyDescent="0.35">
      <c r="A138" s="142" t="s">
        <v>357</v>
      </c>
      <c r="B138" s="138">
        <v>21.451640472412102</v>
      </c>
      <c r="C138" s="142"/>
      <c r="D138" s="142"/>
      <c r="E138" s="150"/>
      <c r="F138" s="144"/>
      <c r="G138" s="144"/>
    </row>
    <row r="139" spans="1:7" x14ac:dyDescent="0.35">
      <c r="A139" s="133" t="s">
        <v>373</v>
      </c>
      <c r="B139" s="138">
        <v>21.451640472412102</v>
      </c>
      <c r="C139" s="146">
        <f>AVERAGE(B139:B141)</f>
        <v>21.425704981485996</v>
      </c>
      <c r="D139" s="142"/>
      <c r="E139" s="150">
        <f>100*2^(D133-C139)</f>
        <v>1.5846726468860877E-3</v>
      </c>
      <c r="F139" s="146">
        <f>C139-C136</f>
        <v>0.3333333333333286</v>
      </c>
      <c r="G139" s="146">
        <f>2^-F139</f>
        <v>0.79370052598410235</v>
      </c>
    </row>
    <row r="140" spans="1:7" x14ac:dyDescent="0.35">
      <c r="A140" s="133" t="s">
        <v>374</v>
      </c>
      <c r="B140" s="138">
        <v>21.373833999633799</v>
      </c>
      <c r="C140" s="142"/>
      <c r="D140" s="142"/>
      <c r="E140" s="150"/>
      <c r="F140" s="144"/>
      <c r="G140" s="144"/>
    </row>
    <row r="141" spans="1:7" x14ac:dyDescent="0.35">
      <c r="A141" s="133" t="s">
        <v>375</v>
      </c>
      <c r="B141" s="138">
        <v>21.451640472412102</v>
      </c>
      <c r="C141" s="142"/>
      <c r="D141" s="142"/>
      <c r="E141" s="150"/>
      <c r="F141" s="144"/>
      <c r="G141" s="144"/>
    </row>
    <row r="142" spans="1:7" x14ac:dyDescent="0.35">
      <c r="A142" s="142" t="s">
        <v>358</v>
      </c>
      <c r="B142" s="138">
        <v>7.8928418159484863</v>
      </c>
      <c r="C142" s="146">
        <f>AVERAGE(B142:B144)</f>
        <v>7.4669160207112784</v>
      </c>
      <c r="D142" s="146">
        <f>C142-3.32</f>
        <v>4.146916020711279</v>
      </c>
      <c r="E142" s="142"/>
      <c r="F142" s="144"/>
      <c r="G142" s="147"/>
    </row>
    <row r="143" spans="1:7" x14ac:dyDescent="0.35">
      <c r="A143" s="142" t="s">
        <v>359</v>
      </c>
      <c r="B143" s="138">
        <v>7.13708238601685</v>
      </c>
      <c r="C143" s="142"/>
      <c r="D143" s="142"/>
      <c r="E143" s="142"/>
      <c r="F143" s="142"/>
      <c r="G143" s="142"/>
    </row>
    <row r="144" spans="1:7" x14ac:dyDescent="0.35">
      <c r="A144" s="142" t="s">
        <v>360</v>
      </c>
      <c r="B144" s="138">
        <v>7.3708238601684997</v>
      </c>
      <c r="C144" s="142"/>
      <c r="D144" s="142"/>
      <c r="E144" s="142"/>
      <c r="F144" s="142"/>
      <c r="G144" s="142"/>
    </row>
    <row r="145" spans="1:7" x14ac:dyDescent="0.35">
      <c r="A145" s="142" t="s">
        <v>361</v>
      </c>
      <c r="B145" s="138">
        <v>21.3516404724121</v>
      </c>
      <c r="C145" s="146">
        <f>AVERAGE(B145:B147)</f>
        <v>21.062371648152666</v>
      </c>
      <c r="D145" s="142"/>
      <c r="E145" s="150">
        <f>100*2^(D$5-C145)</f>
        <v>3.4353912396779394</v>
      </c>
      <c r="F145" s="146">
        <f>C145-C145</f>
        <v>0</v>
      </c>
      <c r="G145" s="146">
        <f>2^-F145</f>
        <v>1</v>
      </c>
    </row>
    <row r="146" spans="1:7" x14ac:dyDescent="0.35">
      <c r="A146" s="142" t="s">
        <v>362</v>
      </c>
      <c r="B146" s="138">
        <v>20.373833999633799</v>
      </c>
      <c r="C146" s="142"/>
      <c r="D146" s="142"/>
      <c r="E146" s="150"/>
      <c r="F146" s="144"/>
      <c r="G146" s="144"/>
    </row>
    <row r="147" spans="1:7" x14ac:dyDescent="0.35">
      <c r="A147" s="142" t="s">
        <v>363</v>
      </c>
      <c r="B147" s="138">
        <v>21.4616404724121</v>
      </c>
      <c r="C147" s="142"/>
      <c r="D147" s="142"/>
      <c r="E147" s="150"/>
      <c r="F147" s="144"/>
      <c r="G147" s="144"/>
    </row>
    <row r="148" spans="1:7" x14ac:dyDescent="0.35">
      <c r="A148" s="133" t="s">
        <v>376</v>
      </c>
      <c r="B148" s="138">
        <v>20.516404724120999</v>
      </c>
      <c r="C148" s="146">
        <f>AVERAGE(B148:B150)</f>
        <v>20.902128397623702</v>
      </c>
      <c r="D148" s="142"/>
      <c r="E148" s="150">
        <f>100*2^(D$5-C148)</f>
        <v>3.8389656737028481</v>
      </c>
      <c r="F148" s="146">
        <f>C148-C145</f>
        <v>-0.16024325052896415</v>
      </c>
      <c r="G148" s="146">
        <f>2^-F148</f>
        <v>1.1174755379718391</v>
      </c>
    </row>
    <row r="149" spans="1:7" x14ac:dyDescent="0.35">
      <c r="A149" s="133" t="s">
        <v>377</v>
      </c>
      <c r="B149" s="138">
        <v>20.738339996337999</v>
      </c>
      <c r="C149" s="142"/>
      <c r="D149" s="142"/>
      <c r="E149" s="150"/>
      <c r="F149" s="144"/>
      <c r="G149" s="144"/>
    </row>
    <row r="150" spans="1:7" x14ac:dyDescent="0.35">
      <c r="A150" s="133" t="s">
        <v>378</v>
      </c>
      <c r="B150" s="138">
        <v>21.451640472412102</v>
      </c>
      <c r="C150" s="142"/>
      <c r="D150" s="142"/>
      <c r="E150" s="150"/>
      <c r="F150" s="144"/>
      <c r="G150" s="144"/>
    </row>
    <row r="152" spans="1:7" x14ac:dyDescent="0.35">
      <c r="A152" s="188" t="s">
        <v>131</v>
      </c>
      <c r="B152" s="188"/>
      <c r="C152" s="188"/>
      <c r="D152" s="188"/>
      <c r="E152" s="188"/>
      <c r="F152" s="188"/>
      <c r="G152" s="188"/>
    </row>
    <row r="153" spans="1:7" ht="91.5" x14ac:dyDescent="0.35">
      <c r="A153" s="142"/>
      <c r="B153" s="145" t="s">
        <v>321</v>
      </c>
      <c r="C153" s="145" t="s">
        <v>322</v>
      </c>
      <c r="D153" s="143" t="s">
        <v>323</v>
      </c>
      <c r="E153" s="145" t="s">
        <v>324</v>
      </c>
      <c r="F153" s="145" t="s">
        <v>325</v>
      </c>
      <c r="G153" s="145" t="s">
        <v>326</v>
      </c>
    </row>
    <row r="154" spans="1:7" x14ac:dyDescent="0.35">
      <c r="A154" s="142" t="s">
        <v>327</v>
      </c>
      <c r="B154" s="138">
        <v>8.9284181594849006</v>
      </c>
      <c r="C154" s="146">
        <f>AVERAGE(B154:B156)</f>
        <v>8.5900219599406338</v>
      </c>
      <c r="D154" s="146">
        <f>C154-3.32</f>
        <v>5.2700219599406335</v>
      </c>
      <c r="E154" s="142"/>
      <c r="F154" s="144"/>
      <c r="G154" s="147"/>
    </row>
    <row r="155" spans="1:7" x14ac:dyDescent="0.35">
      <c r="A155" s="142" t="s">
        <v>328</v>
      </c>
      <c r="B155" s="138">
        <v>8.1708238601685004</v>
      </c>
      <c r="C155" s="142"/>
      <c r="D155" s="142"/>
      <c r="E155" s="142"/>
      <c r="F155" s="142"/>
      <c r="G155" s="142"/>
    </row>
    <row r="156" spans="1:7" x14ac:dyDescent="0.35">
      <c r="A156" s="142" t="s">
        <v>329</v>
      </c>
      <c r="B156" s="138">
        <v>8.6708238601685004</v>
      </c>
      <c r="C156" s="142"/>
      <c r="D156" s="142"/>
      <c r="E156" s="142"/>
      <c r="F156" s="142"/>
      <c r="G156" s="142"/>
    </row>
    <row r="157" spans="1:7" x14ac:dyDescent="0.35">
      <c r="A157" s="142" t="s">
        <v>330</v>
      </c>
      <c r="B157" s="138">
        <v>20.451640472412102</v>
      </c>
      <c r="C157" s="146">
        <f>AVERAGE(B157:B159)</f>
        <v>20.092371648152668</v>
      </c>
      <c r="D157" s="142"/>
      <c r="E157" s="150">
        <f>100*2^(D154-C157)</f>
        <v>3.4516610167521521E-3</v>
      </c>
      <c r="F157" s="146">
        <f>C157-C157</f>
        <v>0</v>
      </c>
      <c r="G157" s="146">
        <f>2^-F157</f>
        <v>1</v>
      </c>
    </row>
    <row r="158" spans="1:7" x14ac:dyDescent="0.35">
      <c r="A158" s="142" t="s">
        <v>331</v>
      </c>
      <c r="B158" s="138">
        <v>20.1738339996338</v>
      </c>
      <c r="C158" s="142"/>
      <c r="D158" s="142"/>
      <c r="E158" s="150"/>
      <c r="F158" s="144"/>
      <c r="G158" s="144"/>
    </row>
    <row r="159" spans="1:7" x14ac:dyDescent="0.35">
      <c r="A159" s="142" t="s">
        <v>332</v>
      </c>
      <c r="B159" s="138">
        <v>19.651640472412101</v>
      </c>
      <c r="C159" s="142"/>
      <c r="D159" s="142"/>
      <c r="E159" s="150"/>
      <c r="F159" s="144"/>
      <c r="G159" s="144"/>
    </row>
    <row r="160" spans="1:7" x14ac:dyDescent="0.35">
      <c r="A160" s="133" t="s">
        <v>364</v>
      </c>
      <c r="B160" s="138">
        <v>17.516404724120999</v>
      </c>
      <c r="C160" s="146">
        <f>AVERAGE(B160:B162)</f>
        <v>17.475547815958603</v>
      </c>
      <c r="D160" s="142"/>
      <c r="E160" s="150">
        <f>100*2^(D154-C160)</f>
        <v>2.1172425066552793E-2</v>
      </c>
      <c r="F160" s="146">
        <f>C160-C157</f>
        <v>-2.6168238321940649</v>
      </c>
      <c r="G160" s="146">
        <f>2^-F160</f>
        <v>6.1339815711321029</v>
      </c>
    </row>
    <row r="161" spans="1:7" x14ac:dyDescent="0.35">
      <c r="A161" s="133" t="s">
        <v>365</v>
      </c>
      <c r="B161" s="138">
        <v>17.393833999633799</v>
      </c>
      <c r="C161" s="142"/>
      <c r="D161" s="142"/>
      <c r="E161" s="150"/>
      <c r="F161" s="144"/>
      <c r="G161" s="144"/>
    </row>
    <row r="162" spans="1:7" x14ac:dyDescent="0.35">
      <c r="A162" s="133" t="s">
        <v>366</v>
      </c>
      <c r="B162" s="138">
        <v>17.516404724120999</v>
      </c>
      <c r="C162" s="142"/>
      <c r="D162" s="142"/>
      <c r="E162" s="150"/>
      <c r="F162" s="144"/>
      <c r="G162" s="144"/>
    </row>
    <row r="163" spans="1:7" x14ac:dyDescent="0.35">
      <c r="A163" s="133" t="s">
        <v>369</v>
      </c>
      <c r="B163" s="149">
        <v>19.920879364013999</v>
      </c>
      <c r="C163" s="142"/>
      <c r="D163" s="142"/>
      <c r="E163" s="148"/>
      <c r="F163" s="144"/>
      <c r="G163" s="145"/>
    </row>
    <row r="164" spans="1:7" x14ac:dyDescent="0.35">
      <c r="A164" s="142" t="s">
        <v>340</v>
      </c>
      <c r="B164" s="138">
        <v>8.9284181594849006</v>
      </c>
      <c r="C164" s="146">
        <f>AVERAGE(B164:B166)</f>
        <v>8.5900219599406338</v>
      </c>
      <c r="D164" s="146">
        <f>C164-3.32</f>
        <v>5.2700219599406335</v>
      </c>
      <c r="E164" s="142"/>
      <c r="F164" s="144"/>
      <c r="G164" s="147"/>
    </row>
    <row r="165" spans="1:7" x14ac:dyDescent="0.35">
      <c r="A165" s="142" t="s">
        <v>341</v>
      </c>
      <c r="B165" s="138">
        <v>8.1708238601685004</v>
      </c>
      <c r="C165" s="142"/>
      <c r="D165" s="142"/>
      <c r="E165" s="142"/>
      <c r="F165" s="142"/>
      <c r="G165" s="142"/>
    </row>
    <row r="166" spans="1:7" x14ac:dyDescent="0.35">
      <c r="A166" s="142" t="s">
        <v>342</v>
      </c>
      <c r="B166" s="138">
        <v>8.6708238601685004</v>
      </c>
      <c r="C166" s="142"/>
      <c r="D166" s="142"/>
      <c r="E166" s="142"/>
      <c r="F166" s="142"/>
      <c r="G166" s="142"/>
    </row>
    <row r="167" spans="1:7" x14ac:dyDescent="0.35">
      <c r="A167" s="142" t="s">
        <v>343</v>
      </c>
      <c r="B167" s="138">
        <v>21.516404724120999</v>
      </c>
      <c r="C167" s="146">
        <f>AVERAGE(B167:B169)</f>
        <v>20.513959732055635</v>
      </c>
      <c r="D167" s="142"/>
      <c r="E167" s="150">
        <f>100*2^(D164-C167)</f>
        <v>2.5770181574184489E-3</v>
      </c>
      <c r="F167" s="146">
        <f>C167-C167</f>
        <v>0</v>
      </c>
      <c r="G167" s="146">
        <f>2^-F167</f>
        <v>1</v>
      </c>
    </row>
    <row r="168" spans="1:7" x14ac:dyDescent="0.35">
      <c r="A168" s="142" t="s">
        <v>344</v>
      </c>
      <c r="B168" s="138">
        <v>20.373833999633799</v>
      </c>
      <c r="C168" s="142"/>
      <c r="D168" s="142"/>
      <c r="E168" s="150"/>
      <c r="F168" s="144"/>
      <c r="G168" s="144"/>
    </row>
    <row r="169" spans="1:7" x14ac:dyDescent="0.35">
      <c r="A169" s="142" t="s">
        <v>345</v>
      </c>
      <c r="B169" s="138">
        <v>19.651640472412101</v>
      </c>
      <c r="C169" s="142"/>
      <c r="D169" s="142"/>
      <c r="E169" s="150"/>
      <c r="F169" s="144"/>
      <c r="G169" s="144"/>
    </row>
    <row r="170" spans="1:7" x14ac:dyDescent="0.35">
      <c r="A170" s="133" t="s">
        <v>370</v>
      </c>
      <c r="B170" s="138">
        <v>19.16404724121</v>
      </c>
      <c r="C170" s="146">
        <f>AVERAGE(B170:B172)</f>
        <v>18.899695892334034</v>
      </c>
      <c r="D170" s="142"/>
      <c r="E170" s="150">
        <f>100*2^(D164-C170)</f>
        <v>7.8896786620129174E-3</v>
      </c>
      <c r="F170" s="146">
        <f>C170-C167</f>
        <v>-1.6142638397216018</v>
      </c>
      <c r="G170" s="146">
        <f>2^-F170</f>
        <v>3.0615533845972136</v>
      </c>
    </row>
    <row r="171" spans="1:7" x14ac:dyDescent="0.35">
      <c r="A171" s="133" t="s">
        <v>371</v>
      </c>
      <c r="B171" s="138">
        <v>19.08339996338</v>
      </c>
      <c r="C171" s="142"/>
      <c r="D171" s="142"/>
      <c r="E171" s="150"/>
      <c r="F171" s="144"/>
      <c r="G171" s="144"/>
    </row>
    <row r="172" spans="1:7" x14ac:dyDescent="0.35">
      <c r="A172" s="133" t="s">
        <v>372</v>
      </c>
      <c r="B172" s="138">
        <v>18.451640472412102</v>
      </c>
      <c r="C172" s="142"/>
      <c r="D172" s="142"/>
      <c r="E172" s="150"/>
      <c r="F172" s="144"/>
      <c r="G172" s="144"/>
    </row>
    <row r="173" spans="1:7" x14ac:dyDescent="0.35">
      <c r="A173" s="142" t="s">
        <v>346</v>
      </c>
      <c r="B173" s="138">
        <v>8.3331079483032227</v>
      </c>
      <c r="C173" s="146">
        <f>AVERAGE(B173:B175)</f>
        <v>8.0162687301635884</v>
      </c>
      <c r="D173" s="146">
        <f>C173-3.32</f>
        <v>4.6962687301635881</v>
      </c>
      <c r="E173" s="142"/>
      <c r="F173" s="144"/>
      <c r="G173" s="147"/>
    </row>
    <row r="174" spans="1:7" x14ac:dyDescent="0.35">
      <c r="A174" s="142" t="s">
        <v>347</v>
      </c>
      <c r="B174" s="138">
        <v>8.344874382019043</v>
      </c>
      <c r="C174" s="142"/>
      <c r="D174" s="142"/>
      <c r="E174" s="142"/>
      <c r="F174" s="142"/>
      <c r="G174" s="142"/>
    </row>
    <row r="175" spans="1:7" x14ac:dyDescent="0.35">
      <c r="A175" s="142" t="s">
        <v>348</v>
      </c>
      <c r="B175" s="138">
        <v>7.3708238601684997</v>
      </c>
      <c r="C175" s="142"/>
      <c r="D175" s="142"/>
      <c r="E175" s="142"/>
      <c r="F175" s="142"/>
      <c r="G175" s="142"/>
    </row>
    <row r="176" spans="1:7" x14ac:dyDescent="0.35">
      <c r="A176" s="142" t="s">
        <v>349</v>
      </c>
      <c r="B176" s="138">
        <v>20.641572952271002</v>
      </c>
      <c r="C176" s="146">
        <f>AVERAGE(B176:B178)</f>
        <v>20.618699391513669</v>
      </c>
      <c r="D176" s="142"/>
      <c r="E176" s="150">
        <f>100*2^(D154-C176)</f>
        <v>2.3965566499364248E-3</v>
      </c>
      <c r="F176" s="146">
        <f>C176-C176</f>
        <v>0</v>
      </c>
      <c r="G176" s="146">
        <f>2^-F176</f>
        <v>1</v>
      </c>
    </row>
    <row r="177" spans="1:7" x14ac:dyDescent="0.35">
      <c r="A177" s="142" t="s">
        <v>350</v>
      </c>
      <c r="B177" s="138">
        <v>20.572952269999998</v>
      </c>
      <c r="C177" s="142"/>
      <c r="D177" s="142"/>
      <c r="E177" s="150"/>
      <c r="F177" s="144"/>
      <c r="G177" s="144"/>
    </row>
    <row r="178" spans="1:7" x14ac:dyDescent="0.35">
      <c r="A178" s="142" t="s">
        <v>351</v>
      </c>
      <c r="B178" s="138">
        <v>20.64157295227</v>
      </c>
      <c r="C178" s="142"/>
      <c r="D178" s="142"/>
      <c r="E178" s="150"/>
      <c r="F178" s="144"/>
      <c r="G178" s="144"/>
    </row>
    <row r="179" spans="1:7" x14ac:dyDescent="0.35">
      <c r="A179" s="133" t="s">
        <v>367</v>
      </c>
      <c r="B179" s="138">
        <v>18.151640472412101</v>
      </c>
      <c r="C179" s="146">
        <f>AVERAGE(B179:B181)</f>
        <v>17.524460144043367</v>
      </c>
      <c r="D179" s="142"/>
      <c r="E179" s="150">
        <f>100*2^(D154-C179)</f>
        <v>2.0466638869438E-2</v>
      </c>
      <c r="F179" s="146">
        <f>C179-C176</f>
        <v>-3.094239247470302</v>
      </c>
      <c r="G179" s="146">
        <f>2^-F179</f>
        <v>8.540018809895825</v>
      </c>
    </row>
    <row r="180" spans="1:7" x14ac:dyDescent="0.35">
      <c r="A180" s="133" t="s">
        <v>367</v>
      </c>
      <c r="B180" s="138">
        <v>17.038339996337999</v>
      </c>
      <c r="C180" s="146"/>
      <c r="D180" s="142"/>
      <c r="E180" s="150"/>
      <c r="F180" s="146"/>
      <c r="G180" s="146"/>
    </row>
    <row r="181" spans="1:7" x14ac:dyDescent="0.35">
      <c r="A181" s="133" t="s">
        <v>368</v>
      </c>
      <c r="B181" s="138">
        <v>17.38339996338</v>
      </c>
      <c r="C181" s="142"/>
      <c r="D181" s="142"/>
      <c r="E181" s="150"/>
      <c r="F181" s="144"/>
      <c r="G181" s="144"/>
    </row>
    <row r="182" spans="1:7" x14ac:dyDescent="0.35">
      <c r="A182" s="142" t="s">
        <v>352</v>
      </c>
      <c r="B182" s="138">
        <v>8.3331079483032227</v>
      </c>
      <c r="C182" s="146">
        <f>AVERAGE(B182:B184)</f>
        <v>8.0162687301635884</v>
      </c>
      <c r="D182" s="146">
        <f>C182-3.32</f>
        <v>4.6962687301635881</v>
      </c>
      <c r="E182" s="142"/>
      <c r="F182" s="144"/>
      <c r="G182" s="147"/>
    </row>
    <row r="183" spans="1:7" x14ac:dyDescent="0.35">
      <c r="A183" s="142" t="s">
        <v>353</v>
      </c>
      <c r="B183" s="138">
        <v>8.344874382019043</v>
      </c>
      <c r="C183" s="142"/>
      <c r="D183" s="142"/>
      <c r="E183" s="142"/>
      <c r="F183" s="142"/>
      <c r="G183" s="142"/>
    </row>
    <row r="184" spans="1:7" x14ac:dyDescent="0.35">
      <c r="A184" s="142" t="s">
        <v>354</v>
      </c>
      <c r="B184" s="138">
        <v>7.3708238601684997</v>
      </c>
      <c r="C184" s="142"/>
      <c r="D184" s="142"/>
      <c r="E184" s="142"/>
      <c r="F184" s="142"/>
      <c r="G184" s="142"/>
    </row>
    <row r="185" spans="1:7" x14ac:dyDescent="0.35">
      <c r="A185" s="142" t="s">
        <v>355</v>
      </c>
      <c r="B185" s="138">
        <v>21.264157295227101</v>
      </c>
      <c r="C185" s="146">
        <f>AVERAGE(B185:B187)</f>
        <v>21.549101066589035</v>
      </c>
      <c r="D185" s="142"/>
      <c r="E185" s="150">
        <f>100*2^(D164-C185)</f>
        <v>1.2575025867968793E-3</v>
      </c>
      <c r="F185" s="146">
        <f>C185-C185</f>
        <v>0</v>
      </c>
      <c r="G185" s="146">
        <f>2^-F185</f>
        <v>1</v>
      </c>
    </row>
    <row r="186" spans="1:7" x14ac:dyDescent="0.35">
      <c r="A186" s="142" t="s">
        <v>356</v>
      </c>
      <c r="B186" s="138">
        <v>21.64157295227</v>
      </c>
      <c r="C186" s="142"/>
      <c r="D186" s="142"/>
      <c r="E186" s="150"/>
      <c r="F186" s="144"/>
      <c r="G186" s="144"/>
    </row>
    <row r="187" spans="1:7" x14ac:dyDescent="0.35">
      <c r="A187" s="142" t="s">
        <v>357</v>
      </c>
      <c r="B187" s="138">
        <v>21.741572952270001</v>
      </c>
      <c r="C187" s="142"/>
      <c r="D187" s="142"/>
      <c r="E187" s="150"/>
      <c r="F187" s="144"/>
      <c r="G187" s="144"/>
    </row>
    <row r="188" spans="1:7" x14ac:dyDescent="0.35">
      <c r="A188" s="133" t="s">
        <v>373</v>
      </c>
      <c r="B188" s="138">
        <v>18.8516404724121</v>
      </c>
      <c r="C188" s="146">
        <f>AVERAGE(B188:B190)</f>
        <v>19.125972290050033</v>
      </c>
      <c r="D188" s="142"/>
      <c r="E188" s="150">
        <f>100*2^(D164-C188)</f>
        <v>6.7444001939323001E-3</v>
      </c>
      <c r="F188" s="146">
        <f>C188-C185</f>
        <v>-2.4231287765390022</v>
      </c>
      <c r="G188" s="146">
        <f>2^-F188</f>
        <v>5.3633290815820001</v>
      </c>
    </row>
    <row r="189" spans="1:7" x14ac:dyDescent="0.35">
      <c r="A189" s="133" t="s">
        <v>374</v>
      </c>
      <c r="B189" s="138">
        <v>18.938339996338001</v>
      </c>
      <c r="C189" s="142"/>
      <c r="D189" s="142"/>
      <c r="E189" s="150"/>
      <c r="F189" s="144"/>
      <c r="G189" s="144"/>
    </row>
    <row r="190" spans="1:7" x14ac:dyDescent="0.35">
      <c r="A190" s="133" t="s">
        <v>375</v>
      </c>
      <c r="B190" s="149">
        <v>19.5879364014</v>
      </c>
      <c r="C190" s="142"/>
      <c r="D190" s="142"/>
      <c r="E190" s="148"/>
      <c r="F190" s="144"/>
      <c r="G190" s="145"/>
    </row>
    <row r="191" spans="1:7" x14ac:dyDescent="0.35">
      <c r="A191" s="142" t="s">
        <v>358</v>
      </c>
      <c r="B191" s="138">
        <v>8.3331079483032227</v>
      </c>
      <c r="C191" s="146">
        <f>AVERAGE(B191:B193)</f>
        <v>8.0162687301635884</v>
      </c>
      <c r="D191" s="146">
        <f>C191-3.32</f>
        <v>4.6962687301635881</v>
      </c>
      <c r="E191" s="142"/>
      <c r="F191" s="144"/>
      <c r="G191" s="147"/>
    </row>
    <row r="192" spans="1:7" x14ac:dyDescent="0.35">
      <c r="A192" s="142" t="s">
        <v>359</v>
      </c>
      <c r="B192" s="138">
        <v>8.344874382019043</v>
      </c>
      <c r="C192" s="142"/>
      <c r="D192" s="142"/>
      <c r="E192" s="142"/>
      <c r="F192" s="142"/>
      <c r="G192" s="142"/>
    </row>
    <row r="193" spans="1:7" x14ac:dyDescent="0.35">
      <c r="A193" s="142" t="s">
        <v>360</v>
      </c>
      <c r="B193" s="138">
        <v>7.3708238601684997</v>
      </c>
      <c r="C193" s="142"/>
      <c r="D193" s="142"/>
      <c r="E193" s="142"/>
      <c r="F193" s="142"/>
      <c r="G193" s="142"/>
    </row>
    <row r="194" spans="1:7" x14ac:dyDescent="0.35">
      <c r="A194" s="142" t="s">
        <v>361</v>
      </c>
      <c r="B194" s="138">
        <v>20.264157295227101</v>
      </c>
      <c r="C194" s="146">
        <f>AVERAGE(B194:B196)</f>
        <v>20.5157677332557</v>
      </c>
      <c r="D194" s="142"/>
      <c r="E194" s="150">
        <f>100*2^(D182-C194)</f>
        <v>1.7292440247728572E-3</v>
      </c>
      <c r="F194" s="146">
        <f>C194-C194</f>
        <v>0</v>
      </c>
      <c r="G194" s="146">
        <f>2^-F194</f>
        <v>1</v>
      </c>
    </row>
    <row r="195" spans="1:7" x14ac:dyDescent="0.35">
      <c r="A195" s="142" t="s">
        <v>362</v>
      </c>
      <c r="B195" s="138">
        <v>20.64157295227</v>
      </c>
      <c r="C195" s="142"/>
      <c r="D195" s="142"/>
      <c r="E195" s="150"/>
      <c r="F195" s="144"/>
      <c r="G195" s="144"/>
    </row>
    <row r="196" spans="1:7" x14ac:dyDescent="0.35">
      <c r="A196" s="142" t="s">
        <v>363</v>
      </c>
      <c r="B196" s="138">
        <v>20.64157295227</v>
      </c>
      <c r="C196" s="142"/>
      <c r="D196" s="142"/>
      <c r="E196" s="150"/>
      <c r="F196" s="144"/>
      <c r="G196" s="144"/>
    </row>
    <row r="197" spans="1:7" x14ac:dyDescent="0.35">
      <c r="A197" s="133" t="s">
        <v>376</v>
      </c>
      <c r="B197" s="138">
        <v>19.516404724120999</v>
      </c>
      <c r="C197" s="146">
        <f>AVERAGE(B197:B199)</f>
        <v>19.154512786866334</v>
      </c>
      <c r="D197" s="142"/>
      <c r="E197" s="150">
        <f>100*2^(D182-C197)</f>
        <v>4.4425758793141925E-3</v>
      </c>
      <c r="F197" s="146">
        <f>C197-C194</f>
        <v>-1.3612549463893657</v>
      </c>
      <c r="G197" s="146">
        <f>2^-F197</f>
        <v>2.5690855747775312</v>
      </c>
    </row>
    <row r="198" spans="1:7" x14ac:dyDescent="0.35">
      <c r="A198" s="133" t="s">
        <v>377</v>
      </c>
      <c r="B198" s="138">
        <v>18.738339996337999</v>
      </c>
      <c r="C198" s="142"/>
      <c r="D198" s="142"/>
      <c r="E198" s="150"/>
      <c r="F198" s="144"/>
      <c r="G198" s="144"/>
    </row>
    <row r="199" spans="1:7" x14ac:dyDescent="0.35">
      <c r="A199" s="133" t="s">
        <v>378</v>
      </c>
      <c r="B199" s="149">
        <v>19.208793640140001</v>
      </c>
      <c r="C199" s="142"/>
      <c r="D199" s="142"/>
      <c r="E199" s="148"/>
      <c r="F199" s="144"/>
      <c r="G199" s="145"/>
    </row>
    <row r="201" spans="1:7" x14ac:dyDescent="0.35">
      <c r="A201" s="188" t="s">
        <v>78</v>
      </c>
      <c r="B201" s="188"/>
      <c r="C201" s="188"/>
      <c r="D201" s="188"/>
      <c r="E201" s="188"/>
      <c r="F201" s="188"/>
      <c r="G201" s="188"/>
    </row>
    <row r="202" spans="1:7" ht="91.5" x14ac:dyDescent="0.35">
      <c r="A202" s="142"/>
      <c r="B202" s="145" t="s">
        <v>321</v>
      </c>
      <c r="C202" s="145" t="s">
        <v>322</v>
      </c>
      <c r="D202" s="143" t="s">
        <v>323</v>
      </c>
      <c r="E202" s="145" t="s">
        <v>324</v>
      </c>
      <c r="F202" s="145" t="s">
        <v>325</v>
      </c>
      <c r="G202" s="145" t="s">
        <v>326</v>
      </c>
    </row>
    <row r="203" spans="1:7" x14ac:dyDescent="0.35">
      <c r="A203" s="142" t="s">
        <v>327</v>
      </c>
      <c r="B203" s="138">
        <v>8.2841815948490005</v>
      </c>
      <c r="C203" s="146">
        <f>AVERAGE(B203:B205)</f>
        <v>8.5668862660730003</v>
      </c>
      <c r="D203" s="146">
        <f>C203-3.32</f>
        <v>5.246886266073</v>
      </c>
      <c r="E203" s="142"/>
      <c r="F203" s="144"/>
      <c r="G203" s="147"/>
    </row>
    <row r="204" spans="1:7" x14ac:dyDescent="0.35">
      <c r="A204" s="142" t="s">
        <v>328</v>
      </c>
      <c r="B204" s="138">
        <v>8.7082386016850002</v>
      </c>
      <c r="C204" s="142"/>
      <c r="D204" s="142"/>
      <c r="E204" s="142"/>
      <c r="F204" s="142"/>
      <c r="G204" s="142"/>
    </row>
    <row r="205" spans="1:7" x14ac:dyDescent="0.35">
      <c r="A205" s="142" t="s">
        <v>329</v>
      </c>
      <c r="B205" s="138">
        <v>8.7082386016850002</v>
      </c>
      <c r="C205" s="142"/>
      <c r="D205" s="142"/>
      <c r="E205" s="142"/>
      <c r="F205" s="142"/>
      <c r="G205" s="142"/>
    </row>
    <row r="206" spans="1:7" x14ac:dyDescent="0.35">
      <c r="A206" s="142" t="s">
        <v>330</v>
      </c>
      <c r="B206" s="138">
        <v>20.516404724120999</v>
      </c>
      <c r="C206" s="146">
        <f>AVERAGE(B206:B208)</f>
        <v>20.168881149291934</v>
      </c>
      <c r="D206" s="142"/>
      <c r="E206" s="150">
        <f>100*2^(D203-C206)</f>
        <v>3.2213057292430633E-3</v>
      </c>
      <c r="F206" s="146">
        <f>C206-C206</f>
        <v>0</v>
      </c>
      <c r="G206" s="146">
        <f>2^-F206</f>
        <v>1</v>
      </c>
    </row>
    <row r="207" spans="1:7" x14ac:dyDescent="0.35">
      <c r="A207" s="142" t="s">
        <v>331</v>
      </c>
      <c r="B207" s="138">
        <v>20.473833999633801</v>
      </c>
      <c r="C207" s="142"/>
      <c r="D207" s="142"/>
      <c r="E207" s="150"/>
      <c r="F207" s="144"/>
      <c r="G207" s="144"/>
    </row>
    <row r="208" spans="1:7" x14ac:dyDescent="0.35">
      <c r="A208" s="142" t="s">
        <v>332</v>
      </c>
      <c r="B208" s="138">
        <v>19.516404724120999</v>
      </c>
      <c r="C208" s="142"/>
      <c r="D208" s="142"/>
      <c r="E208" s="150"/>
      <c r="F208" s="144"/>
      <c r="G208" s="144"/>
    </row>
    <row r="209" spans="1:7" x14ac:dyDescent="0.35">
      <c r="A209" s="133" t="s">
        <v>364</v>
      </c>
      <c r="B209" s="138">
        <v>18.516404724120999</v>
      </c>
      <c r="C209" s="146">
        <f>AVERAGE(B209:B211)</f>
        <v>18.142214482625267</v>
      </c>
      <c r="D209" s="142"/>
      <c r="E209" s="150">
        <f>100*2^(D203-C209)</f>
        <v>1.3125607186968639E-2</v>
      </c>
      <c r="F209" s="146">
        <f>C209-C206</f>
        <v>-2.0266666666666673</v>
      </c>
      <c r="G209" s="146">
        <f>2^-F209</f>
        <v>4.0746232398291706</v>
      </c>
    </row>
    <row r="210" spans="1:7" x14ac:dyDescent="0.35">
      <c r="A210" s="133" t="s">
        <v>365</v>
      </c>
      <c r="B210" s="138">
        <v>18.393833999633799</v>
      </c>
      <c r="C210" s="142"/>
      <c r="D210" s="142"/>
      <c r="E210" s="150"/>
      <c r="F210" s="144"/>
      <c r="G210" s="144"/>
    </row>
    <row r="211" spans="1:7" x14ac:dyDescent="0.35">
      <c r="A211" s="133" t="s">
        <v>366</v>
      </c>
      <c r="B211" s="138">
        <v>17.516404724120999</v>
      </c>
      <c r="C211" s="142"/>
      <c r="D211" s="142"/>
      <c r="E211" s="150"/>
      <c r="F211" s="144"/>
      <c r="G211" s="144"/>
    </row>
    <row r="212" spans="1:7" x14ac:dyDescent="0.35">
      <c r="A212" s="133" t="s">
        <v>369</v>
      </c>
      <c r="B212" s="149">
        <v>19.920879364013999</v>
      </c>
      <c r="C212" s="142"/>
      <c r="D212" s="142"/>
      <c r="E212" s="148"/>
      <c r="F212" s="144"/>
      <c r="G212" s="145"/>
    </row>
    <row r="213" spans="1:7" x14ac:dyDescent="0.35">
      <c r="A213" s="142" t="s">
        <v>340</v>
      </c>
      <c r="B213" s="138">
        <v>8.9284181594849006</v>
      </c>
      <c r="C213" s="146">
        <f>AVERAGE(B213:B215)</f>
        <v>8.5900219599406338</v>
      </c>
      <c r="D213" s="146">
        <f>C213-3.32</f>
        <v>5.2700219599406335</v>
      </c>
      <c r="E213" s="142"/>
      <c r="F213" s="144"/>
      <c r="G213" s="147"/>
    </row>
    <row r="214" spans="1:7" x14ac:dyDescent="0.35">
      <c r="A214" s="142" t="s">
        <v>341</v>
      </c>
      <c r="B214" s="138">
        <v>8.1708238601685004</v>
      </c>
      <c r="C214" s="142"/>
      <c r="D214" s="142"/>
      <c r="E214" s="142"/>
      <c r="F214" s="142"/>
      <c r="G214" s="142"/>
    </row>
    <row r="215" spans="1:7" x14ac:dyDescent="0.35">
      <c r="A215" s="142" t="s">
        <v>342</v>
      </c>
      <c r="B215" s="138">
        <v>8.6708238601685004</v>
      </c>
      <c r="C215" s="142"/>
      <c r="D215" s="142"/>
      <c r="E215" s="142"/>
      <c r="F215" s="142"/>
      <c r="G215" s="142"/>
    </row>
    <row r="216" spans="1:7" x14ac:dyDescent="0.35">
      <c r="A216" s="142" t="s">
        <v>343</v>
      </c>
      <c r="B216" s="138">
        <v>20.516404724120999</v>
      </c>
      <c r="C216" s="146">
        <f>AVERAGE(B216:B218)</f>
        <v>20.1806263987223</v>
      </c>
      <c r="D216" s="142"/>
      <c r="E216" s="150">
        <f>100*2^(D213-C216)</f>
        <v>3.2468394224928051E-3</v>
      </c>
      <c r="F216" s="146">
        <f>C216-C216</f>
        <v>0</v>
      </c>
      <c r="G216" s="146">
        <f>2^-F216</f>
        <v>1</v>
      </c>
    </row>
    <row r="217" spans="1:7" x14ac:dyDescent="0.35">
      <c r="A217" s="142" t="s">
        <v>344</v>
      </c>
      <c r="B217" s="138">
        <v>20.373833999633799</v>
      </c>
      <c r="C217" s="142"/>
      <c r="D217" s="142"/>
      <c r="E217" s="150"/>
      <c r="F217" s="144"/>
      <c r="G217" s="144"/>
    </row>
    <row r="218" spans="1:7" x14ac:dyDescent="0.35">
      <c r="A218" s="142" t="s">
        <v>345</v>
      </c>
      <c r="B218" s="138">
        <v>19.651640472412101</v>
      </c>
      <c r="C218" s="142"/>
      <c r="D218" s="142"/>
      <c r="E218" s="150"/>
      <c r="F218" s="144"/>
      <c r="G218" s="144"/>
    </row>
    <row r="219" spans="1:7" x14ac:dyDescent="0.35">
      <c r="A219" s="133" t="s">
        <v>370</v>
      </c>
      <c r="B219" s="138">
        <v>19.640472412099999</v>
      </c>
      <c r="C219" s="146">
        <f>AVERAGE(B219:B221)</f>
        <v>19.144036407504036</v>
      </c>
      <c r="D219" s="142"/>
      <c r="E219" s="150">
        <f>100*2^(D213-C219)</f>
        <v>6.6604794243108039E-3</v>
      </c>
      <c r="F219" s="146">
        <f>C219-C216</f>
        <v>-1.0365899912182641</v>
      </c>
      <c r="G219" s="146">
        <f>2^-F219</f>
        <v>2.0513732148777244</v>
      </c>
    </row>
    <row r="220" spans="1:7" x14ac:dyDescent="0.35">
      <c r="A220" s="133" t="s">
        <v>371</v>
      </c>
      <c r="B220" s="138">
        <v>19.339996337999999</v>
      </c>
      <c r="C220" s="142"/>
      <c r="D220" s="142"/>
      <c r="E220" s="150"/>
      <c r="F220" s="144"/>
      <c r="G220" s="144"/>
    </row>
    <row r="221" spans="1:7" x14ac:dyDescent="0.35">
      <c r="A221" s="133" t="s">
        <v>372</v>
      </c>
      <c r="B221" s="138">
        <v>18.451640472412102</v>
      </c>
      <c r="C221" s="142"/>
      <c r="D221" s="142"/>
      <c r="E221" s="150"/>
      <c r="F221" s="144"/>
      <c r="G221" s="144"/>
    </row>
    <row r="222" spans="1:7" x14ac:dyDescent="0.35">
      <c r="A222" s="142" t="s">
        <v>346</v>
      </c>
      <c r="B222" s="138">
        <v>8.3331079483032227</v>
      </c>
      <c r="C222" s="146">
        <f>AVERAGE(B222:B224)</f>
        <v>8.0162687301635884</v>
      </c>
      <c r="D222" s="146">
        <f>C222-3.32</f>
        <v>4.6962687301635881</v>
      </c>
      <c r="E222" s="142"/>
      <c r="F222" s="144"/>
      <c r="G222" s="147"/>
    </row>
    <row r="223" spans="1:7" x14ac:dyDescent="0.35">
      <c r="A223" s="142" t="s">
        <v>347</v>
      </c>
      <c r="B223" s="138">
        <v>8.344874382019043</v>
      </c>
      <c r="C223" s="142"/>
      <c r="D223" s="142"/>
      <c r="E223" s="142"/>
      <c r="F223" s="142"/>
      <c r="G223" s="142"/>
    </row>
    <row r="224" spans="1:7" x14ac:dyDescent="0.35">
      <c r="A224" s="142" t="s">
        <v>348</v>
      </c>
      <c r="B224" s="138">
        <v>7.3708238601684997</v>
      </c>
      <c r="C224" s="142"/>
      <c r="D224" s="142"/>
      <c r="E224" s="142"/>
      <c r="F224" s="142"/>
      <c r="G224" s="142"/>
    </row>
    <row r="225" spans="1:7" x14ac:dyDescent="0.35">
      <c r="A225" s="142" t="s">
        <v>349</v>
      </c>
      <c r="B225" s="138">
        <v>20.641572952271002</v>
      </c>
      <c r="C225" s="146">
        <f>AVERAGE(B225:B227)</f>
        <v>20.952032724847001</v>
      </c>
      <c r="D225" s="142"/>
      <c r="E225" s="150">
        <f>100*2^(D203-C225)</f>
        <v>1.8718878681896604E-3</v>
      </c>
      <c r="F225" s="146">
        <f>C225-C225</f>
        <v>0</v>
      </c>
      <c r="G225" s="146">
        <f>2^-F225</f>
        <v>1</v>
      </c>
    </row>
    <row r="226" spans="1:7" x14ac:dyDescent="0.35">
      <c r="A226" s="142" t="s">
        <v>350</v>
      </c>
      <c r="B226" s="138">
        <v>21.572952269999998</v>
      </c>
      <c r="C226" s="142"/>
      <c r="D226" s="142"/>
      <c r="E226" s="150"/>
      <c r="F226" s="144"/>
      <c r="G226" s="144"/>
    </row>
    <row r="227" spans="1:7" x14ac:dyDescent="0.35">
      <c r="A227" s="142" t="s">
        <v>351</v>
      </c>
      <c r="B227" s="138">
        <v>20.64157295227</v>
      </c>
      <c r="C227" s="142"/>
      <c r="D227" s="142"/>
      <c r="E227" s="150"/>
      <c r="F227" s="144"/>
      <c r="G227" s="144"/>
    </row>
    <row r="228" spans="1:7" x14ac:dyDescent="0.35">
      <c r="A228" s="133" t="s">
        <v>367</v>
      </c>
      <c r="B228" s="138">
        <v>18.151640472412101</v>
      </c>
      <c r="C228" s="146">
        <f>AVERAGE(B228:B230)</f>
        <v>18.307993367516701</v>
      </c>
      <c r="D228" s="142"/>
      <c r="E228" s="150">
        <f>100*2^(D203-C228)</f>
        <v>1.1700784637778166E-2</v>
      </c>
      <c r="F228" s="146">
        <f>C228-C225</f>
        <v>-2.6440393573302998</v>
      </c>
      <c r="G228" s="146">
        <f>2^-F228</f>
        <v>6.250793563342139</v>
      </c>
    </row>
    <row r="229" spans="1:7" x14ac:dyDescent="0.35">
      <c r="A229" s="133" t="s">
        <v>367</v>
      </c>
      <c r="B229" s="138">
        <v>19.038339996337999</v>
      </c>
      <c r="C229" s="146"/>
      <c r="D229" s="142"/>
      <c r="E229" s="150"/>
      <c r="F229" s="146"/>
      <c r="G229" s="146"/>
    </row>
    <row r="230" spans="1:7" x14ac:dyDescent="0.35">
      <c r="A230" s="133" t="s">
        <v>368</v>
      </c>
      <c r="B230" s="138">
        <v>17.7339996338</v>
      </c>
      <c r="C230" s="142"/>
      <c r="D230" s="142"/>
      <c r="E230" s="150"/>
      <c r="F230" s="144"/>
      <c r="G230" s="144"/>
    </row>
    <row r="231" spans="1:7" x14ac:dyDescent="0.35">
      <c r="A231" s="142" t="s">
        <v>352</v>
      </c>
      <c r="B231" s="138">
        <v>8.3331079483032227</v>
      </c>
      <c r="C231" s="146">
        <f>AVERAGE(B231:B233)</f>
        <v>8.0162687301635884</v>
      </c>
      <c r="D231" s="146">
        <f>C231-3.32</f>
        <v>4.6962687301635881</v>
      </c>
      <c r="E231" s="142"/>
      <c r="F231" s="144"/>
      <c r="G231" s="147"/>
    </row>
    <row r="232" spans="1:7" x14ac:dyDescent="0.35">
      <c r="A232" s="142" t="s">
        <v>353</v>
      </c>
      <c r="B232" s="138">
        <v>8.344874382019043</v>
      </c>
      <c r="C232" s="142"/>
      <c r="D232" s="142"/>
      <c r="E232" s="142"/>
      <c r="F232" s="142"/>
      <c r="G232" s="142"/>
    </row>
    <row r="233" spans="1:7" x14ac:dyDescent="0.35">
      <c r="A233" s="142" t="s">
        <v>354</v>
      </c>
      <c r="B233" s="138">
        <v>7.3708238601684997</v>
      </c>
      <c r="C233" s="142"/>
      <c r="D233" s="142"/>
      <c r="E233" s="142"/>
      <c r="F233" s="142"/>
      <c r="G233" s="142"/>
    </row>
    <row r="234" spans="1:7" x14ac:dyDescent="0.35">
      <c r="A234" s="142" t="s">
        <v>355</v>
      </c>
      <c r="B234" s="138">
        <v>21.264157295227101</v>
      </c>
      <c r="C234" s="146">
        <f>AVERAGE(B234:B236)</f>
        <v>21.549101066589035</v>
      </c>
      <c r="D234" s="142"/>
      <c r="E234" s="150">
        <f>100*2^(D213-C234)</f>
        <v>1.2575025867968793E-3</v>
      </c>
      <c r="F234" s="146">
        <f>C234-C234</f>
        <v>0</v>
      </c>
      <c r="G234" s="146">
        <f>2^-F234</f>
        <v>1</v>
      </c>
    </row>
    <row r="235" spans="1:7" x14ac:dyDescent="0.35">
      <c r="A235" s="142" t="s">
        <v>356</v>
      </c>
      <c r="B235" s="138">
        <v>21.64157295227</v>
      </c>
      <c r="C235" s="142"/>
      <c r="D235" s="142"/>
      <c r="E235" s="150"/>
      <c r="F235" s="144"/>
      <c r="G235" s="144"/>
    </row>
    <row r="236" spans="1:7" x14ac:dyDescent="0.35">
      <c r="A236" s="142" t="s">
        <v>357</v>
      </c>
      <c r="B236" s="138">
        <v>21.741572952270001</v>
      </c>
      <c r="C236" s="142"/>
      <c r="D236" s="142"/>
      <c r="E236" s="150"/>
      <c r="F236" s="144"/>
      <c r="G236" s="144"/>
    </row>
    <row r="237" spans="1:7" x14ac:dyDescent="0.35">
      <c r="A237" s="133" t="s">
        <v>373</v>
      </c>
      <c r="B237" s="138">
        <v>19.516404724120999</v>
      </c>
      <c r="C237" s="146">
        <f>AVERAGE(B237:B239)</f>
        <v>19.77803624481967</v>
      </c>
      <c r="D237" s="142"/>
      <c r="E237" s="150">
        <f>100*2^(D213-C237)</f>
        <v>4.2919289384355484E-3</v>
      </c>
      <c r="F237" s="146">
        <f>C237-C234</f>
        <v>-1.7710648217693645</v>
      </c>
      <c r="G237" s="146">
        <f>2^-F237</f>
        <v>3.4130577411915941</v>
      </c>
    </row>
    <row r="238" spans="1:7" x14ac:dyDescent="0.35">
      <c r="A238" s="133" t="s">
        <v>374</v>
      </c>
      <c r="B238" s="138">
        <v>19.938339996338001</v>
      </c>
      <c r="C238" s="142"/>
      <c r="D238" s="142"/>
      <c r="E238" s="150"/>
      <c r="F238" s="144"/>
      <c r="G238" s="144"/>
    </row>
    <row r="239" spans="1:7" x14ac:dyDescent="0.35">
      <c r="A239" s="133" t="s">
        <v>375</v>
      </c>
      <c r="B239" s="149">
        <v>19.879364014</v>
      </c>
      <c r="C239" s="142"/>
      <c r="D239" s="142"/>
      <c r="E239" s="148"/>
      <c r="F239" s="144"/>
      <c r="G239" s="145"/>
    </row>
    <row r="240" spans="1:7" x14ac:dyDescent="0.35">
      <c r="A240" s="142" t="s">
        <v>358</v>
      </c>
      <c r="B240" s="138">
        <v>8.3331079483032227</v>
      </c>
      <c r="C240" s="146">
        <f>AVERAGE(B240:B242)</f>
        <v>8.0162687301635884</v>
      </c>
      <c r="D240" s="146">
        <f>C240-3.32</f>
        <v>4.6962687301635881</v>
      </c>
      <c r="E240" s="142"/>
      <c r="F240" s="144"/>
      <c r="G240" s="147"/>
    </row>
    <row r="241" spans="1:7" x14ac:dyDescent="0.35">
      <c r="A241" s="142" t="s">
        <v>359</v>
      </c>
      <c r="B241" s="138">
        <v>8.344874382019043</v>
      </c>
      <c r="C241" s="142"/>
      <c r="D241" s="142"/>
      <c r="E241" s="142"/>
      <c r="F241" s="142"/>
      <c r="G241" s="142"/>
    </row>
    <row r="242" spans="1:7" x14ac:dyDescent="0.35">
      <c r="A242" s="142" t="s">
        <v>360</v>
      </c>
      <c r="B242" s="138">
        <v>7.3708238601684997</v>
      </c>
      <c r="C242" s="142"/>
      <c r="D242" s="142"/>
      <c r="E242" s="142"/>
      <c r="F242" s="142"/>
      <c r="G242" s="142"/>
    </row>
    <row r="243" spans="1:7" x14ac:dyDescent="0.35">
      <c r="A243" s="142" t="s">
        <v>361</v>
      </c>
      <c r="B243" s="138">
        <v>20.264157295227101</v>
      </c>
      <c r="C243" s="146">
        <f>AVERAGE(B243:B245)</f>
        <v>20.440486590065699</v>
      </c>
      <c r="D243" s="142"/>
      <c r="E243" s="150">
        <f>100*2^(D231-C243)</f>
        <v>1.8218732777838791E-3</v>
      </c>
      <c r="F243" s="146">
        <f>C243-C243</f>
        <v>0</v>
      </c>
      <c r="G243" s="146">
        <f>2^-F243</f>
        <v>1</v>
      </c>
    </row>
    <row r="244" spans="1:7" x14ac:dyDescent="0.35">
      <c r="A244" s="142" t="s">
        <v>362</v>
      </c>
      <c r="B244" s="138">
        <v>20.415729522700001</v>
      </c>
      <c r="C244" s="142"/>
      <c r="D244" s="142"/>
      <c r="E244" s="150"/>
      <c r="F244" s="144"/>
      <c r="G244" s="144"/>
    </row>
    <row r="245" spans="1:7" x14ac:dyDescent="0.35">
      <c r="A245" s="142" t="s">
        <v>363</v>
      </c>
      <c r="B245" s="138">
        <v>20.64157295227</v>
      </c>
      <c r="C245" s="142"/>
      <c r="D245" s="142"/>
      <c r="E245" s="150"/>
      <c r="F245" s="144"/>
      <c r="G245" s="144"/>
    </row>
    <row r="246" spans="1:7" x14ac:dyDescent="0.35">
      <c r="A246" s="133" t="s">
        <v>376</v>
      </c>
      <c r="B246" s="138">
        <v>19.716404724120999</v>
      </c>
      <c r="C246" s="146">
        <f>AVERAGE(B246:B248)</f>
        <v>19.296344121298265</v>
      </c>
      <c r="D246" s="142"/>
      <c r="E246" s="150">
        <f>100*2^(D231-C246)</f>
        <v>4.0266081507827371E-3</v>
      </c>
      <c r="F246" s="146">
        <f>C246-C243</f>
        <v>-1.1441424687674342</v>
      </c>
      <c r="G246" s="146">
        <f>2^-F246</f>
        <v>2.2101472148933921</v>
      </c>
    </row>
    <row r="247" spans="1:7" x14ac:dyDescent="0.35">
      <c r="A247" s="133" t="s">
        <v>377</v>
      </c>
      <c r="B247" s="138">
        <v>18.963833999633799</v>
      </c>
      <c r="C247" s="142"/>
      <c r="D247" s="142"/>
      <c r="E247" s="150"/>
      <c r="F247" s="144"/>
      <c r="G247" s="144"/>
    </row>
    <row r="248" spans="1:7" x14ac:dyDescent="0.35">
      <c r="A248" s="133" t="s">
        <v>378</v>
      </c>
      <c r="B248" s="149">
        <v>19.208793640140001</v>
      </c>
      <c r="C248" s="142"/>
      <c r="D248" s="142"/>
      <c r="E248" s="148"/>
      <c r="F248" s="144"/>
      <c r="G248" s="145"/>
    </row>
    <row r="251" spans="1:7" x14ac:dyDescent="0.35">
      <c r="A251" s="188" t="s">
        <v>83</v>
      </c>
      <c r="B251" s="188"/>
      <c r="C251" s="188"/>
      <c r="D251" s="188"/>
      <c r="E251" s="188"/>
      <c r="F251" s="188"/>
      <c r="G251" s="188"/>
    </row>
    <row r="252" spans="1:7" ht="91.5" x14ac:dyDescent="0.35">
      <c r="A252" s="142"/>
      <c r="B252" s="145" t="s">
        <v>321</v>
      </c>
      <c r="C252" s="145" t="s">
        <v>322</v>
      </c>
      <c r="D252" s="143" t="s">
        <v>323</v>
      </c>
      <c r="E252" s="145" t="s">
        <v>324</v>
      </c>
      <c r="F252" s="145" t="s">
        <v>325</v>
      </c>
      <c r="G252" s="145" t="s">
        <v>326</v>
      </c>
    </row>
    <row r="253" spans="1:7" x14ac:dyDescent="0.35">
      <c r="A253" s="142" t="s">
        <v>327</v>
      </c>
      <c r="B253" s="138">
        <v>7.8928418159484863</v>
      </c>
      <c r="C253" s="146">
        <f>AVERAGE(B253:B255)</f>
        <v>7.4669160207112784</v>
      </c>
      <c r="D253" s="146">
        <f>C253-3.32</f>
        <v>4.146916020711279</v>
      </c>
      <c r="E253" s="142"/>
      <c r="F253" s="144"/>
      <c r="G253" s="147"/>
    </row>
    <row r="254" spans="1:7" x14ac:dyDescent="0.35">
      <c r="A254" s="142" t="s">
        <v>328</v>
      </c>
      <c r="B254" s="138">
        <v>7.13708238601685</v>
      </c>
      <c r="C254" s="142"/>
      <c r="D254" s="142"/>
      <c r="E254" s="142"/>
      <c r="F254" s="142"/>
      <c r="G254" s="142"/>
    </row>
    <row r="255" spans="1:7" x14ac:dyDescent="0.35">
      <c r="A255" s="142" t="s">
        <v>329</v>
      </c>
      <c r="B255" s="138">
        <v>7.3708238601684997</v>
      </c>
      <c r="C255" s="142"/>
      <c r="D255" s="142"/>
      <c r="E255" s="142"/>
      <c r="F255" s="142"/>
      <c r="G255" s="142"/>
    </row>
    <row r="256" spans="1:7" x14ac:dyDescent="0.35">
      <c r="A256" s="142" t="s">
        <v>330</v>
      </c>
      <c r="B256" s="138">
        <v>21.451640472412102</v>
      </c>
      <c r="C256" s="146">
        <f>AVERAGE(B256:B258)</f>
        <v>20.759038314819332</v>
      </c>
      <c r="D256" s="142"/>
      <c r="E256" s="150">
        <f>100*2^(D253-C256)</f>
        <v>9.9828121250220068E-4</v>
      </c>
      <c r="F256" s="146">
        <f>C256-C256</f>
        <v>0</v>
      </c>
      <c r="G256" s="146">
        <f>2^-F256</f>
        <v>1</v>
      </c>
    </row>
    <row r="257" spans="1:7" x14ac:dyDescent="0.35">
      <c r="A257" s="142" t="s">
        <v>331</v>
      </c>
      <c r="B257" s="138">
        <v>20.373833999633799</v>
      </c>
      <c r="C257" s="142"/>
      <c r="D257" s="142"/>
      <c r="E257" s="150"/>
      <c r="F257" s="144"/>
      <c r="G257" s="144"/>
    </row>
    <row r="258" spans="1:7" x14ac:dyDescent="0.35">
      <c r="A258" s="142" t="s">
        <v>332</v>
      </c>
      <c r="B258" s="138">
        <v>20.451640472412102</v>
      </c>
      <c r="C258" s="142"/>
      <c r="D258" s="142"/>
      <c r="E258" s="150"/>
      <c r="F258" s="144"/>
      <c r="G258" s="144"/>
    </row>
    <row r="259" spans="1:7" x14ac:dyDescent="0.35">
      <c r="A259" s="133" t="s">
        <v>364</v>
      </c>
      <c r="B259" s="138">
        <v>18.516404724120999</v>
      </c>
      <c r="C259" s="146">
        <f>AVERAGE(B259:B261)</f>
        <v>18.142214482625267</v>
      </c>
      <c r="D259" s="142"/>
      <c r="E259" s="150">
        <f>100*2^(D253-C259)</f>
        <v>6.1234385602959209E-3</v>
      </c>
      <c r="F259" s="146">
        <f>C259-C256</f>
        <v>-2.6168238321940649</v>
      </c>
      <c r="G259" s="146">
        <f>2^-F259</f>
        <v>6.1339815711321029</v>
      </c>
    </row>
    <row r="260" spans="1:7" x14ac:dyDescent="0.35">
      <c r="A260" s="133" t="s">
        <v>365</v>
      </c>
      <c r="B260" s="138">
        <v>18.393833999633799</v>
      </c>
      <c r="C260" s="142"/>
      <c r="D260" s="142"/>
      <c r="E260" s="150"/>
      <c r="F260" s="144"/>
      <c r="G260" s="144"/>
    </row>
    <row r="261" spans="1:7" x14ac:dyDescent="0.35">
      <c r="A261" s="133" t="s">
        <v>366</v>
      </c>
      <c r="B261" s="138">
        <v>17.516404724120999</v>
      </c>
      <c r="C261" s="142"/>
      <c r="D261" s="142"/>
      <c r="E261" s="150"/>
      <c r="F261" s="144"/>
      <c r="G261" s="144"/>
    </row>
    <row r="262" spans="1:7" x14ac:dyDescent="0.35">
      <c r="A262" s="133" t="s">
        <v>369</v>
      </c>
      <c r="B262" s="149">
        <v>19.920879364013999</v>
      </c>
      <c r="C262" s="142"/>
      <c r="D262" s="142"/>
      <c r="E262" s="148"/>
      <c r="F262" s="144"/>
      <c r="G262" s="145"/>
    </row>
    <row r="263" spans="1:7" x14ac:dyDescent="0.35">
      <c r="A263" s="142" t="s">
        <v>340</v>
      </c>
      <c r="B263" s="138">
        <v>8.9284181594849006</v>
      </c>
      <c r="C263" s="146">
        <f>AVERAGE(B263:B265)</f>
        <v>8.5900219599406338</v>
      </c>
      <c r="D263" s="146">
        <f>C263-3.32</f>
        <v>5.2700219599406335</v>
      </c>
      <c r="E263" s="142"/>
      <c r="F263" s="144"/>
      <c r="G263" s="147"/>
    </row>
    <row r="264" spans="1:7" x14ac:dyDescent="0.35">
      <c r="A264" s="142" t="s">
        <v>341</v>
      </c>
      <c r="B264" s="138">
        <v>8.1708238601685004</v>
      </c>
      <c r="C264" s="142"/>
      <c r="D264" s="142"/>
      <c r="E264" s="142"/>
      <c r="F264" s="142"/>
      <c r="G264" s="142"/>
    </row>
    <row r="265" spans="1:7" x14ac:dyDescent="0.35">
      <c r="A265" s="142" t="s">
        <v>342</v>
      </c>
      <c r="B265" s="138">
        <v>8.6708238601685004</v>
      </c>
      <c r="C265" s="142"/>
      <c r="D265" s="142"/>
      <c r="E265" s="142"/>
      <c r="F265" s="142"/>
      <c r="G265" s="142"/>
    </row>
    <row r="266" spans="1:7" x14ac:dyDescent="0.35">
      <c r="A266" s="142" t="s">
        <v>343</v>
      </c>
      <c r="B266" s="138">
        <v>20.516404724120999</v>
      </c>
      <c r="C266" s="146">
        <f>AVERAGE(B266:B268)</f>
        <v>20.280626398722301</v>
      </c>
      <c r="D266" s="142"/>
      <c r="E266" s="150">
        <f>100*2^(D263-C266)</f>
        <v>3.0294082994080998E-3</v>
      </c>
      <c r="F266" s="146">
        <f>C266-C266</f>
        <v>0</v>
      </c>
      <c r="G266" s="146">
        <f>2^-F266</f>
        <v>1</v>
      </c>
    </row>
    <row r="267" spans="1:7" x14ac:dyDescent="0.35">
      <c r="A267" s="142" t="s">
        <v>344</v>
      </c>
      <c r="B267" s="138">
        <v>20.373833999633799</v>
      </c>
      <c r="C267" s="142"/>
      <c r="D267" s="142"/>
      <c r="E267" s="150"/>
      <c r="F267" s="144"/>
      <c r="G267" s="144"/>
    </row>
    <row r="268" spans="1:7" x14ac:dyDescent="0.35">
      <c r="A268" s="142" t="s">
        <v>345</v>
      </c>
      <c r="B268" s="138">
        <v>19.951640472412102</v>
      </c>
      <c r="C268" s="142"/>
      <c r="D268" s="142"/>
      <c r="E268" s="150"/>
      <c r="F268" s="144"/>
      <c r="G268" s="144"/>
    </row>
    <row r="269" spans="1:7" x14ac:dyDescent="0.35">
      <c r="A269" s="133" t="s">
        <v>370</v>
      </c>
      <c r="B269" s="138">
        <v>19.040472412100002</v>
      </c>
      <c r="C269" s="146">
        <f>AVERAGE(B269:B271)</f>
        <v>18.530692088170699</v>
      </c>
      <c r="D269" s="142"/>
      <c r="E269" s="150">
        <f>100*2^(D263-C269)</f>
        <v>1.0189210366913976E-2</v>
      </c>
      <c r="F269" s="146">
        <f>C269-C266</f>
        <v>-1.7499343105516019</v>
      </c>
      <c r="G269" s="146">
        <f>2^-F269</f>
        <v>3.3634325121855628</v>
      </c>
    </row>
    <row r="270" spans="1:7" x14ac:dyDescent="0.35">
      <c r="A270" s="133" t="s">
        <v>371</v>
      </c>
      <c r="B270" s="138">
        <v>18.099963379999998</v>
      </c>
      <c r="C270" s="142"/>
      <c r="D270" s="142"/>
      <c r="E270" s="150"/>
      <c r="F270" s="144"/>
      <c r="G270" s="144"/>
    </row>
    <row r="271" spans="1:7" x14ac:dyDescent="0.35">
      <c r="A271" s="133" t="s">
        <v>372</v>
      </c>
      <c r="B271" s="138">
        <v>18.451640472412102</v>
      </c>
      <c r="C271" s="142"/>
      <c r="D271" s="142"/>
      <c r="E271" s="150"/>
      <c r="F271" s="144"/>
      <c r="G271" s="144"/>
    </row>
    <row r="272" spans="1:7" x14ac:dyDescent="0.35">
      <c r="A272" s="142" t="s">
        <v>346</v>
      </c>
      <c r="B272" s="138">
        <v>8.3331079483032227</v>
      </c>
      <c r="C272" s="146">
        <f>AVERAGE(B272:B274)</f>
        <v>8.0162687301635884</v>
      </c>
      <c r="D272" s="146">
        <f>C272-3.32</f>
        <v>4.6962687301635881</v>
      </c>
      <c r="E272" s="142"/>
      <c r="F272" s="144"/>
      <c r="G272" s="147"/>
    </row>
    <row r="273" spans="1:7" x14ac:dyDescent="0.35">
      <c r="A273" s="142" t="s">
        <v>347</v>
      </c>
      <c r="B273" s="138">
        <v>8.344874382019043</v>
      </c>
      <c r="C273" s="142"/>
      <c r="D273" s="142"/>
      <c r="E273" s="142"/>
      <c r="F273" s="142"/>
      <c r="G273" s="142"/>
    </row>
    <row r="274" spans="1:7" x14ac:dyDescent="0.35">
      <c r="A274" s="142" t="s">
        <v>348</v>
      </c>
      <c r="B274" s="138">
        <v>7.3708238601684997</v>
      </c>
      <c r="C274" s="142"/>
      <c r="D274" s="142"/>
      <c r="E274" s="142"/>
      <c r="F274" s="142"/>
      <c r="G274" s="142"/>
    </row>
    <row r="275" spans="1:7" x14ac:dyDescent="0.35">
      <c r="A275" s="142" t="s">
        <v>349</v>
      </c>
      <c r="B275" s="138">
        <v>20.641572952271002</v>
      </c>
      <c r="C275" s="146">
        <f>AVERAGE(B275:B277)</f>
        <v>20.952032724847001</v>
      </c>
      <c r="D275" s="142"/>
      <c r="E275" s="150">
        <f>100*2^(D253-C275)</f>
        <v>8.7328457947475388E-4</v>
      </c>
      <c r="F275" s="146">
        <f>C275-C275</f>
        <v>0</v>
      </c>
      <c r="G275" s="146">
        <f>2^-F275</f>
        <v>1</v>
      </c>
    </row>
    <row r="276" spans="1:7" x14ac:dyDescent="0.35">
      <c r="A276" s="142" t="s">
        <v>350</v>
      </c>
      <c r="B276" s="138">
        <v>21.572952269999998</v>
      </c>
      <c r="C276" s="142"/>
      <c r="D276" s="142"/>
      <c r="E276" s="150"/>
      <c r="F276" s="144"/>
      <c r="G276" s="144"/>
    </row>
    <row r="277" spans="1:7" x14ac:dyDescent="0.35">
      <c r="A277" s="142" t="s">
        <v>351</v>
      </c>
      <c r="B277" s="138">
        <v>20.64157295227</v>
      </c>
      <c r="C277" s="142"/>
      <c r="D277" s="142"/>
      <c r="E277" s="150"/>
      <c r="F277" s="144"/>
      <c r="G277" s="144"/>
    </row>
    <row r="278" spans="1:7" x14ac:dyDescent="0.35">
      <c r="A278" s="133" t="s">
        <v>367</v>
      </c>
      <c r="B278" s="138">
        <v>18.151640472412101</v>
      </c>
      <c r="C278" s="146">
        <f>AVERAGE(B278:B280)</f>
        <v>18.089680023197364</v>
      </c>
      <c r="D278" s="142"/>
      <c r="E278" s="150">
        <f>100*2^(D253-C278)</f>
        <v>6.3505276721866266E-3</v>
      </c>
      <c r="F278" s="146">
        <f>C278-C275</f>
        <v>-2.8623527016496375</v>
      </c>
      <c r="G278" s="146">
        <f>2^-F278</f>
        <v>7.2720025309575798</v>
      </c>
    </row>
    <row r="279" spans="1:7" x14ac:dyDescent="0.35">
      <c r="A279" s="133" t="s">
        <v>367</v>
      </c>
      <c r="B279" s="138">
        <v>18.38339996338</v>
      </c>
      <c r="C279" s="146"/>
      <c r="D279" s="142"/>
      <c r="E279" s="150"/>
      <c r="F279" s="146"/>
      <c r="G279" s="146"/>
    </row>
    <row r="280" spans="1:7" x14ac:dyDescent="0.35">
      <c r="A280" s="133" t="s">
        <v>368</v>
      </c>
      <c r="B280" s="138">
        <v>17.7339996338</v>
      </c>
      <c r="C280" s="142"/>
      <c r="D280" s="142"/>
      <c r="E280" s="150"/>
      <c r="F280" s="144"/>
      <c r="G280" s="144"/>
    </row>
    <row r="281" spans="1:7" x14ac:dyDescent="0.35">
      <c r="A281" s="142" t="s">
        <v>352</v>
      </c>
      <c r="B281" s="138">
        <v>8.3331079483032227</v>
      </c>
      <c r="C281" s="146">
        <f>AVERAGE(B281:B283)</f>
        <v>8.0162687301635884</v>
      </c>
      <c r="D281" s="146">
        <f>C281-3.32</f>
        <v>4.6962687301635881</v>
      </c>
      <c r="E281" s="142"/>
      <c r="F281" s="144"/>
      <c r="G281" s="147"/>
    </row>
    <row r="282" spans="1:7" x14ac:dyDescent="0.35">
      <c r="A282" s="142" t="s">
        <v>353</v>
      </c>
      <c r="B282" s="138">
        <v>8.344874382019043</v>
      </c>
      <c r="C282" s="142"/>
      <c r="D282" s="142"/>
      <c r="E282" s="142"/>
      <c r="F282" s="142"/>
      <c r="G282" s="142"/>
    </row>
    <row r="283" spans="1:7" x14ac:dyDescent="0.35">
      <c r="A283" s="142" t="s">
        <v>354</v>
      </c>
      <c r="B283" s="138">
        <v>7.3708238601684997</v>
      </c>
      <c r="C283" s="142"/>
      <c r="D283" s="142"/>
      <c r="E283" s="142"/>
      <c r="F283" s="142"/>
      <c r="G283" s="142"/>
    </row>
    <row r="284" spans="1:7" x14ac:dyDescent="0.35">
      <c r="A284" s="142" t="s">
        <v>355</v>
      </c>
      <c r="B284" s="138">
        <v>21.264157295227101</v>
      </c>
      <c r="C284" s="146">
        <f>AVERAGE(B284:B286)</f>
        <v>21.473819923399034</v>
      </c>
      <c r="D284" s="142"/>
      <c r="E284" s="150">
        <f>100*2^(D263-C284)</f>
        <v>1.3248623831042436E-3</v>
      </c>
      <c r="F284" s="146">
        <f>C284-C284</f>
        <v>0</v>
      </c>
      <c r="G284" s="146">
        <f>2^-F284</f>
        <v>1</v>
      </c>
    </row>
    <row r="285" spans="1:7" x14ac:dyDescent="0.35">
      <c r="A285" s="142" t="s">
        <v>356</v>
      </c>
      <c r="B285" s="138">
        <v>21.64157295227</v>
      </c>
      <c r="C285" s="142"/>
      <c r="D285" s="142"/>
      <c r="E285" s="150"/>
      <c r="F285" s="144"/>
      <c r="G285" s="144"/>
    </row>
    <row r="286" spans="1:7" x14ac:dyDescent="0.35">
      <c r="A286" s="142" t="s">
        <v>357</v>
      </c>
      <c r="B286" s="138">
        <v>21.515729522699999</v>
      </c>
      <c r="C286" s="142"/>
      <c r="D286" s="142"/>
      <c r="E286" s="150"/>
      <c r="F286" s="144"/>
      <c r="G286" s="144"/>
    </row>
    <row r="287" spans="1:7" x14ac:dyDescent="0.35">
      <c r="A287" s="133" t="s">
        <v>373</v>
      </c>
      <c r="B287" s="138">
        <v>19.716404724120999</v>
      </c>
      <c r="C287" s="146">
        <f>AVERAGE(B287:B289)</f>
        <v>19.844702911486333</v>
      </c>
      <c r="D287" s="142"/>
      <c r="E287" s="150">
        <f>100*2^(D263-C287)</f>
        <v>4.0981123114453401E-3</v>
      </c>
      <c r="F287" s="146">
        <f>C287-C284</f>
        <v>-1.629117011912701</v>
      </c>
      <c r="G287" s="146">
        <f>2^-F287</f>
        <v>3.0932362211410891</v>
      </c>
    </row>
    <row r="288" spans="1:7" x14ac:dyDescent="0.35">
      <c r="A288" s="133" t="s">
        <v>374</v>
      </c>
      <c r="B288" s="138">
        <v>19.938339996338001</v>
      </c>
      <c r="C288" s="142"/>
      <c r="D288" s="142"/>
      <c r="E288" s="150"/>
      <c r="F288" s="144"/>
      <c r="G288" s="144"/>
    </row>
    <row r="289" spans="1:7" x14ac:dyDescent="0.35">
      <c r="A289" s="133" t="s">
        <v>375</v>
      </c>
      <c r="B289" s="149">
        <v>19.879364014</v>
      </c>
      <c r="C289" s="142"/>
      <c r="D289" s="142"/>
      <c r="E289" s="148"/>
      <c r="F289" s="144"/>
      <c r="G289" s="145"/>
    </row>
    <row r="290" spans="1:7" x14ac:dyDescent="0.35">
      <c r="A290" s="142" t="s">
        <v>358</v>
      </c>
      <c r="B290" s="138">
        <v>8.3331079483032227</v>
      </c>
      <c r="C290" s="146">
        <f>AVERAGE(B290:B292)</f>
        <v>8.0162687301635884</v>
      </c>
      <c r="D290" s="146">
        <f>C290-3.32</f>
        <v>4.6962687301635881</v>
      </c>
      <c r="E290" s="142"/>
      <c r="F290" s="144"/>
      <c r="G290" s="147"/>
    </row>
    <row r="291" spans="1:7" x14ac:dyDescent="0.35">
      <c r="A291" s="142" t="s">
        <v>359</v>
      </c>
      <c r="B291" s="138">
        <v>8.344874382019043</v>
      </c>
      <c r="C291" s="142"/>
      <c r="D291" s="142"/>
      <c r="E291" s="142"/>
      <c r="F291" s="142"/>
      <c r="G291" s="142"/>
    </row>
    <row r="292" spans="1:7" x14ac:dyDescent="0.35">
      <c r="A292" s="142" t="s">
        <v>360</v>
      </c>
      <c r="B292" s="138">
        <v>7.3708238601684997</v>
      </c>
      <c r="C292" s="142"/>
      <c r="D292" s="142"/>
      <c r="E292" s="142"/>
      <c r="F292" s="142"/>
      <c r="G292" s="142"/>
    </row>
    <row r="293" spans="1:7" x14ac:dyDescent="0.35">
      <c r="A293" s="142" t="s">
        <v>361</v>
      </c>
      <c r="B293" s="138">
        <v>20.264157295227101</v>
      </c>
      <c r="C293" s="146">
        <f>AVERAGE(B293:B295)</f>
        <v>20.440486590065699</v>
      </c>
      <c r="D293" s="142"/>
      <c r="E293" s="150">
        <f>100*2^(D281-C293)</f>
        <v>1.8218732777838791E-3</v>
      </c>
      <c r="F293" s="146">
        <f>C293-C293</f>
        <v>0</v>
      </c>
      <c r="G293" s="146">
        <f>2^-F293</f>
        <v>1</v>
      </c>
    </row>
    <row r="294" spans="1:7" x14ac:dyDescent="0.35">
      <c r="A294" s="142" t="s">
        <v>362</v>
      </c>
      <c r="B294" s="138">
        <v>20.415729522700001</v>
      </c>
      <c r="C294" s="142"/>
      <c r="D294" s="142"/>
      <c r="E294" s="150"/>
      <c r="F294" s="144"/>
      <c r="G294" s="144"/>
    </row>
    <row r="295" spans="1:7" x14ac:dyDescent="0.35">
      <c r="A295" s="142" t="s">
        <v>363</v>
      </c>
      <c r="B295" s="138">
        <v>20.64157295227</v>
      </c>
      <c r="C295" s="142"/>
      <c r="D295" s="142"/>
      <c r="E295" s="150"/>
      <c r="F295" s="144"/>
      <c r="G295" s="144"/>
    </row>
    <row r="296" spans="1:7" x14ac:dyDescent="0.35">
      <c r="A296" s="133" t="s">
        <v>376</v>
      </c>
      <c r="B296" s="138">
        <v>19.716404724120999</v>
      </c>
      <c r="C296" s="146">
        <f>AVERAGE(B296:B298)</f>
        <v>19.296344121298265</v>
      </c>
      <c r="D296" s="142"/>
      <c r="E296" s="150">
        <f>100*2^(D281-C296)</f>
        <v>4.0266081507827371E-3</v>
      </c>
      <c r="F296" s="146">
        <f>C296-C293</f>
        <v>-1.1441424687674342</v>
      </c>
      <c r="G296" s="146">
        <f>2^-F296</f>
        <v>2.2101472148933921</v>
      </c>
    </row>
    <row r="297" spans="1:7" x14ac:dyDescent="0.35">
      <c r="A297" s="133" t="s">
        <v>377</v>
      </c>
      <c r="B297" s="138">
        <v>18.963833999633799</v>
      </c>
      <c r="C297" s="142"/>
      <c r="D297" s="142"/>
      <c r="E297" s="150"/>
      <c r="F297" s="144"/>
      <c r="G297" s="144"/>
    </row>
    <row r="298" spans="1:7" x14ac:dyDescent="0.35">
      <c r="A298" s="133" t="s">
        <v>378</v>
      </c>
      <c r="B298" s="149">
        <v>19.208793640140001</v>
      </c>
      <c r="C298" s="142"/>
      <c r="D298" s="142"/>
      <c r="E298" s="148"/>
      <c r="F298" s="144"/>
      <c r="G298" s="145"/>
    </row>
    <row r="300" spans="1:7" x14ac:dyDescent="0.35">
      <c r="A300" s="188" t="s">
        <v>130</v>
      </c>
      <c r="B300" s="188"/>
      <c r="C300" s="188"/>
      <c r="D300" s="188"/>
      <c r="E300" s="188"/>
      <c r="F300" s="188"/>
      <c r="G300" s="188"/>
    </row>
    <row r="301" spans="1:7" ht="91.5" x14ac:dyDescent="0.35">
      <c r="A301" s="142"/>
      <c r="B301" s="145" t="s">
        <v>321</v>
      </c>
      <c r="C301" s="145" t="s">
        <v>322</v>
      </c>
      <c r="D301" s="143" t="s">
        <v>323</v>
      </c>
      <c r="E301" s="145" t="s">
        <v>324</v>
      </c>
      <c r="F301" s="145" t="s">
        <v>325</v>
      </c>
      <c r="G301" s="145" t="s">
        <v>326</v>
      </c>
    </row>
    <row r="302" spans="1:7" x14ac:dyDescent="0.35">
      <c r="A302" s="142" t="s">
        <v>327</v>
      </c>
      <c r="B302" s="138">
        <v>8.2841815948490005</v>
      </c>
      <c r="C302" s="146">
        <f>AVERAGE(B302:B304)</f>
        <v>8.5668862660730003</v>
      </c>
      <c r="D302" s="146">
        <f>C302-3.32</f>
        <v>5.246886266073</v>
      </c>
      <c r="E302" s="142"/>
      <c r="F302" s="144"/>
      <c r="G302" s="147"/>
    </row>
    <row r="303" spans="1:7" x14ac:dyDescent="0.35">
      <c r="A303" s="142" t="s">
        <v>328</v>
      </c>
      <c r="B303" s="138">
        <v>8.7082386016850002</v>
      </c>
      <c r="C303" s="142"/>
      <c r="D303" s="142"/>
      <c r="E303" s="142"/>
      <c r="F303" s="142"/>
      <c r="G303" s="142"/>
    </row>
    <row r="304" spans="1:7" x14ac:dyDescent="0.35">
      <c r="A304" s="142" t="s">
        <v>329</v>
      </c>
      <c r="B304" s="138">
        <v>8.7082386016850002</v>
      </c>
      <c r="C304" s="142"/>
      <c r="D304" s="142"/>
      <c r="E304" s="142"/>
      <c r="F304" s="142"/>
      <c r="G304" s="142"/>
    </row>
    <row r="305" spans="1:7" x14ac:dyDescent="0.35">
      <c r="A305" s="142" t="s">
        <v>330</v>
      </c>
      <c r="B305" s="138">
        <v>20.516404724120999</v>
      </c>
      <c r="C305" s="146">
        <f>AVERAGE(B305:B307)</f>
        <v>20.25704981486</v>
      </c>
      <c r="D305" s="142"/>
      <c r="E305" s="150">
        <f>100*2^(D302-C305)</f>
        <v>3.0303342330795708E-3</v>
      </c>
      <c r="F305" s="146">
        <f>C305-C305</f>
        <v>0</v>
      </c>
      <c r="G305" s="146">
        <f>2^-F305</f>
        <v>1</v>
      </c>
    </row>
    <row r="306" spans="1:7" x14ac:dyDescent="0.35">
      <c r="A306" s="142" t="s">
        <v>331</v>
      </c>
      <c r="B306" s="138">
        <v>20.738339996337999</v>
      </c>
      <c r="C306" s="142"/>
      <c r="D306" s="142"/>
      <c r="E306" s="150"/>
      <c r="F306" s="144"/>
      <c r="G306" s="144"/>
    </row>
    <row r="307" spans="1:7" x14ac:dyDescent="0.35">
      <c r="A307" s="142" t="s">
        <v>332</v>
      </c>
      <c r="B307" s="138">
        <v>19.516404724120999</v>
      </c>
      <c r="C307" s="142"/>
      <c r="D307" s="142"/>
      <c r="E307" s="150"/>
      <c r="F307" s="144"/>
      <c r="G307" s="144"/>
    </row>
    <row r="308" spans="1:7" x14ac:dyDescent="0.35">
      <c r="A308" s="133" t="s">
        <v>364</v>
      </c>
      <c r="B308" s="138">
        <v>19.116404724121001</v>
      </c>
      <c r="C308" s="146">
        <f>AVERAGE(B308:B310)</f>
        <v>18.342214482625266</v>
      </c>
      <c r="D308" s="142"/>
      <c r="E308" s="150">
        <f>100*2^(D302-C308)</f>
        <v>1.1426504730219202E-2</v>
      </c>
      <c r="F308" s="146">
        <f>C308-C305</f>
        <v>-1.914835332234734</v>
      </c>
      <c r="G308" s="146">
        <f>2^-F308</f>
        <v>3.7707077343105624</v>
      </c>
    </row>
    <row r="309" spans="1:7" x14ac:dyDescent="0.35">
      <c r="A309" s="133" t="s">
        <v>365</v>
      </c>
      <c r="B309" s="138">
        <v>18.393833999633799</v>
      </c>
      <c r="C309" s="142"/>
      <c r="D309" s="142"/>
      <c r="E309" s="150"/>
      <c r="F309" s="144"/>
      <c r="G309" s="144"/>
    </row>
    <row r="310" spans="1:7" x14ac:dyDescent="0.35">
      <c r="A310" s="133" t="s">
        <v>366</v>
      </c>
      <c r="B310" s="138">
        <v>17.516404724120999</v>
      </c>
      <c r="C310" s="142"/>
      <c r="D310" s="142"/>
      <c r="E310" s="150"/>
      <c r="F310" s="144"/>
      <c r="G310" s="144"/>
    </row>
    <row r="311" spans="1:7" x14ac:dyDescent="0.35">
      <c r="A311" s="133" t="s">
        <v>369</v>
      </c>
      <c r="B311" s="149">
        <v>19.920879364013999</v>
      </c>
      <c r="C311" s="142"/>
      <c r="D311" s="142"/>
      <c r="E311" s="148"/>
      <c r="F311" s="144"/>
      <c r="G311" s="145"/>
    </row>
    <row r="312" spans="1:7" x14ac:dyDescent="0.35">
      <c r="A312" s="142" t="s">
        <v>340</v>
      </c>
      <c r="B312" s="138">
        <v>8.9284181594849006</v>
      </c>
      <c r="C312" s="146">
        <f>AVERAGE(B312:B314)</f>
        <v>8.5900219599406338</v>
      </c>
      <c r="D312" s="146">
        <f>C312-3.32</f>
        <v>5.2700219599406335</v>
      </c>
      <c r="E312" s="142"/>
      <c r="F312" s="144"/>
      <c r="G312" s="147"/>
    </row>
    <row r="313" spans="1:7" x14ac:dyDescent="0.35">
      <c r="A313" s="142" t="s">
        <v>341</v>
      </c>
      <c r="B313" s="138">
        <v>8.1708238601685004</v>
      </c>
      <c r="C313" s="142"/>
      <c r="D313" s="142"/>
      <c r="E313" s="142"/>
      <c r="F313" s="142"/>
      <c r="G313" s="142"/>
    </row>
    <row r="314" spans="1:7" x14ac:dyDescent="0.35">
      <c r="A314" s="142" t="s">
        <v>342</v>
      </c>
      <c r="B314" s="138">
        <v>8.6708238601685004</v>
      </c>
      <c r="C314" s="142"/>
      <c r="D314" s="142"/>
      <c r="E314" s="142"/>
      <c r="F314" s="142"/>
      <c r="G314" s="142"/>
    </row>
    <row r="315" spans="1:7" x14ac:dyDescent="0.35">
      <c r="A315" s="142" t="s">
        <v>343</v>
      </c>
      <c r="B315" s="138">
        <v>20.616404724121001</v>
      </c>
      <c r="C315" s="146">
        <f>AVERAGE(B315:B317)</f>
        <v>20.313959732055633</v>
      </c>
      <c r="D315" s="142"/>
      <c r="E315" s="150">
        <f>100*2^(D312-C315)</f>
        <v>2.9602165182240673E-3</v>
      </c>
      <c r="F315" s="146">
        <f>C315-C315</f>
        <v>0</v>
      </c>
      <c r="G315" s="146">
        <f>2^-F315</f>
        <v>1</v>
      </c>
    </row>
    <row r="316" spans="1:7" x14ac:dyDescent="0.35">
      <c r="A316" s="142" t="s">
        <v>344</v>
      </c>
      <c r="B316" s="138">
        <v>20.373833999633799</v>
      </c>
      <c r="C316" s="142"/>
      <c r="D316" s="142"/>
      <c r="E316" s="150"/>
      <c r="F316" s="144"/>
      <c r="G316" s="144"/>
    </row>
    <row r="317" spans="1:7" x14ac:dyDescent="0.35">
      <c r="A317" s="142" t="s">
        <v>345</v>
      </c>
      <c r="B317" s="138">
        <v>19.951640472412102</v>
      </c>
      <c r="C317" s="142"/>
      <c r="D317" s="142"/>
      <c r="E317" s="150"/>
      <c r="F317" s="144"/>
      <c r="G317" s="144"/>
    </row>
    <row r="318" spans="1:7" x14ac:dyDescent="0.35">
      <c r="A318" s="133" t="s">
        <v>370</v>
      </c>
      <c r="B318" s="138">
        <v>19.204724121000002</v>
      </c>
      <c r="C318" s="146">
        <f>AVERAGE(B318:B320)</f>
        <v>19.032120310470699</v>
      </c>
      <c r="D318" s="142"/>
      <c r="E318" s="150">
        <f>100*2^(D312-C318)</f>
        <v>7.19773069226256E-3</v>
      </c>
      <c r="F318" s="146">
        <f>C318-C315</f>
        <v>-1.2818394215849338</v>
      </c>
      <c r="G318" s="146">
        <f>2^-F318</f>
        <v>2.4314879158166165</v>
      </c>
    </row>
    <row r="319" spans="1:7" x14ac:dyDescent="0.35">
      <c r="A319" s="133" t="s">
        <v>371</v>
      </c>
      <c r="B319" s="138">
        <v>19.439996338</v>
      </c>
      <c r="C319" s="142"/>
      <c r="D319" s="142"/>
      <c r="E319" s="150"/>
      <c r="F319" s="144"/>
      <c r="G319" s="144"/>
    </row>
    <row r="320" spans="1:7" x14ac:dyDescent="0.35">
      <c r="A320" s="133" t="s">
        <v>372</v>
      </c>
      <c r="B320" s="138">
        <v>18.451640472412102</v>
      </c>
      <c r="C320" s="142"/>
      <c r="D320" s="142"/>
      <c r="E320" s="150"/>
      <c r="F320" s="144"/>
      <c r="G320" s="144"/>
    </row>
    <row r="321" spans="1:7" x14ac:dyDescent="0.35">
      <c r="A321" s="142" t="s">
        <v>346</v>
      </c>
      <c r="B321" s="138">
        <v>8.3331079483032227</v>
      </c>
      <c r="C321" s="146">
        <f>AVERAGE(B321:B323)</f>
        <v>8.0162687301635884</v>
      </c>
      <c r="D321" s="146">
        <f>C321-3.32</f>
        <v>4.6962687301635881</v>
      </c>
      <c r="E321" s="142"/>
      <c r="F321" s="144"/>
      <c r="G321" s="147"/>
    </row>
    <row r="322" spans="1:7" x14ac:dyDescent="0.35">
      <c r="A322" s="142" t="s">
        <v>347</v>
      </c>
      <c r="B322" s="138">
        <v>8.344874382019043</v>
      </c>
      <c r="C322" s="142"/>
      <c r="D322" s="142"/>
      <c r="E322" s="142"/>
      <c r="F322" s="142"/>
      <c r="G322" s="142"/>
    </row>
    <row r="323" spans="1:7" x14ac:dyDescent="0.35">
      <c r="A323" s="142" t="s">
        <v>348</v>
      </c>
      <c r="B323" s="138">
        <v>7.3708238601684997</v>
      </c>
      <c r="C323" s="142"/>
      <c r="D323" s="142"/>
      <c r="E323" s="142"/>
      <c r="F323" s="142"/>
      <c r="G323" s="142"/>
    </row>
    <row r="324" spans="1:7" x14ac:dyDescent="0.35">
      <c r="A324" s="142" t="s">
        <v>349</v>
      </c>
      <c r="B324" s="138">
        <v>20.641572952271002</v>
      </c>
      <c r="C324" s="146">
        <f>AVERAGE(B324:B326)</f>
        <v>20.952032724847001</v>
      </c>
      <c r="D324" s="142"/>
      <c r="E324" s="150">
        <f>100*2^(D302-C324)</f>
        <v>1.8718878681896604E-3</v>
      </c>
      <c r="F324" s="146">
        <f>C324-C324</f>
        <v>0</v>
      </c>
      <c r="G324" s="146">
        <f>2^-F324</f>
        <v>1</v>
      </c>
    </row>
    <row r="325" spans="1:7" x14ac:dyDescent="0.35">
      <c r="A325" s="142" t="s">
        <v>350</v>
      </c>
      <c r="B325" s="138">
        <v>21.572952269999998</v>
      </c>
      <c r="C325" s="142"/>
      <c r="D325" s="142"/>
      <c r="E325" s="150"/>
      <c r="F325" s="144"/>
      <c r="G325" s="144"/>
    </row>
    <row r="326" spans="1:7" x14ac:dyDescent="0.35">
      <c r="A326" s="142" t="s">
        <v>351</v>
      </c>
      <c r="B326" s="138">
        <v>20.64157295227</v>
      </c>
      <c r="C326" s="142"/>
      <c r="D326" s="142"/>
      <c r="E326" s="150"/>
      <c r="F326" s="144"/>
      <c r="G326" s="144"/>
    </row>
    <row r="327" spans="1:7" x14ac:dyDescent="0.35">
      <c r="A327" s="133" t="s">
        <v>367</v>
      </c>
      <c r="B327" s="138">
        <v>19.0516404724121</v>
      </c>
      <c r="C327" s="146">
        <f>AVERAGE(B327:B329)</f>
        <v>18.607993367516698</v>
      </c>
      <c r="D327" s="142"/>
      <c r="E327" s="150">
        <f>100*2^(D302-C327)</f>
        <v>9.5039903612835677E-3</v>
      </c>
      <c r="F327" s="146">
        <f>C327-C324</f>
        <v>-2.3440393573303027</v>
      </c>
      <c r="G327" s="146">
        <f>2^-F327</f>
        <v>5.0772220509527948</v>
      </c>
    </row>
    <row r="328" spans="1:7" x14ac:dyDescent="0.35">
      <c r="A328" s="133" t="s">
        <v>368</v>
      </c>
      <c r="B328" s="138">
        <v>19.038339996337999</v>
      </c>
      <c r="C328" s="146"/>
      <c r="D328" s="142"/>
      <c r="E328" s="150"/>
      <c r="F328" s="146"/>
      <c r="G328" s="146"/>
    </row>
    <row r="329" spans="1:7" x14ac:dyDescent="0.35">
      <c r="A329" s="133" t="s">
        <v>379</v>
      </c>
      <c r="B329" s="138">
        <v>17.7339996338</v>
      </c>
      <c r="C329" s="142"/>
      <c r="D329" s="142"/>
      <c r="E329" s="150"/>
      <c r="F329" s="144"/>
      <c r="G329" s="144"/>
    </row>
    <row r="330" spans="1:7" x14ac:dyDescent="0.35">
      <c r="A330" s="142" t="s">
        <v>352</v>
      </c>
      <c r="B330" s="138">
        <v>8.3331079483032227</v>
      </c>
      <c r="C330" s="146">
        <f>AVERAGE(B330:B332)</f>
        <v>8.0162687301635884</v>
      </c>
      <c r="D330" s="146">
        <f>C330-3.32</f>
        <v>4.6962687301635881</v>
      </c>
      <c r="E330" s="142"/>
      <c r="F330" s="144"/>
      <c r="G330" s="147"/>
    </row>
    <row r="331" spans="1:7" x14ac:dyDescent="0.35">
      <c r="A331" s="142" t="s">
        <v>353</v>
      </c>
      <c r="B331" s="138">
        <v>8.344874382019043</v>
      </c>
      <c r="C331" s="142"/>
      <c r="D331" s="142"/>
      <c r="E331" s="142"/>
      <c r="F331" s="142"/>
      <c r="G331" s="142"/>
    </row>
    <row r="332" spans="1:7" x14ac:dyDescent="0.35">
      <c r="A332" s="142" t="s">
        <v>354</v>
      </c>
      <c r="B332" s="138">
        <v>7.3708238601684997</v>
      </c>
      <c r="C332" s="142"/>
      <c r="D332" s="142"/>
      <c r="E332" s="142"/>
      <c r="F332" s="142"/>
      <c r="G332" s="142"/>
    </row>
    <row r="333" spans="1:7" x14ac:dyDescent="0.35">
      <c r="A333" s="142" t="s">
        <v>355</v>
      </c>
      <c r="B333" s="138">
        <v>21.264157295227101</v>
      </c>
      <c r="C333" s="146">
        <f>AVERAGE(B333:B335)</f>
        <v>21.382434399922371</v>
      </c>
      <c r="D333" s="142"/>
      <c r="E333" s="150">
        <f>100*2^(D312-C333)</f>
        <v>1.4114989293303581E-3</v>
      </c>
      <c r="F333" s="146">
        <f>C333-C333</f>
        <v>0</v>
      </c>
      <c r="G333" s="146">
        <f>2^-F333</f>
        <v>1</v>
      </c>
    </row>
    <row r="334" spans="1:7" x14ac:dyDescent="0.35">
      <c r="A334" s="142" t="s">
        <v>356</v>
      </c>
      <c r="B334" s="138">
        <v>21.14157295227</v>
      </c>
      <c r="C334" s="142"/>
      <c r="D334" s="142"/>
      <c r="E334" s="150"/>
      <c r="F334" s="144"/>
      <c r="G334" s="144"/>
    </row>
    <row r="335" spans="1:7" x14ac:dyDescent="0.35">
      <c r="A335" s="142" t="s">
        <v>357</v>
      </c>
      <c r="B335" s="138">
        <v>21.741572952270001</v>
      </c>
      <c r="C335" s="142"/>
      <c r="D335" s="142"/>
      <c r="E335" s="150"/>
      <c r="F335" s="144"/>
      <c r="G335" s="144"/>
    </row>
    <row r="336" spans="1:7" x14ac:dyDescent="0.35">
      <c r="A336" s="133" t="s">
        <v>373</v>
      </c>
      <c r="B336" s="138">
        <v>19.716404724120999</v>
      </c>
      <c r="C336" s="146">
        <f>AVERAGE(B336:B338)</f>
        <v>19.744702911486332</v>
      </c>
      <c r="D336" s="142"/>
      <c r="E336" s="150">
        <f>100*2^(D312-C336)</f>
        <v>4.3922480219003874E-3</v>
      </c>
      <c r="F336" s="146">
        <f>C336-C333</f>
        <v>-1.6377314884360388</v>
      </c>
      <c r="G336" s="146">
        <f>2^-F336</f>
        <v>3.1117614973921035</v>
      </c>
    </row>
    <row r="337" spans="1:7" x14ac:dyDescent="0.35">
      <c r="A337" s="133" t="s">
        <v>374</v>
      </c>
      <c r="B337" s="138">
        <v>19.638339996338001</v>
      </c>
      <c r="C337" s="142"/>
      <c r="D337" s="142"/>
      <c r="E337" s="150"/>
      <c r="F337" s="144"/>
      <c r="G337" s="144"/>
    </row>
    <row r="338" spans="1:7" x14ac:dyDescent="0.35">
      <c r="A338" s="133" t="s">
        <v>375</v>
      </c>
      <c r="B338" s="149">
        <v>19.879364014</v>
      </c>
      <c r="C338" s="142"/>
      <c r="D338" s="142"/>
      <c r="E338" s="148"/>
      <c r="F338" s="144"/>
      <c r="G338" s="145"/>
    </row>
    <row r="339" spans="1:7" x14ac:dyDescent="0.35">
      <c r="A339" s="142" t="s">
        <v>358</v>
      </c>
      <c r="B339" s="138">
        <v>8.3331079483032227</v>
      </c>
      <c r="C339" s="146">
        <f>AVERAGE(B339:B341)</f>
        <v>8.0162687301635884</v>
      </c>
      <c r="D339" s="146">
        <f>C339-3.32</f>
        <v>4.6962687301635881</v>
      </c>
      <c r="E339" s="142"/>
      <c r="F339" s="144"/>
      <c r="G339" s="147"/>
    </row>
    <row r="340" spans="1:7" x14ac:dyDescent="0.35">
      <c r="A340" s="142" t="s">
        <v>359</v>
      </c>
      <c r="B340" s="138">
        <v>8.344874382019043</v>
      </c>
      <c r="C340" s="142"/>
      <c r="D340" s="142"/>
      <c r="E340" s="142"/>
      <c r="F340" s="142"/>
      <c r="G340" s="142"/>
    </row>
    <row r="341" spans="1:7" x14ac:dyDescent="0.35">
      <c r="A341" s="142" t="s">
        <v>360</v>
      </c>
      <c r="B341" s="138">
        <v>7.3708238601684997</v>
      </c>
      <c r="C341" s="142"/>
      <c r="D341" s="142"/>
      <c r="E341" s="142"/>
      <c r="F341" s="142"/>
      <c r="G341" s="142"/>
    </row>
    <row r="342" spans="1:7" x14ac:dyDescent="0.35">
      <c r="A342" s="142" t="s">
        <v>361</v>
      </c>
      <c r="B342" s="138">
        <v>20.264157295227101</v>
      </c>
      <c r="C342" s="146">
        <f>AVERAGE(B342:B344)</f>
        <v>20.407153256732368</v>
      </c>
      <c r="D342" s="142"/>
      <c r="E342" s="150">
        <f>100*2^(D330-C342)</f>
        <v>1.864457547010606E-3</v>
      </c>
      <c r="F342" s="146">
        <f>C342-C342</f>
        <v>0</v>
      </c>
      <c r="G342" s="146">
        <f>2^-F342</f>
        <v>1</v>
      </c>
    </row>
    <row r="343" spans="1:7" x14ac:dyDescent="0.35">
      <c r="A343" s="142" t="s">
        <v>362</v>
      </c>
      <c r="B343" s="138">
        <v>20.3157295227</v>
      </c>
      <c r="C343" s="142"/>
      <c r="D343" s="142"/>
      <c r="E343" s="150"/>
      <c r="F343" s="144"/>
      <c r="G343" s="144"/>
    </row>
    <row r="344" spans="1:7" x14ac:dyDescent="0.35">
      <c r="A344" s="142" t="s">
        <v>363</v>
      </c>
      <c r="B344" s="138">
        <v>20.64157295227</v>
      </c>
      <c r="C344" s="142"/>
      <c r="D344" s="142"/>
      <c r="E344" s="150"/>
      <c r="F344" s="144"/>
      <c r="G344" s="144"/>
    </row>
    <row r="345" spans="1:7" x14ac:dyDescent="0.35">
      <c r="A345" s="133" t="s">
        <v>376</v>
      </c>
      <c r="B345" s="138">
        <v>19.916404724121001</v>
      </c>
      <c r="C345" s="146">
        <f>AVERAGE(B345:B347)</f>
        <v>19.363010787964935</v>
      </c>
      <c r="D345" s="142"/>
      <c r="E345" s="150">
        <f>100*2^(D330-C345)</f>
        <v>3.8447729850121337E-3</v>
      </c>
      <c r="F345" s="146">
        <f>C345-C342</f>
        <v>-1.0441424687674328</v>
      </c>
      <c r="G345" s="146">
        <f>2^-F345</f>
        <v>2.0621402676487226</v>
      </c>
    </row>
    <row r="346" spans="1:7" x14ac:dyDescent="0.35">
      <c r="A346" s="133" t="s">
        <v>377</v>
      </c>
      <c r="B346" s="138">
        <v>18.963833999633799</v>
      </c>
      <c r="C346" s="142"/>
      <c r="D346" s="142"/>
      <c r="E346" s="150"/>
      <c r="F346" s="144"/>
      <c r="G346" s="144"/>
    </row>
    <row r="347" spans="1:7" x14ac:dyDescent="0.35">
      <c r="A347" s="133" t="s">
        <v>378</v>
      </c>
      <c r="B347" s="149">
        <v>19.208793640140001</v>
      </c>
      <c r="C347" s="142"/>
      <c r="D347" s="142"/>
      <c r="E347" s="148"/>
      <c r="F347" s="144"/>
      <c r="G347" s="145"/>
    </row>
  </sheetData>
  <mergeCells count="88">
    <mergeCell ref="A251:G251"/>
    <mergeCell ref="A300:G300"/>
    <mergeCell ref="A82:A84"/>
    <mergeCell ref="G82:G84"/>
    <mergeCell ref="H82:H84"/>
    <mergeCell ref="A104:G104"/>
    <mergeCell ref="A152:G152"/>
    <mergeCell ref="A201:G201"/>
    <mergeCell ref="A102:H102"/>
    <mergeCell ref="A94:A96"/>
    <mergeCell ref="G94:G96"/>
    <mergeCell ref="H94:H96"/>
    <mergeCell ref="A97:A99"/>
    <mergeCell ref="G97:G99"/>
    <mergeCell ref="H97:H99"/>
    <mergeCell ref="A76:A78"/>
    <mergeCell ref="G76:G78"/>
    <mergeCell ref="H76:H78"/>
    <mergeCell ref="G91:G93"/>
    <mergeCell ref="H91:H93"/>
    <mergeCell ref="A79:A81"/>
    <mergeCell ref="G79:G81"/>
    <mergeCell ref="H79:H81"/>
    <mergeCell ref="A86:H86"/>
    <mergeCell ref="A88:A90"/>
    <mergeCell ref="G88:G90"/>
    <mergeCell ref="H88:H90"/>
    <mergeCell ref="A91:A93"/>
    <mergeCell ref="A71:H71"/>
    <mergeCell ref="A73:A75"/>
    <mergeCell ref="G73:G75"/>
    <mergeCell ref="H73:H75"/>
    <mergeCell ref="A40:H40"/>
    <mergeCell ref="A64:A66"/>
    <mergeCell ref="G64:G66"/>
    <mergeCell ref="H64:H66"/>
    <mergeCell ref="A67:A69"/>
    <mergeCell ref="G67:G69"/>
    <mergeCell ref="H67:H69"/>
    <mergeCell ref="A56:H56"/>
    <mergeCell ref="A58:A60"/>
    <mergeCell ref="G58:G60"/>
    <mergeCell ref="H58:H60"/>
    <mergeCell ref="A61:A63"/>
    <mergeCell ref="G61:G63"/>
    <mergeCell ref="H61:H63"/>
    <mergeCell ref="A1:H1"/>
    <mergeCell ref="A12:H12"/>
    <mergeCell ref="A14:A16"/>
    <mergeCell ref="G14:G16"/>
    <mergeCell ref="H14:H16"/>
    <mergeCell ref="A3:H3"/>
    <mergeCell ref="A5:A7"/>
    <mergeCell ref="G5:G7"/>
    <mergeCell ref="H5:H7"/>
    <mergeCell ref="A8:A10"/>
    <mergeCell ref="G8:G10"/>
    <mergeCell ref="H8:H10"/>
    <mergeCell ref="A17:A19"/>
    <mergeCell ref="G17:G19"/>
    <mergeCell ref="H17:H19"/>
    <mergeCell ref="A21:H21"/>
    <mergeCell ref="A23:A25"/>
    <mergeCell ref="G23:G25"/>
    <mergeCell ref="H23:H25"/>
    <mergeCell ref="H35:H37"/>
    <mergeCell ref="A26:A28"/>
    <mergeCell ref="G26:G28"/>
    <mergeCell ref="H26:H28"/>
    <mergeCell ref="A30:H30"/>
    <mergeCell ref="A32:A34"/>
    <mergeCell ref="G32:G34"/>
    <mergeCell ref="H32:H34"/>
    <mergeCell ref="A35:A37"/>
    <mergeCell ref="G35:G37"/>
    <mergeCell ref="A49:A51"/>
    <mergeCell ref="G49:G51"/>
    <mergeCell ref="H49:H51"/>
    <mergeCell ref="A52:A54"/>
    <mergeCell ref="A41:H41"/>
    <mergeCell ref="A43:A45"/>
    <mergeCell ref="G43:G45"/>
    <mergeCell ref="H43:H45"/>
    <mergeCell ref="A46:A48"/>
    <mergeCell ref="G46:G48"/>
    <mergeCell ref="H46:H48"/>
    <mergeCell ref="G52:G54"/>
    <mergeCell ref="H52:H5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3D95E-6FBF-4251-8B0B-C7FF85C3EC5B}">
  <dimension ref="A1:M72"/>
  <sheetViews>
    <sheetView topLeftCell="A24" zoomScale="55" zoomScaleNormal="55" workbookViewId="0">
      <selection activeCell="AA23" sqref="AA23"/>
    </sheetView>
  </sheetViews>
  <sheetFormatPr defaultRowHeight="14.5" x14ac:dyDescent="0.35"/>
  <cols>
    <col min="5" max="6" width="19.08984375" bestFit="1" customWidth="1"/>
    <col min="7" max="7" width="19.81640625" bestFit="1" customWidth="1"/>
    <col min="8" max="8" width="22.7265625" bestFit="1" customWidth="1"/>
    <col min="9" max="9" width="22.6328125" bestFit="1" customWidth="1"/>
  </cols>
  <sheetData>
    <row r="1" spans="1:13" ht="23.5" x14ac:dyDescent="0.55000000000000004">
      <c r="A1" s="193" t="s">
        <v>127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</row>
    <row r="3" spans="1:13" ht="15.5" x14ac:dyDescent="0.35">
      <c r="A3" s="25" t="s">
        <v>84</v>
      </c>
    </row>
    <row r="4" spans="1:13" ht="15.5" x14ac:dyDescent="0.35">
      <c r="A4" s="26" t="s">
        <v>8</v>
      </c>
      <c r="B4" s="27" t="s">
        <v>9</v>
      </c>
      <c r="C4" s="26" t="s">
        <v>7</v>
      </c>
      <c r="D4" s="26" t="s">
        <v>6</v>
      </c>
      <c r="E4" s="26" t="s">
        <v>5</v>
      </c>
      <c r="F4" s="28" t="s">
        <v>12</v>
      </c>
      <c r="G4" s="28" t="s">
        <v>13</v>
      </c>
      <c r="H4" s="26" t="s">
        <v>4</v>
      </c>
      <c r="I4" s="26" t="s">
        <v>3</v>
      </c>
      <c r="J4" s="26" t="s">
        <v>14</v>
      </c>
      <c r="K4" s="28" t="s">
        <v>3</v>
      </c>
      <c r="L4" s="28" t="s">
        <v>15</v>
      </c>
      <c r="M4" s="28" t="s">
        <v>16</v>
      </c>
    </row>
    <row r="5" spans="1:13" ht="15.5" x14ac:dyDescent="0.35">
      <c r="A5" s="155" t="s">
        <v>11</v>
      </c>
      <c r="B5" s="9" t="s">
        <v>2</v>
      </c>
      <c r="C5" s="15">
        <v>23.938846752737302</v>
      </c>
      <c r="D5" s="15">
        <v>17.688852068184602</v>
      </c>
      <c r="E5" s="16">
        <f t="shared" ref="E5:E12" si="0">C5-D5</f>
        <v>6.2499946845526999</v>
      </c>
      <c r="F5" s="10"/>
      <c r="G5" s="10">
        <f t="shared" ref="G5:G12" si="1">E5-$F$8</f>
        <v>6.8556806880424759E-2</v>
      </c>
      <c r="H5" s="11">
        <f t="shared" ref="H5:H12" si="2">2^-G5</f>
        <v>0.95359144173939736</v>
      </c>
      <c r="I5" s="12"/>
      <c r="J5" s="13">
        <f t="shared" ref="J5:J12" si="3">H5/$I$8</f>
        <v>0.91070556958115156</v>
      </c>
      <c r="K5" s="17"/>
      <c r="M5" s="29"/>
    </row>
    <row r="6" spans="1:13" ht="15.5" x14ac:dyDescent="0.35">
      <c r="A6" s="155"/>
      <c r="B6" s="9" t="s">
        <v>1</v>
      </c>
      <c r="C6" s="15">
        <v>23.708783859074</v>
      </c>
      <c r="D6" s="15">
        <v>16.995110629938701</v>
      </c>
      <c r="E6" s="16">
        <f t="shared" si="0"/>
        <v>6.7136732291352992</v>
      </c>
      <c r="F6" s="9"/>
      <c r="G6" s="10">
        <f t="shared" si="1"/>
        <v>0.53223535146302403</v>
      </c>
      <c r="H6" s="11">
        <f t="shared" si="2"/>
        <v>0.69148250154864233</v>
      </c>
      <c r="I6" s="14"/>
      <c r="J6" s="13">
        <f t="shared" si="3"/>
        <v>0.66038445592546935</v>
      </c>
      <c r="K6" s="17">
        <f>AVERAGE(J5:J8)</f>
        <v>1</v>
      </c>
      <c r="L6" s="17">
        <f>STDEVA(J5:J8)</f>
        <v>0.36454457598004159</v>
      </c>
      <c r="M6" s="18">
        <f>L6/SQRT(4)</f>
        <v>0.18227228799002079</v>
      </c>
    </row>
    <row r="7" spans="1:13" ht="15.5" x14ac:dyDescent="0.35">
      <c r="A7" s="155"/>
      <c r="B7" s="9" t="s">
        <v>0</v>
      </c>
      <c r="C7" s="15">
        <v>23.1740134294581</v>
      </c>
      <c r="D7" s="15">
        <v>17.660432342700599</v>
      </c>
      <c r="E7" s="16">
        <f t="shared" si="0"/>
        <v>5.513581086757501</v>
      </c>
      <c r="F7" s="10"/>
      <c r="G7" s="10">
        <f t="shared" si="1"/>
        <v>-0.66785679091477412</v>
      </c>
      <c r="H7" s="11">
        <f t="shared" si="2"/>
        <v>1.5887110890003455</v>
      </c>
      <c r="I7" s="14"/>
      <c r="J7" s="13">
        <f t="shared" si="3"/>
        <v>1.5172619781159422</v>
      </c>
      <c r="K7" s="17"/>
      <c r="L7" s="17"/>
      <c r="M7" s="18"/>
    </row>
    <row r="8" spans="1:13" ht="15.5" x14ac:dyDescent="0.35">
      <c r="A8" s="155"/>
      <c r="B8" s="9" t="s">
        <v>10</v>
      </c>
      <c r="C8" s="15">
        <v>23.519409887798801</v>
      </c>
      <c r="D8" s="15">
        <v>17.270907377555201</v>
      </c>
      <c r="E8" s="16">
        <f t="shared" si="0"/>
        <v>6.2485025102436005</v>
      </c>
      <c r="F8" s="10">
        <f>AVERAGE(E5:E8)</f>
        <v>6.1814378776722751</v>
      </c>
      <c r="G8" s="10">
        <f t="shared" si="1"/>
        <v>6.7064632571325333E-2</v>
      </c>
      <c r="H8" s="11">
        <f t="shared" si="2"/>
        <v>0.95457824818642167</v>
      </c>
      <c r="I8" s="12">
        <f>AVERAGE(H5:H8)</f>
        <v>1.0470908201187017</v>
      </c>
      <c r="J8" s="13">
        <f t="shared" si="3"/>
        <v>0.91164799637743699</v>
      </c>
      <c r="L8" s="17"/>
      <c r="M8" s="18"/>
    </row>
    <row r="9" spans="1:13" ht="15.5" x14ac:dyDescent="0.35">
      <c r="A9" s="156" t="s">
        <v>85</v>
      </c>
      <c r="B9" s="9" t="s">
        <v>2</v>
      </c>
      <c r="C9" s="15">
        <v>24.02</v>
      </c>
      <c r="D9" s="15">
        <v>16.8073697963463</v>
      </c>
      <c r="E9" s="16">
        <f t="shared" si="0"/>
        <v>7.2126302036536991</v>
      </c>
      <c r="F9" s="9"/>
      <c r="G9" s="10">
        <f t="shared" si="1"/>
        <v>1.031192325981424</v>
      </c>
      <c r="H9" s="11">
        <f t="shared" si="2"/>
        <v>0.48930559141863655</v>
      </c>
      <c r="I9" s="12"/>
      <c r="J9" s="13">
        <f t="shared" si="3"/>
        <v>0.4673000488755763</v>
      </c>
      <c r="K9" s="17"/>
      <c r="M9" s="29"/>
    </row>
    <row r="10" spans="1:13" ht="15.5" x14ac:dyDescent="0.35">
      <c r="A10" s="157"/>
      <c r="B10" s="9" t="s">
        <v>1</v>
      </c>
      <c r="C10" s="15">
        <v>24.930138160639199</v>
      </c>
      <c r="D10" s="15">
        <v>17.132269502235602</v>
      </c>
      <c r="E10" s="16">
        <f t="shared" si="0"/>
        <v>7.7978686584035977</v>
      </c>
      <c r="F10" s="9"/>
      <c r="G10" s="10">
        <f t="shared" si="1"/>
        <v>1.6164307807313225</v>
      </c>
      <c r="H10" s="11">
        <f t="shared" si="2"/>
        <v>0.32614133838828402</v>
      </c>
      <c r="I10" s="14"/>
      <c r="J10" s="13">
        <f t="shared" si="3"/>
        <v>0.31147378252376573</v>
      </c>
      <c r="K10" s="22">
        <f>AVERAGE(J9:J12)</f>
        <v>0.42930840190913921</v>
      </c>
      <c r="L10" s="17">
        <f>STDEVA(J9:J12)</f>
        <v>8.5224741945916963E-2</v>
      </c>
      <c r="M10" s="18">
        <f>L10/SQRT(4)</f>
        <v>4.2612370972958481E-2</v>
      </c>
    </row>
    <row r="11" spans="1:13" ht="15.5" x14ac:dyDescent="0.35">
      <c r="A11" s="157"/>
      <c r="B11" s="9" t="s">
        <v>0</v>
      </c>
      <c r="C11" s="15">
        <v>24.07</v>
      </c>
      <c r="D11" s="15">
        <v>16.733225574913899</v>
      </c>
      <c r="E11" s="16">
        <f t="shared" si="0"/>
        <v>7.3367744250861016</v>
      </c>
      <c r="F11" s="9"/>
      <c r="G11" s="10">
        <f t="shared" si="1"/>
        <v>1.1553365474138264</v>
      </c>
      <c r="H11" s="11">
        <f t="shared" si="2"/>
        <v>0.44896144189584847</v>
      </c>
      <c r="I11" s="14"/>
      <c r="J11" s="13">
        <f t="shared" si="3"/>
        <v>0.42877029696903723</v>
      </c>
      <c r="K11" s="17"/>
      <c r="L11" s="17"/>
      <c r="M11" s="18"/>
    </row>
    <row r="12" spans="1:13" ht="15.5" x14ac:dyDescent="0.35">
      <c r="A12" s="158"/>
      <c r="B12" s="19" t="s">
        <v>10</v>
      </c>
      <c r="C12" s="20">
        <v>24.951112607979201</v>
      </c>
      <c r="D12" s="20">
        <v>17.863751790456899</v>
      </c>
      <c r="E12" s="21">
        <f t="shared" si="0"/>
        <v>7.0873608175223026</v>
      </c>
      <c r="F12" s="21"/>
      <c r="G12" s="10">
        <f t="shared" si="1"/>
        <v>0.90592293985002748</v>
      </c>
      <c r="H12" s="11">
        <f t="shared" si="2"/>
        <v>0.53369117485279005</v>
      </c>
      <c r="I12" s="22"/>
      <c r="J12" s="13">
        <f t="shared" si="3"/>
        <v>0.50968947926817754</v>
      </c>
      <c r="K12" s="30"/>
      <c r="L12" s="22"/>
      <c r="M12" s="23"/>
    </row>
    <row r="13" spans="1:13" x14ac:dyDescent="0.35">
      <c r="E13" s="8"/>
    </row>
    <row r="16" spans="1:13" ht="15.5" x14ac:dyDescent="0.35">
      <c r="A16" s="25" t="s">
        <v>86</v>
      </c>
    </row>
    <row r="17" spans="1:13" ht="15.5" x14ac:dyDescent="0.35">
      <c r="A17" s="26" t="s">
        <v>8</v>
      </c>
      <c r="B17" s="27" t="s">
        <v>9</v>
      </c>
      <c r="C17" s="26" t="s">
        <v>7</v>
      </c>
      <c r="D17" s="26" t="s">
        <v>6</v>
      </c>
      <c r="E17" s="26" t="s">
        <v>5</v>
      </c>
      <c r="F17" s="28" t="s">
        <v>12</v>
      </c>
      <c r="G17" s="28" t="s">
        <v>13</v>
      </c>
      <c r="H17" s="26" t="s">
        <v>4</v>
      </c>
      <c r="I17" s="26" t="s">
        <v>3</v>
      </c>
      <c r="J17" s="26" t="s">
        <v>14</v>
      </c>
      <c r="K17" s="28" t="s">
        <v>3</v>
      </c>
      <c r="L17" s="28" t="s">
        <v>15</v>
      </c>
      <c r="M17" s="28" t="s">
        <v>16</v>
      </c>
    </row>
    <row r="18" spans="1:13" ht="15.5" x14ac:dyDescent="0.35">
      <c r="A18" s="155" t="s">
        <v>11</v>
      </c>
      <c r="B18" s="9" t="s">
        <v>2</v>
      </c>
      <c r="C18" s="15">
        <v>24.020081275421401</v>
      </c>
      <c r="D18" s="15">
        <v>17.688852068184602</v>
      </c>
      <c r="E18" s="16">
        <f t="shared" ref="E18:E25" si="4">C18-D18</f>
        <v>6.3312292072367988</v>
      </c>
      <c r="F18" s="10"/>
      <c r="G18" s="10">
        <f t="shared" ref="G18:G25" si="5">E18-$F$21</f>
        <v>9.9145511787174456E-2</v>
      </c>
      <c r="H18" s="11">
        <f t="shared" ref="H18:H25" si="6">2^-G18</f>
        <v>0.93358577769199325</v>
      </c>
      <c r="I18" s="12"/>
      <c r="J18" s="13">
        <f t="shared" ref="J18:J25" si="7">H18/$I$21</f>
        <v>0.92042862163805117</v>
      </c>
      <c r="K18" s="17"/>
      <c r="M18" s="29"/>
    </row>
    <row r="19" spans="1:13" ht="15.5" x14ac:dyDescent="0.35">
      <c r="A19" s="155"/>
      <c r="B19" s="9" t="s">
        <v>1</v>
      </c>
      <c r="C19" s="15">
        <v>23.5537563582998</v>
      </c>
      <c r="D19" s="15">
        <v>16.995110629938701</v>
      </c>
      <c r="E19" s="16">
        <f t="shared" si="4"/>
        <v>6.5586457283610997</v>
      </c>
      <c r="F19" s="9"/>
      <c r="G19" s="10">
        <f t="shared" si="5"/>
        <v>0.32656203291147534</v>
      </c>
      <c r="H19" s="11">
        <f t="shared" si="6"/>
        <v>0.79743452150446092</v>
      </c>
      <c r="I19" s="14"/>
      <c r="J19" s="13">
        <f t="shared" si="7"/>
        <v>0.78619616430907502</v>
      </c>
      <c r="K19" s="17">
        <f>AVERAGE(J18:J21)</f>
        <v>1</v>
      </c>
      <c r="L19" s="17">
        <f>STDEVA(J18:J21)</f>
        <v>0.19458393496427814</v>
      </c>
      <c r="M19" s="18">
        <f>L19/SQRT(4)</f>
        <v>9.7291967482139072E-2</v>
      </c>
    </row>
    <row r="20" spans="1:13" ht="15.5" x14ac:dyDescent="0.35">
      <c r="A20" s="155"/>
      <c r="B20" s="9" t="s">
        <v>0</v>
      </c>
      <c r="C20" s="15">
        <v>23.800986050529399</v>
      </c>
      <c r="D20" s="15">
        <v>17.660432342700599</v>
      </c>
      <c r="E20" s="16">
        <f t="shared" si="4"/>
        <v>6.1405537078288006</v>
      </c>
      <c r="F20" s="10"/>
      <c r="G20" s="10">
        <f t="shared" si="5"/>
        <v>-9.1529987620823761E-2</v>
      </c>
      <c r="H20" s="11">
        <f t="shared" si="6"/>
        <v>1.0654995528092388</v>
      </c>
      <c r="I20" s="14"/>
      <c r="J20" s="13">
        <f t="shared" si="7"/>
        <v>1.0504833173151911</v>
      </c>
      <c r="K20" s="17"/>
      <c r="L20" s="17"/>
      <c r="M20" s="18"/>
    </row>
    <row r="21" spans="1:13" ht="15.5" x14ac:dyDescent="0.35">
      <c r="A21" s="155"/>
      <c r="B21" s="9" t="s">
        <v>10</v>
      </c>
      <c r="C21" s="15">
        <v>23.168813515926999</v>
      </c>
      <c r="D21" s="15">
        <v>17.270907377555201</v>
      </c>
      <c r="E21" s="16">
        <f t="shared" si="4"/>
        <v>5.8979061383717983</v>
      </c>
      <c r="F21" s="10">
        <f>AVERAGE(E18:E21)</f>
        <v>6.2320836954496244</v>
      </c>
      <c r="G21" s="10">
        <f t="shared" si="5"/>
        <v>-0.33417755707782604</v>
      </c>
      <c r="H21" s="11">
        <f t="shared" si="6"/>
        <v>1.2606585353005459</v>
      </c>
      <c r="I21" s="12">
        <f>AVERAGE(H18:H21)</f>
        <v>1.0142945968265598</v>
      </c>
      <c r="J21" s="13">
        <f t="shared" si="7"/>
        <v>1.2428918967376825</v>
      </c>
      <c r="L21" s="17"/>
      <c r="M21" s="18"/>
    </row>
    <row r="22" spans="1:13" ht="15.5" x14ac:dyDescent="0.35">
      <c r="A22" s="156" t="s">
        <v>87</v>
      </c>
      <c r="B22" s="9" t="s">
        <v>2</v>
      </c>
      <c r="C22" s="15">
        <v>25.008233109877501</v>
      </c>
      <c r="D22" s="15">
        <v>17.572825085949798</v>
      </c>
      <c r="E22" s="16">
        <f t="shared" si="4"/>
        <v>7.4354080239277032</v>
      </c>
      <c r="F22" s="9"/>
      <c r="G22" s="10">
        <f t="shared" si="5"/>
        <v>1.2033243284780788</v>
      </c>
      <c r="H22" s="11">
        <f t="shared" si="6"/>
        <v>0.43427345372769571</v>
      </c>
      <c r="I22" s="12"/>
      <c r="J22" s="13">
        <f t="shared" si="7"/>
        <v>0.42815317668694503</v>
      </c>
      <c r="K22" s="17"/>
      <c r="M22" s="29"/>
    </row>
    <row r="23" spans="1:13" ht="15.5" x14ac:dyDescent="0.35">
      <c r="A23" s="157"/>
      <c r="B23" s="9" t="s">
        <v>1</v>
      </c>
      <c r="C23" s="15">
        <v>25.9296216843425</v>
      </c>
      <c r="D23" s="15">
        <v>17.3683568547603</v>
      </c>
      <c r="E23" s="16">
        <f t="shared" si="4"/>
        <v>8.5612648295821998</v>
      </c>
      <c r="F23" s="9"/>
      <c r="G23" s="10">
        <f t="shared" si="5"/>
        <v>2.3291811341325754</v>
      </c>
      <c r="H23" s="11">
        <f t="shared" si="6"/>
        <v>0.19899703852796283</v>
      </c>
      <c r="I23" s="14"/>
      <c r="J23" s="13">
        <f t="shared" si="7"/>
        <v>0.19619254519403745</v>
      </c>
      <c r="K23" s="22">
        <f>AVERAGE(J22:J25)</f>
        <v>0.35011056727515499</v>
      </c>
      <c r="L23" s="17">
        <f>STDEVA(J22:J25)</f>
        <v>0.1043928958196607</v>
      </c>
      <c r="M23" s="18">
        <f>L23/SQRT(4)</f>
        <v>5.219644790983035E-2</v>
      </c>
    </row>
    <row r="24" spans="1:13" ht="15.5" x14ac:dyDescent="0.35">
      <c r="A24" s="157"/>
      <c r="B24" s="9" t="s">
        <v>0</v>
      </c>
      <c r="C24" s="15">
        <v>25.0347923083091</v>
      </c>
      <c r="D24" s="15">
        <v>17.472670980256101</v>
      </c>
      <c r="E24" s="16">
        <f t="shared" si="4"/>
        <v>7.5621213280529993</v>
      </c>
      <c r="F24" s="9"/>
      <c r="G24" s="10">
        <f t="shared" si="5"/>
        <v>1.3300376326033749</v>
      </c>
      <c r="H24" s="11">
        <f t="shared" si="6"/>
        <v>0.39775786625487403</v>
      </c>
      <c r="I24" s="14"/>
      <c r="J24" s="13">
        <f t="shared" si="7"/>
        <v>0.39215220853916172</v>
      </c>
      <c r="K24" s="17"/>
      <c r="L24" s="17"/>
      <c r="M24" s="18"/>
    </row>
    <row r="25" spans="1:13" ht="15.5" x14ac:dyDescent="0.35">
      <c r="A25" s="158"/>
      <c r="B25" s="19" t="s">
        <v>10</v>
      </c>
      <c r="C25" s="20">
        <v>24.646493842000002</v>
      </c>
      <c r="D25" s="20">
        <v>17.053855963665701</v>
      </c>
      <c r="E25" s="21">
        <f t="shared" si="4"/>
        <v>7.5926378783343011</v>
      </c>
      <c r="F25" s="21"/>
      <c r="G25" s="10">
        <f t="shared" si="5"/>
        <v>1.3605541828846768</v>
      </c>
      <c r="H25" s="11">
        <f t="shared" si="6"/>
        <v>0.38943266820575329</v>
      </c>
      <c r="I25" s="22"/>
      <c r="J25" s="13">
        <f t="shared" si="7"/>
        <v>0.38394433868047578</v>
      </c>
      <c r="K25" s="30"/>
      <c r="L25" s="22"/>
      <c r="M25" s="23"/>
    </row>
    <row r="26" spans="1:13" x14ac:dyDescent="0.35">
      <c r="A26" s="1"/>
      <c r="B26" s="2"/>
      <c r="C26" s="3"/>
      <c r="D26" s="3"/>
      <c r="E26" s="2"/>
      <c r="F26" s="4"/>
      <c r="G26" s="4"/>
      <c r="H26" s="2"/>
      <c r="I26" s="5"/>
      <c r="J26" s="6"/>
      <c r="K26" s="2"/>
      <c r="L26" s="7"/>
      <c r="M26" s="2"/>
    </row>
    <row r="27" spans="1:13" x14ac:dyDescent="0.35">
      <c r="A27" s="1"/>
      <c r="B27" s="2"/>
      <c r="C27" s="3"/>
      <c r="D27" s="3"/>
      <c r="E27" s="2"/>
      <c r="F27" s="4"/>
      <c r="G27" s="4"/>
      <c r="H27" s="2"/>
      <c r="I27" s="5"/>
      <c r="J27" s="6"/>
      <c r="K27" s="2"/>
      <c r="L27" s="7"/>
      <c r="M27" s="2"/>
    </row>
    <row r="28" spans="1:13" ht="15.5" x14ac:dyDescent="0.35">
      <c r="A28" s="25" t="s">
        <v>88</v>
      </c>
    </row>
    <row r="29" spans="1:13" ht="15.5" x14ac:dyDescent="0.35">
      <c r="A29" s="26" t="s">
        <v>8</v>
      </c>
      <c r="B29" s="27" t="s">
        <v>9</v>
      </c>
      <c r="C29" s="26" t="s">
        <v>7</v>
      </c>
      <c r="D29" s="26" t="s">
        <v>6</v>
      </c>
      <c r="E29" s="26" t="s">
        <v>5</v>
      </c>
      <c r="F29" s="28" t="s">
        <v>12</v>
      </c>
      <c r="G29" s="28" t="s">
        <v>13</v>
      </c>
      <c r="H29" s="26" t="s">
        <v>4</v>
      </c>
      <c r="I29" s="26" t="s">
        <v>3</v>
      </c>
      <c r="J29" s="26" t="s">
        <v>14</v>
      </c>
      <c r="K29" s="28" t="s">
        <v>3</v>
      </c>
      <c r="L29" s="28" t="s">
        <v>15</v>
      </c>
      <c r="M29" s="28" t="s">
        <v>16</v>
      </c>
    </row>
    <row r="30" spans="1:13" ht="15.5" x14ac:dyDescent="0.35">
      <c r="A30" s="155" t="s">
        <v>11</v>
      </c>
      <c r="B30" s="9" t="s">
        <v>2</v>
      </c>
      <c r="C30" s="15">
        <v>24.052911980289998</v>
      </c>
      <c r="D30" s="15">
        <v>17.688852068184602</v>
      </c>
      <c r="E30" s="16">
        <f t="shared" ref="E30:E37" si="8">C30-D30</f>
        <v>6.3640599121053967</v>
      </c>
      <c r="F30" s="10"/>
      <c r="G30" s="10">
        <f t="shared" ref="G30:G37" si="9">E30-$F$33</f>
        <v>0.16306775425472253</v>
      </c>
      <c r="H30" s="11">
        <f t="shared" ref="H30:H37" si="10">2^-G30</f>
        <v>0.89312390699081268</v>
      </c>
      <c r="I30" s="12"/>
      <c r="J30" s="13">
        <f t="shared" ref="J30:J37" si="11">H30/$I$33</f>
        <v>0.86731472469727644</v>
      </c>
      <c r="K30" s="17"/>
      <c r="M30" s="29"/>
    </row>
    <row r="31" spans="1:13" ht="15.5" x14ac:dyDescent="0.35">
      <c r="A31" s="155"/>
      <c r="B31" s="9" t="s">
        <v>1</v>
      </c>
      <c r="C31" s="15">
        <v>23.553854678809799</v>
      </c>
      <c r="D31" s="15">
        <v>16.995110629938701</v>
      </c>
      <c r="E31" s="16">
        <f t="shared" si="8"/>
        <v>6.5587440488710982</v>
      </c>
      <c r="F31" s="9"/>
      <c r="G31" s="10">
        <f t="shared" si="9"/>
        <v>0.35775189102042404</v>
      </c>
      <c r="H31" s="11">
        <f t="shared" si="10"/>
        <v>0.78037967524018725</v>
      </c>
      <c r="I31" s="14"/>
      <c r="J31" s="13">
        <f t="shared" si="11"/>
        <v>0.75782853632341007</v>
      </c>
      <c r="K31" s="17">
        <f>AVERAGE(J30:J33)</f>
        <v>1</v>
      </c>
      <c r="L31" s="17">
        <f>STDEVA(J30:J33)</f>
        <v>0.29461432417098338</v>
      </c>
      <c r="M31" s="18">
        <f>L31/SQRT(4)</f>
        <v>0.14730716208549169</v>
      </c>
    </row>
    <row r="32" spans="1:13" ht="15.5" x14ac:dyDescent="0.35">
      <c r="A32" s="155"/>
      <c r="B32" s="9" t="s">
        <v>0</v>
      </c>
      <c r="C32" s="15">
        <v>23.307094086315502</v>
      </c>
      <c r="D32" s="15">
        <v>17.660432342700599</v>
      </c>
      <c r="E32" s="16">
        <f t="shared" si="8"/>
        <v>5.6466617436149029</v>
      </c>
      <c r="F32" s="10"/>
      <c r="G32" s="10">
        <f t="shared" si="9"/>
        <v>-0.55433041423577123</v>
      </c>
      <c r="H32" s="11">
        <f t="shared" si="10"/>
        <v>1.4684869187624912</v>
      </c>
      <c r="I32" s="14"/>
      <c r="J32" s="13">
        <f t="shared" si="11"/>
        <v>1.4260510973883753</v>
      </c>
      <c r="K32" s="17"/>
      <c r="L32" s="17"/>
      <c r="M32" s="18"/>
    </row>
    <row r="33" spans="1:13" ht="15.5" x14ac:dyDescent="0.35">
      <c r="A33" s="155"/>
      <c r="B33" s="9" t="s">
        <v>10</v>
      </c>
      <c r="C33" s="15">
        <v>23.505410304366499</v>
      </c>
      <c r="D33" s="15">
        <v>17.270907377555201</v>
      </c>
      <c r="E33" s="16">
        <f t="shared" si="8"/>
        <v>6.2345029268112988</v>
      </c>
      <c r="F33" s="10">
        <f>AVERAGE(E30:E33)</f>
        <v>6.2009921578506741</v>
      </c>
      <c r="G33" s="10">
        <f t="shared" si="9"/>
        <v>3.3510768960624659E-2</v>
      </c>
      <c r="H33" s="11">
        <f t="shared" si="10"/>
        <v>0.97703979589231194</v>
      </c>
      <c r="I33" s="12">
        <f>AVERAGE(H30:H33)</f>
        <v>1.0297575742214506</v>
      </c>
      <c r="J33" s="13">
        <f t="shared" si="11"/>
        <v>0.9488056415909385</v>
      </c>
      <c r="L33" s="17"/>
      <c r="M33" s="18"/>
    </row>
    <row r="34" spans="1:13" ht="15.5" x14ac:dyDescent="0.35">
      <c r="A34" s="156" t="s">
        <v>89</v>
      </c>
      <c r="B34" s="9" t="s">
        <v>2</v>
      </c>
      <c r="C34" s="15">
        <v>24.981246013298001</v>
      </c>
      <c r="D34" s="15">
        <v>17.32</v>
      </c>
      <c r="E34" s="16">
        <f t="shared" si="8"/>
        <v>7.6612460132980011</v>
      </c>
      <c r="F34" s="9"/>
      <c r="G34" s="10">
        <f t="shared" si="9"/>
        <v>1.460253855447327</v>
      </c>
      <c r="H34" s="11">
        <f t="shared" si="10"/>
        <v>0.36342917500118904</v>
      </c>
      <c r="I34" s="12"/>
      <c r="J34" s="13">
        <f t="shared" si="11"/>
        <v>0.3529269258116019</v>
      </c>
      <c r="K34" s="17"/>
      <c r="M34" s="29"/>
    </row>
    <row r="35" spans="1:13" ht="15.5" x14ac:dyDescent="0.35">
      <c r="A35" s="157"/>
      <c r="B35" s="9" t="s">
        <v>1</v>
      </c>
      <c r="C35" s="15">
        <v>25.045295580937601</v>
      </c>
      <c r="D35" s="15">
        <v>17.783920710916199</v>
      </c>
      <c r="E35" s="16">
        <f t="shared" si="8"/>
        <v>7.2613748700214025</v>
      </c>
      <c r="F35" s="9"/>
      <c r="G35" s="10">
        <f t="shared" si="9"/>
        <v>1.0603827121707283</v>
      </c>
      <c r="H35" s="11">
        <f t="shared" si="10"/>
        <v>0.47950484172918095</v>
      </c>
      <c r="I35" s="14"/>
      <c r="J35" s="13">
        <f t="shared" si="11"/>
        <v>0.46564827852003043</v>
      </c>
      <c r="K35" s="22">
        <f>AVERAGE(J34:J37)</f>
        <v>0.32513464154664851</v>
      </c>
      <c r="L35" s="17">
        <f>STDEVA(J34:J37)</f>
        <v>0.11206352351705159</v>
      </c>
      <c r="M35" s="18">
        <f>L35/SQRT(4)</f>
        <v>5.6031761758525797E-2</v>
      </c>
    </row>
    <row r="36" spans="1:13" ht="15.5" x14ac:dyDescent="0.35">
      <c r="A36" s="157"/>
      <c r="B36" s="9" t="s">
        <v>0</v>
      </c>
      <c r="C36" s="15">
        <v>25.103209704174201</v>
      </c>
      <c r="D36" s="15">
        <v>17.1063594589235</v>
      </c>
      <c r="E36" s="16">
        <f t="shared" si="8"/>
        <v>7.9968502452507018</v>
      </c>
      <c r="F36" s="9"/>
      <c r="G36" s="10">
        <f t="shared" si="9"/>
        <v>1.7958580874000276</v>
      </c>
      <c r="H36" s="11">
        <f t="shared" si="10"/>
        <v>0.28800023871727576</v>
      </c>
      <c r="I36" s="14"/>
      <c r="J36" s="13">
        <f t="shared" si="11"/>
        <v>0.27967770854710017</v>
      </c>
      <c r="K36" s="17"/>
      <c r="L36" s="17"/>
      <c r="M36" s="18"/>
    </row>
    <row r="37" spans="1:13" ht="15.5" x14ac:dyDescent="0.35">
      <c r="A37" s="158"/>
      <c r="B37" s="19" t="s">
        <v>10</v>
      </c>
      <c r="C37" s="20">
        <v>25.787250638599101</v>
      </c>
      <c r="D37" s="20">
        <v>17.323029126983499</v>
      </c>
      <c r="E37" s="21">
        <f t="shared" si="8"/>
        <v>8.4642215116156017</v>
      </c>
      <c r="F37" s="21"/>
      <c r="G37" s="10">
        <f t="shared" si="9"/>
        <v>2.2632293537649275</v>
      </c>
      <c r="H37" s="11">
        <f t="shared" si="10"/>
        <v>0.20830518365010475</v>
      </c>
      <c r="I37" s="22"/>
      <c r="J37" s="13">
        <f t="shared" si="11"/>
        <v>0.20228565330786144</v>
      </c>
      <c r="K37" s="30"/>
      <c r="L37" s="22"/>
      <c r="M37" s="23"/>
    </row>
    <row r="40" spans="1:13" ht="15.5" x14ac:dyDescent="0.35">
      <c r="A40" s="25" t="s">
        <v>90</v>
      </c>
    </row>
    <row r="41" spans="1:13" ht="15.5" x14ac:dyDescent="0.35">
      <c r="A41" s="26" t="s">
        <v>8</v>
      </c>
      <c r="B41" s="27" t="s">
        <v>9</v>
      </c>
      <c r="C41" s="26" t="s">
        <v>7</v>
      </c>
      <c r="D41" s="26" t="s">
        <v>6</v>
      </c>
      <c r="E41" s="26" t="s">
        <v>5</v>
      </c>
      <c r="F41" s="28" t="s">
        <v>12</v>
      </c>
      <c r="G41" s="28" t="s">
        <v>13</v>
      </c>
      <c r="H41" s="26" t="s">
        <v>4</v>
      </c>
      <c r="I41" s="26" t="s">
        <v>3</v>
      </c>
      <c r="J41" s="26" t="s">
        <v>14</v>
      </c>
      <c r="K41" s="28" t="s">
        <v>3</v>
      </c>
      <c r="L41" s="28" t="s">
        <v>15</v>
      </c>
      <c r="M41" s="28" t="s">
        <v>16</v>
      </c>
    </row>
    <row r="42" spans="1:13" ht="15.5" x14ac:dyDescent="0.35">
      <c r="A42" s="155" t="s">
        <v>11</v>
      </c>
      <c r="B42" s="9" t="s">
        <v>2</v>
      </c>
      <c r="C42" s="15">
        <v>23.560621039425701</v>
      </c>
      <c r="D42" s="15">
        <v>17.688852068184602</v>
      </c>
      <c r="E42" s="16">
        <f t="shared" ref="E42:E49" si="12">C42-D42</f>
        <v>5.8717689712410994</v>
      </c>
      <c r="F42" s="10"/>
      <c r="G42" s="10">
        <f t="shared" ref="G42:G49" si="13">E42-$F$45</f>
        <v>-0.19828834607285017</v>
      </c>
      <c r="H42" s="11">
        <f t="shared" ref="H42:H49" si="14">2^-G42</f>
        <v>1.1473363151384266</v>
      </c>
      <c r="I42" s="12"/>
      <c r="J42" s="13">
        <f t="shared" ref="J42:J49" si="15">H42/$I$45</f>
        <v>1.1340680259519074</v>
      </c>
      <c r="K42" s="17"/>
      <c r="M42" s="29"/>
    </row>
    <row r="43" spans="1:13" ht="15.5" x14ac:dyDescent="0.35">
      <c r="A43" s="155"/>
      <c r="B43" s="9" t="s">
        <v>1</v>
      </c>
      <c r="C43" s="15">
        <v>23.2347898486709</v>
      </c>
      <c r="D43" s="15">
        <v>16.995110629938701</v>
      </c>
      <c r="E43" s="16">
        <f t="shared" si="12"/>
        <v>6.2396792187321992</v>
      </c>
      <c r="F43" s="9"/>
      <c r="G43" s="10">
        <f t="shared" si="13"/>
        <v>0.16962190141824962</v>
      </c>
      <c r="H43" s="11">
        <f t="shared" si="14"/>
        <v>0.88907565777615238</v>
      </c>
      <c r="I43" s="14"/>
      <c r="J43" s="13">
        <f t="shared" si="15"/>
        <v>0.87879400558714671</v>
      </c>
      <c r="K43" s="17">
        <f>AVERAGE(J42:J45)</f>
        <v>1</v>
      </c>
      <c r="L43" s="17">
        <f>STDEVA(J42:J45)</f>
        <v>0.17468051212188684</v>
      </c>
      <c r="M43" s="18">
        <f>L43/SQRT(4)</f>
        <v>8.7340256060943422E-2</v>
      </c>
    </row>
    <row r="44" spans="1:13" ht="15.5" x14ac:dyDescent="0.35">
      <c r="A44" s="155"/>
      <c r="B44" s="9" t="s">
        <v>0</v>
      </c>
      <c r="C44" s="15">
        <v>23.996293973343299</v>
      </c>
      <c r="D44" s="15">
        <v>17.660432342700599</v>
      </c>
      <c r="E44" s="16">
        <f t="shared" si="12"/>
        <v>6.3358616306427002</v>
      </c>
      <c r="F44" s="10"/>
      <c r="G44" s="10">
        <f t="shared" si="13"/>
        <v>0.26580431332875065</v>
      </c>
      <c r="H44" s="11">
        <f t="shared" si="14"/>
        <v>0.83173490696776575</v>
      </c>
      <c r="I44" s="14"/>
      <c r="J44" s="13">
        <f t="shared" si="15"/>
        <v>0.82211636781184316</v>
      </c>
      <c r="K44" s="17"/>
      <c r="L44" s="17"/>
      <c r="M44" s="18"/>
    </row>
    <row r="45" spans="1:13" ht="15.5" x14ac:dyDescent="0.35">
      <c r="A45" s="155"/>
      <c r="B45" s="9" t="s">
        <v>10</v>
      </c>
      <c r="C45" s="15">
        <v>23.103826826195</v>
      </c>
      <c r="D45" s="15">
        <v>17.270907377555201</v>
      </c>
      <c r="E45" s="16">
        <f t="shared" si="12"/>
        <v>5.8329194486397995</v>
      </c>
      <c r="F45" s="10">
        <f>AVERAGE(E42:E45)</f>
        <v>6.0700573173139496</v>
      </c>
      <c r="G45" s="10">
        <f t="shared" si="13"/>
        <v>-0.2371378686741501</v>
      </c>
      <c r="H45" s="11">
        <f t="shared" si="14"/>
        <v>1.1786520382879553</v>
      </c>
      <c r="I45" s="12">
        <f>AVERAGE(H42:H45)</f>
        <v>1.0116997295425749</v>
      </c>
      <c r="J45" s="13">
        <f t="shared" si="15"/>
        <v>1.165021600649103</v>
      </c>
      <c r="L45" s="17"/>
      <c r="M45" s="18"/>
    </row>
    <row r="46" spans="1:13" ht="15.5" x14ac:dyDescent="0.35">
      <c r="A46" s="156" t="s">
        <v>91</v>
      </c>
      <c r="B46" s="9" t="s">
        <v>2</v>
      </c>
      <c r="C46" s="15">
        <v>24.76</v>
      </c>
      <c r="D46" s="15">
        <v>17.1369207265924</v>
      </c>
      <c r="E46" s="16">
        <f t="shared" si="12"/>
        <v>7.6230792734076012</v>
      </c>
      <c r="F46" s="9"/>
      <c r="G46" s="10">
        <f t="shared" si="13"/>
        <v>1.5530219560936516</v>
      </c>
      <c r="H46" s="11">
        <f t="shared" si="14"/>
        <v>0.34079546528163041</v>
      </c>
      <c r="I46" s="12"/>
      <c r="J46" s="13">
        <f t="shared" si="15"/>
        <v>0.33685436037006361</v>
      </c>
      <c r="K46" s="17"/>
      <c r="M46" s="29"/>
    </row>
    <row r="47" spans="1:13" ht="15.5" x14ac:dyDescent="0.35">
      <c r="A47" s="157"/>
      <c r="B47" s="9" t="s">
        <v>1</v>
      </c>
      <c r="C47" s="15">
        <v>24.378498644814499</v>
      </c>
      <c r="D47" s="15">
        <v>16.621849459880199</v>
      </c>
      <c r="E47" s="16">
        <f t="shared" si="12"/>
        <v>7.7566491849343002</v>
      </c>
      <c r="F47" s="9"/>
      <c r="G47" s="10">
        <f t="shared" si="13"/>
        <v>1.6865918676203506</v>
      </c>
      <c r="H47" s="11">
        <f t="shared" si="14"/>
        <v>0.31065994241171768</v>
      </c>
      <c r="I47" s="14"/>
      <c r="J47" s="13">
        <f t="shared" si="15"/>
        <v>0.3070673376103184</v>
      </c>
      <c r="K47" s="22">
        <f>AVERAGE(J46:J49)</f>
        <v>0.27844756919170532</v>
      </c>
      <c r="L47" s="17">
        <f>STDEVA(J46:J49)</f>
        <v>7.7037477262159093E-2</v>
      </c>
      <c r="M47" s="18">
        <f>L47/SQRT(4)</f>
        <v>3.8518738631079547E-2</v>
      </c>
    </row>
    <row r="48" spans="1:13" ht="15.5" x14ac:dyDescent="0.35">
      <c r="A48" s="157"/>
      <c r="B48" s="9" t="s">
        <v>0</v>
      </c>
      <c r="C48" s="15">
        <v>24.32</v>
      </c>
      <c r="D48" s="15">
        <v>16.553075459679398</v>
      </c>
      <c r="E48" s="16">
        <f t="shared" si="12"/>
        <v>7.766924540320602</v>
      </c>
      <c r="F48" s="9"/>
      <c r="G48" s="10">
        <f t="shared" si="13"/>
        <v>1.6968672230066524</v>
      </c>
      <c r="H48" s="11">
        <f t="shared" si="14"/>
        <v>0.30845517950962059</v>
      </c>
      <c r="I48" s="14"/>
      <c r="J48" s="13">
        <f t="shared" si="15"/>
        <v>0.30488807153193964</v>
      </c>
      <c r="K48" s="17"/>
      <c r="L48" s="17"/>
      <c r="M48" s="18"/>
    </row>
    <row r="49" spans="1:13" ht="15.5" x14ac:dyDescent="0.35">
      <c r="A49" s="158"/>
      <c r="B49" s="19" t="s">
        <v>10</v>
      </c>
      <c r="C49" s="20">
        <v>25.301141444575698</v>
      </c>
      <c r="D49" s="20">
        <v>16.6482327744428</v>
      </c>
      <c r="E49" s="21">
        <f t="shared" si="12"/>
        <v>8.6529086701328985</v>
      </c>
      <c r="F49" s="21"/>
      <c r="G49" s="10">
        <f t="shared" si="13"/>
        <v>2.582851352818949</v>
      </c>
      <c r="H49" s="11">
        <f t="shared" si="14"/>
        <v>0.16691073456917421</v>
      </c>
      <c r="I49" s="22"/>
      <c r="J49" s="13">
        <f t="shared" si="15"/>
        <v>0.16498050725449975</v>
      </c>
      <c r="K49" s="30"/>
      <c r="L49" s="22"/>
      <c r="M49" s="23"/>
    </row>
    <row r="52" spans="1:13" ht="15.5" x14ac:dyDescent="0.35">
      <c r="A52" s="25" t="s">
        <v>92</v>
      </c>
    </row>
    <row r="53" spans="1:13" ht="15.5" x14ac:dyDescent="0.35">
      <c r="A53" s="26" t="s">
        <v>8</v>
      </c>
      <c r="B53" s="27" t="s">
        <v>9</v>
      </c>
      <c r="C53" s="26" t="s">
        <v>7</v>
      </c>
      <c r="D53" s="26" t="s">
        <v>6</v>
      </c>
      <c r="E53" s="26" t="s">
        <v>5</v>
      </c>
      <c r="F53" s="28" t="s">
        <v>12</v>
      </c>
      <c r="G53" s="28" t="s">
        <v>13</v>
      </c>
      <c r="H53" s="26" t="s">
        <v>4</v>
      </c>
      <c r="I53" s="26" t="s">
        <v>3</v>
      </c>
      <c r="J53" s="26" t="s">
        <v>14</v>
      </c>
      <c r="K53" s="28" t="s">
        <v>3</v>
      </c>
      <c r="L53" s="28" t="s">
        <v>15</v>
      </c>
      <c r="M53" s="28" t="s">
        <v>16</v>
      </c>
    </row>
    <row r="54" spans="1:13" ht="15.5" x14ac:dyDescent="0.35">
      <c r="A54" s="155" t="s">
        <v>11</v>
      </c>
      <c r="B54" s="9" t="s">
        <v>2</v>
      </c>
      <c r="C54" s="15">
        <v>24.013280723758101</v>
      </c>
      <c r="D54" s="15">
        <v>17.688852068184602</v>
      </c>
      <c r="E54" s="41">
        <f t="shared" ref="E54:E61" si="16">C54-D54</f>
        <v>6.3244286555734988</v>
      </c>
      <c r="F54" s="10"/>
      <c r="G54" s="10">
        <f t="shared" ref="G54:G61" si="17">E54-$F$57</f>
        <v>0.23822477661427399</v>
      </c>
      <c r="H54" s="11">
        <f t="shared" ref="H54:H61" si="18">2^-G54</f>
        <v>0.84778786621544966</v>
      </c>
      <c r="I54" s="12"/>
      <c r="J54" s="13">
        <f t="shared" ref="J54:J61" si="19">H54/$I$57</f>
        <v>0.81697323795749333</v>
      </c>
      <c r="K54" s="17"/>
      <c r="M54" s="29"/>
    </row>
    <row r="55" spans="1:13" ht="15.5" x14ac:dyDescent="0.35">
      <c r="A55" s="155"/>
      <c r="B55" s="9" t="s">
        <v>1</v>
      </c>
      <c r="C55" s="15">
        <v>23.534624646461701</v>
      </c>
      <c r="D55" s="15">
        <v>16.995110629938701</v>
      </c>
      <c r="E55" s="41">
        <f t="shared" si="16"/>
        <v>6.5395140165230004</v>
      </c>
      <c r="F55" s="9"/>
      <c r="G55" s="10">
        <f t="shared" si="17"/>
        <v>0.45331013756377558</v>
      </c>
      <c r="H55" s="11">
        <f t="shared" si="18"/>
        <v>0.73036516508184668</v>
      </c>
      <c r="I55" s="14"/>
      <c r="J55" s="13">
        <f t="shared" si="19"/>
        <v>0.70381851119421179</v>
      </c>
      <c r="K55" s="17">
        <f>AVERAGE(J54:J57)</f>
        <v>1</v>
      </c>
      <c r="L55" s="17">
        <f>STDEVA(J54:J57)</f>
        <v>0.32135796315620418</v>
      </c>
      <c r="M55" s="18">
        <f>L55/SQRT(4)</f>
        <v>0.16067898157810209</v>
      </c>
    </row>
    <row r="56" spans="1:13" ht="15.5" x14ac:dyDescent="0.35">
      <c r="A56" s="155"/>
      <c r="B56" s="9" t="s">
        <v>0</v>
      </c>
      <c r="C56" s="15">
        <v>23.175533650601299</v>
      </c>
      <c r="D56" s="15">
        <v>17.660432342700599</v>
      </c>
      <c r="E56" s="41">
        <f t="shared" si="16"/>
        <v>5.5151013079007001</v>
      </c>
      <c r="F56" s="10"/>
      <c r="G56" s="10">
        <f t="shared" si="17"/>
        <v>-0.57110257105852469</v>
      </c>
      <c r="H56" s="11">
        <f t="shared" si="18"/>
        <v>1.4856585425338216</v>
      </c>
      <c r="I56" s="14"/>
      <c r="J56" s="13">
        <f t="shared" si="19"/>
        <v>1.43165916659229</v>
      </c>
      <c r="K56" s="17"/>
      <c r="L56" s="17"/>
      <c r="M56" s="18"/>
    </row>
    <row r="57" spans="1:13" ht="15.5" x14ac:dyDescent="0.35">
      <c r="A57" s="155"/>
      <c r="B57" s="9" t="s">
        <v>10</v>
      </c>
      <c r="C57" s="15">
        <v>23.236678913394901</v>
      </c>
      <c r="D57" s="15">
        <v>17.270907377555201</v>
      </c>
      <c r="E57" s="41">
        <f t="shared" si="16"/>
        <v>5.9657715358396999</v>
      </c>
      <c r="F57" s="10">
        <f>AVERAGE(E54:E57)</f>
        <v>6.0862038789592248</v>
      </c>
      <c r="G57" s="10">
        <f t="shared" si="17"/>
        <v>-0.12043234311952489</v>
      </c>
      <c r="H57" s="11">
        <f t="shared" si="18"/>
        <v>1.0870605812225564</v>
      </c>
      <c r="I57" s="12">
        <f>AVERAGE(H54:H57)</f>
        <v>1.0377180387634186</v>
      </c>
      <c r="J57" s="13">
        <f t="shared" si="19"/>
        <v>1.0475490842560047</v>
      </c>
      <c r="L57" s="17"/>
      <c r="M57" s="18"/>
    </row>
    <row r="58" spans="1:13" ht="15.5" x14ac:dyDescent="0.35">
      <c r="A58" s="156" t="s">
        <v>93</v>
      </c>
      <c r="B58" s="9" t="s">
        <v>2</v>
      </c>
      <c r="C58" s="15">
        <v>25.070266260175099</v>
      </c>
      <c r="D58" s="15">
        <v>17.230729983953498</v>
      </c>
      <c r="E58" s="41">
        <f t="shared" si="16"/>
        <v>7.839536276221601</v>
      </c>
      <c r="F58" s="9"/>
      <c r="G58" s="10">
        <f t="shared" si="17"/>
        <v>1.7533323972623762</v>
      </c>
      <c r="H58" s="11">
        <f t="shared" si="18"/>
        <v>0.29661585118178868</v>
      </c>
      <c r="I58" s="12"/>
      <c r="J58" s="13">
        <f t="shared" si="19"/>
        <v>0.28583472590998477</v>
      </c>
      <c r="K58" s="17"/>
      <c r="M58" s="29"/>
    </row>
    <row r="59" spans="1:13" ht="15.5" x14ac:dyDescent="0.35">
      <c r="A59" s="157"/>
      <c r="B59" s="9" t="s">
        <v>1</v>
      </c>
      <c r="C59" s="15">
        <v>25.3732640227866</v>
      </c>
      <c r="D59" s="15">
        <v>17.465907950800201</v>
      </c>
      <c r="E59" s="41">
        <f t="shared" si="16"/>
        <v>7.9073560719863991</v>
      </c>
      <c r="F59" s="9"/>
      <c r="G59" s="10">
        <f t="shared" si="17"/>
        <v>1.8211521930271743</v>
      </c>
      <c r="H59" s="11">
        <f t="shared" si="18"/>
        <v>0.28299487021064235</v>
      </c>
      <c r="I59" s="14"/>
      <c r="J59" s="13">
        <f t="shared" si="19"/>
        <v>0.2727088280626489</v>
      </c>
      <c r="K59" s="22">
        <f>AVERAGE(J58:J61)</f>
        <v>0.25338723403704877</v>
      </c>
      <c r="L59" s="17">
        <f>STDEVA(J58:J61)</f>
        <v>6.008098463097962E-2</v>
      </c>
      <c r="M59" s="18">
        <f>L59/SQRT(4)</f>
        <v>3.004049231548981E-2</v>
      </c>
    </row>
    <row r="60" spans="1:13" ht="15.5" x14ac:dyDescent="0.35">
      <c r="A60" s="157"/>
      <c r="B60" s="9" t="s">
        <v>0</v>
      </c>
      <c r="C60" s="15">
        <v>26.087371037881201</v>
      </c>
      <c r="D60" s="15">
        <v>18.273656607795601</v>
      </c>
      <c r="E60" s="41">
        <f t="shared" si="16"/>
        <v>7.8137144300856001</v>
      </c>
      <c r="F60" s="9"/>
      <c r="G60" s="10">
        <f t="shared" si="17"/>
        <v>1.7275105511263753</v>
      </c>
      <c r="H60" s="11">
        <f t="shared" si="18"/>
        <v>0.30197257774442737</v>
      </c>
      <c r="I60" s="14"/>
      <c r="J60" s="13">
        <f t="shared" si="19"/>
        <v>0.29099675100981048</v>
      </c>
      <c r="K60" s="17"/>
      <c r="L60" s="17"/>
      <c r="M60" s="18"/>
    </row>
    <row r="61" spans="1:13" ht="15.5" x14ac:dyDescent="0.35">
      <c r="A61" s="158"/>
      <c r="B61" s="19" t="s">
        <v>10</v>
      </c>
      <c r="C61" s="20">
        <v>26.081380228502798</v>
      </c>
      <c r="D61" s="20">
        <v>17.440434493469201</v>
      </c>
      <c r="E61" s="42">
        <f t="shared" si="16"/>
        <v>8.640945735033597</v>
      </c>
      <c r="F61" s="21"/>
      <c r="G61" s="10">
        <f t="shared" si="17"/>
        <v>2.5547418560743722</v>
      </c>
      <c r="H61" s="11">
        <f t="shared" si="18"/>
        <v>0.17019471507359604</v>
      </c>
      <c r="I61" s="22"/>
      <c r="J61" s="13">
        <f t="shared" si="19"/>
        <v>0.16400863116575101</v>
      </c>
      <c r="K61" s="30"/>
      <c r="L61" s="22"/>
      <c r="M61" s="23"/>
    </row>
    <row r="64" spans="1:13" ht="23.5" x14ac:dyDescent="0.55000000000000004">
      <c r="A64" s="193" t="s">
        <v>128</v>
      </c>
      <c r="B64" s="193"/>
      <c r="C64" s="193"/>
      <c r="D64" s="193"/>
      <c r="E64" s="193"/>
      <c r="F64" s="193"/>
      <c r="G64" s="193"/>
      <c r="H64" s="43"/>
      <c r="I64" s="43"/>
      <c r="J64" s="43"/>
      <c r="K64" s="43"/>
      <c r="L64" s="43"/>
      <c r="M64" s="43"/>
    </row>
    <row r="66" spans="1:7" x14ac:dyDescent="0.35">
      <c r="A66" s="38" t="s">
        <v>94</v>
      </c>
      <c r="B66" s="38" t="s">
        <v>95</v>
      </c>
      <c r="C66" s="38" t="s">
        <v>96</v>
      </c>
      <c r="D66" s="38" t="s">
        <v>97</v>
      </c>
      <c r="E66" s="38" t="s">
        <v>98</v>
      </c>
      <c r="F66" s="39" t="s">
        <v>99</v>
      </c>
      <c r="G66" s="38" t="s">
        <v>100</v>
      </c>
    </row>
    <row r="67" spans="1:7" x14ac:dyDescent="0.35">
      <c r="A67" s="37" t="s">
        <v>11</v>
      </c>
      <c r="B67" s="40">
        <v>10</v>
      </c>
      <c r="C67" s="40">
        <v>1</v>
      </c>
      <c r="D67" s="40">
        <v>9</v>
      </c>
      <c r="E67" s="40">
        <v>0</v>
      </c>
      <c r="F67" s="40">
        <v>10</v>
      </c>
      <c r="G67" s="37">
        <f>(E67/D67)*100</f>
        <v>0</v>
      </c>
    </row>
    <row r="68" spans="1:7" x14ac:dyDescent="0.35">
      <c r="A68" s="37" t="s">
        <v>85</v>
      </c>
      <c r="B68" s="40">
        <v>10</v>
      </c>
      <c r="C68" s="40">
        <v>6</v>
      </c>
      <c r="D68" s="40">
        <v>4</v>
      </c>
      <c r="E68" s="40">
        <v>4</v>
      </c>
      <c r="F68" s="40">
        <v>60</v>
      </c>
      <c r="G68" s="37">
        <f>(E68/10)*100</f>
        <v>40</v>
      </c>
    </row>
    <row r="69" spans="1:7" x14ac:dyDescent="0.35">
      <c r="A69" s="37" t="s">
        <v>87</v>
      </c>
      <c r="B69" s="40">
        <v>10</v>
      </c>
      <c r="C69" s="40">
        <v>7</v>
      </c>
      <c r="D69" s="40">
        <v>3</v>
      </c>
      <c r="E69" s="40">
        <v>3</v>
      </c>
      <c r="F69" s="40">
        <v>70</v>
      </c>
      <c r="G69" s="37">
        <f>(E69/10)*100</f>
        <v>30</v>
      </c>
    </row>
    <row r="70" spans="1:7" x14ac:dyDescent="0.35">
      <c r="A70" s="37" t="s">
        <v>89</v>
      </c>
      <c r="B70" s="40">
        <v>10</v>
      </c>
      <c r="C70" s="40">
        <v>8</v>
      </c>
      <c r="D70" s="40">
        <v>2</v>
      </c>
      <c r="E70" s="40">
        <v>2</v>
      </c>
      <c r="F70" s="40">
        <v>80</v>
      </c>
      <c r="G70" s="37">
        <f>(E70/10)*100</f>
        <v>20</v>
      </c>
    </row>
    <row r="71" spans="1:7" x14ac:dyDescent="0.35">
      <c r="A71" s="37" t="s">
        <v>91</v>
      </c>
      <c r="B71" s="40">
        <v>10</v>
      </c>
      <c r="C71" s="40">
        <v>8</v>
      </c>
      <c r="D71" s="40">
        <v>2</v>
      </c>
      <c r="E71" s="40">
        <v>2</v>
      </c>
      <c r="F71" s="40">
        <v>80</v>
      </c>
      <c r="G71" s="37">
        <f>(E71/10)*100</f>
        <v>20</v>
      </c>
    </row>
    <row r="72" spans="1:7" x14ac:dyDescent="0.35">
      <c r="A72" s="37" t="s">
        <v>93</v>
      </c>
      <c r="B72" s="40">
        <v>10</v>
      </c>
      <c r="C72" s="40">
        <v>10</v>
      </c>
      <c r="D72" s="40">
        <v>0</v>
      </c>
      <c r="E72" s="40">
        <v>0</v>
      </c>
      <c r="F72" s="40">
        <v>100</v>
      </c>
      <c r="G72" s="37">
        <f>(E72/10)*100</f>
        <v>0</v>
      </c>
    </row>
  </sheetData>
  <mergeCells count="12">
    <mergeCell ref="A1:M1"/>
    <mergeCell ref="A5:A8"/>
    <mergeCell ref="A9:A12"/>
    <mergeCell ref="A18:A21"/>
    <mergeCell ref="A22:A25"/>
    <mergeCell ref="A58:A61"/>
    <mergeCell ref="A64:G64"/>
    <mergeCell ref="A30:A33"/>
    <mergeCell ref="A34:A37"/>
    <mergeCell ref="A42:A45"/>
    <mergeCell ref="A46:A49"/>
    <mergeCell ref="A54:A5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1EFA6-7180-4C9A-AB57-AEF325007181}">
  <dimension ref="A1:M58"/>
  <sheetViews>
    <sheetView zoomScale="40" zoomScaleNormal="40" workbookViewId="0">
      <selection activeCell="R21" sqref="R21"/>
    </sheetView>
  </sheetViews>
  <sheetFormatPr defaultRowHeight="14.5" x14ac:dyDescent="0.35"/>
  <cols>
    <col min="1" max="1" width="11.81640625" bestFit="1" customWidth="1"/>
    <col min="2" max="2" width="12" bestFit="1" customWidth="1"/>
    <col min="3" max="3" width="14" bestFit="1" customWidth="1"/>
    <col min="4" max="4" width="18.08984375" bestFit="1" customWidth="1"/>
    <col min="5" max="5" width="22.36328125" bestFit="1" customWidth="1"/>
    <col min="6" max="6" width="23.54296875" bestFit="1" customWidth="1"/>
    <col min="7" max="7" width="23.08984375" bestFit="1" customWidth="1"/>
    <col min="8" max="8" width="26.7265625" bestFit="1" customWidth="1"/>
    <col min="9" max="9" width="26.453125" bestFit="1" customWidth="1"/>
    <col min="10" max="13" width="14.08984375" bestFit="1" customWidth="1"/>
  </cols>
  <sheetData>
    <row r="1" spans="1:13" ht="23.5" x14ac:dyDescent="0.55000000000000004">
      <c r="A1" s="193" t="s">
        <v>126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</row>
    <row r="2" spans="1:13" ht="15.5" x14ac:dyDescent="0.35">
      <c r="A2" s="194" t="s">
        <v>47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</row>
    <row r="3" spans="1:13" ht="15.5" x14ac:dyDescent="0.35">
      <c r="A3" s="26" t="s">
        <v>8</v>
      </c>
      <c r="B3" s="27" t="s">
        <v>9</v>
      </c>
      <c r="C3" s="26" t="s">
        <v>7</v>
      </c>
      <c r="D3" s="26" t="s">
        <v>6</v>
      </c>
      <c r="E3" s="26" t="s">
        <v>5</v>
      </c>
      <c r="F3" s="28" t="s">
        <v>12</v>
      </c>
      <c r="G3" s="28" t="s">
        <v>13</v>
      </c>
      <c r="H3" s="26" t="s">
        <v>4</v>
      </c>
      <c r="I3" s="26" t="s">
        <v>3</v>
      </c>
      <c r="J3" s="26" t="s">
        <v>14</v>
      </c>
      <c r="K3" s="28" t="s">
        <v>3</v>
      </c>
      <c r="L3" s="28" t="s">
        <v>15</v>
      </c>
      <c r="M3" s="28" t="s">
        <v>16</v>
      </c>
    </row>
    <row r="4" spans="1:13" ht="15.5" x14ac:dyDescent="0.35">
      <c r="A4" s="155" t="s">
        <v>11</v>
      </c>
      <c r="B4" s="9" t="s">
        <v>2</v>
      </c>
      <c r="C4" s="15">
        <v>23.773735877019998</v>
      </c>
      <c r="D4" s="15">
        <v>17.9658780204539</v>
      </c>
      <c r="E4" s="16">
        <f t="shared" ref="E4:E11" si="0">C4-D4</f>
        <v>5.8078578565660983</v>
      </c>
      <c r="F4" s="10"/>
      <c r="G4" s="10">
        <f>E4-$F$8</f>
        <v>5.8078578565660983</v>
      </c>
      <c r="H4" s="11">
        <f>2^-G4</f>
        <v>1.785091880571452E-2</v>
      </c>
      <c r="I4" s="12"/>
      <c r="J4" s="13">
        <v>1.1034485405685359</v>
      </c>
      <c r="K4" s="17"/>
      <c r="L4" s="17">
        <v>0.15867951614768341</v>
      </c>
      <c r="M4" s="18">
        <v>7.9339758073841707E-2</v>
      </c>
    </row>
    <row r="5" spans="1:13" ht="15.5" x14ac:dyDescent="0.35">
      <c r="A5" s="155"/>
      <c r="B5" s="9" t="s">
        <v>1</v>
      </c>
      <c r="C5" s="15">
        <v>23.4127725354262</v>
      </c>
      <c r="D5" s="15">
        <v>17.1183508110513</v>
      </c>
      <c r="E5" s="16">
        <f t="shared" si="0"/>
        <v>6.2944217243748994</v>
      </c>
      <c r="F5" s="9"/>
      <c r="G5" s="10">
        <f t="shared" ref="G5:G11" si="1">E5-$F$8</f>
        <v>6.2944217243748994</v>
      </c>
      <c r="H5" s="11">
        <f t="shared" ref="H5:H11" si="2">2^-G5</f>
        <v>1.2740610991065276E-2</v>
      </c>
      <c r="I5" s="14"/>
      <c r="J5" s="13">
        <v>0.7875565822159204</v>
      </c>
      <c r="K5" s="17"/>
      <c r="L5" s="17"/>
      <c r="M5" s="18"/>
    </row>
    <row r="6" spans="1:13" ht="15.5" x14ac:dyDescent="0.35">
      <c r="A6" s="155"/>
      <c r="B6" s="9" t="s">
        <v>0</v>
      </c>
      <c r="C6" s="15">
        <v>23.802075854210599</v>
      </c>
      <c r="D6" s="15">
        <v>17.810544191629401</v>
      </c>
      <c r="E6" s="16">
        <f t="shared" si="0"/>
        <v>5.991531662581199</v>
      </c>
      <c r="F6" s="10"/>
      <c r="G6" s="10">
        <f t="shared" si="1"/>
        <v>5.991531662581199</v>
      </c>
      <c r="H6" s="11">
        <f t="shared" si="2"/>
        <v>1.5716985394735348E-2</v>
      </c>
      <c r="I6" s="14"/>
      <c r="J6" s="13">
        <v>0.97154016466680881</v>
      </c>
      <c r="K6" s="17"/>
      <c r="L6" s="17"/>
      <c r="M6" s="18"/>
    </row>
    <row r="7" spans="1:13" ht="15.5" x14ac:dyDescent="0.35">
      <c r="A7" s="155"/>
      <c r="B7" s="9" t="s">
        <v>10</v>
      </c>
      <c r="C7" s="15">
        <v>23.253747749071401</v>
      </c>
      <c r="D7" s="15">
        <v>17.489679647487002</v>
      </c>
      <c r="E7" s="16">
        <f t="shared" si="0"/>
        <v>5.7640681015843995</v>
      </c>
      <c r="F7" s="10">
        <f>AVERAGE(E4:E7)</f>
        <v>5.9644698362766491</v>
      </c>
      <c r="G7" s="10">
        <f t="shared" si="1"/>
        <v>5.7640681015843995</v>
      </c>
      <c r="H7" s="11">
        <f t="shared" si="2"/>
        <v>1.8401049956007144E-2</v>
      </c>
      <c r="I7" s="12">
        <f>AVERAGE(H4:H7)</f>
        <v>1.6177391286880574E-2</v>
      </c>
      <c r="J7" s="13">
        <v>1.1374547125487349</v>
      </c>
      <c r="K7" s="17">
        <v>1</v>
      </c>
      <c r="L7" s="17"/>
      <c r="M7" s="18"/>
    </row>
    <row r="8" spans="1:13" ht="15.5" x14ac:dyDescent="0.35">
      <c r="A8" s="156" t="s">
        <v>48</v>
      </c>
      <c r="B8" s="9" t="s">
        <v>2</v>
      </c>
      <c r="C8" s="15">
        <v>25.080976677067699</v>
      </c>
      <c r="D8" s="15">
        <v>17.235570151092901</v>
      </c>
      <c r="E8" s="16">
        <f t="shared" si="0"/>
        <v>7.8454065259747985</v>
      </c>
      <c r="F8" s="9"/>
      <c r="G8" s="10">
        <f t="shared" si="1"/>
        <v>7.8454065259747985</v>
      </c>
      <c r="H8" s="11">
        <f t="shared" si="2"/>
        <v>4.3480778120570523E-3</v>
      </c>
      <c r="I8" s="12"/>
      <c r="J8" s="13">
        <v>0.26877496717182253</v>
      </c>
      <c r="K8" s="17"/>
      <c r="L8" s="17">
        <v>5.8357266241687425E-2</v>
      </c>
      <c r="M8" s="18">
        <v>2.9178633120843712E-2</v>
      </c>
    </row>
    <row r="9" spans="1:13" ht="15.5" x14ac:dyDescent="0.35">
      <c r="A9" s="157"/>
      <c r="B9" s="9" t="s">
        <v>1</v>
      </c>
      <c r="C9" s="15">
        <v>25.3731444592736</v>
      </c>
      <c r="D9" s="15">
        <v>17.5277753466798</v>
      </c>
      <c r="E9" s="16">
        <f t="shared" si="0"/>
        <v>7.8453691125938008</v>
      </c>
      <c r="F9" s="9"/>
      <c r="G9" s="10">
        <f t="shared" si="1"/>
        <v>7.8453691125938008</v>
      </c>
      <c r="H9" s="11">
        <f t="shared" si="2"/>
        <v>4.3481905721321481E-3</v>
      </c>
      <c r="I9" s="14"/>
      <c r="J9" s="13">
        <v>0.26878193739792972</v>
      </c>
      <c r="K9" s="17"/>
      <c r="L9" s="17"/>
      <c r="M9" s="18"/>
    </row>
    <row r="10" spans="1:13" ht="15.5" x14ac:dyDescent="0.35">
      <c r="A10" s="157"/>
      <c r="B10" s="9" t="s">
        <v>0</v>
      </c>
      <c r="C10" s="15">
        <v>25.9406578145494</v>
      </c>
      <c r="D10" s="15">
        <v>17.2221802877838</v>
      </c>
      <c r="E10" s="16">
        <f t="shared" si="0"/>
        <v>8.7184775267656001</v>
      </c>
      <c r="F10" s="9"/>
      <c r="G10" s="10">
        <f t="shared" si="1"/>
        <v>8.7184775267656001</v>
      </c>
      <c r="H10" s="11">
        <f t="shared" si="2"/>
        <v>2.3739783167945525E-3</v>
      </c>
      <c r="I10" s="14"/>
      <c r="J10" s="13">
        <v>0.14674667099878985</v>
      </c>
      <c r="K10" s="17"/>
      <c r="L10" s="17"/>
      <c r="M10" s="18"/>
    </row>
    <row r="11" spans="1:13" ht="15.5" x14ac:dyDescent="0.35">
      <c r="A11" s="158"/>
      <c r="B11" s="19" t="s">
        <v>10</v>
      </c>
      <c r="C11" s="20">
        <v>25.396705187521999</v>
      </c>
      <c r="D11" s="20">
        <v>17.433650051500301</v>
      </c>
      <c r="E11" s="21">
        <f t="shared" si="0"/>
        <v>7.9630551360216977</v>
      </c>
      <c r="F11" s="21"/>
      <c r="G11" s="10">
        <f t="shared" si="1"/>
        <v>7.9630551360216977</v>
      </c>
      <c r="H11" s="11">
        <f t="shared" si="2"/>
        <v>4.0075739683273414E-3</v>
      </c>
      <c r="I11" s="22"/>
      <c r="J11" s="13">
        <v>0.24772683662398512</v>
      </c>
      <c r="K11" s="22">
        <v>0.23300760304813178</v>
      </c>
      <c r="L11" s="22"/>
      <c r="M11" s="23"/>
    </row>
    <row r="12" spans="1:13" ht="15.5" x14ac:dyDescent="0.35">
      <c r="A12" s="121"/>
      <c r="B12" s="17"/>
      <c r="C12" s="15"/>
      <c r="D12" s="15"/>
      <c r="E12" s="16"/>
      <c r="F12" s="16"/>
      <c r="G12" s="16"/>
      <c r="H12" s="122"/>
      <c r="I12" s="17"/>
      <c r="J12" s="121"/>
      <c r="L12" s="17"/>
      <c r="M12" s="17"/>
    </row>
    <row r="13" spans="1:13" x14ac:dyDescent="0.35">
      <c r="A13" s="1"/>
      <c r="B13" s="2"/>
      <c r="C13" s="3"/>
      <c r="D13" s="3"/>
      <c r="E13" s="2"/>
      <c r="F13" s="4"/>
      <c r="G13" s="4"/>
      <c r="H13" s="2"/>
      <c r="I13" s="5"/>
      <c r="J13" s="6"/>
      <c r="K13" s="2"/>
      <c r="L13" s="7"/>
      <c r="M13" s="2"/>
    </row>
    <row r="14" spans="1:13" ht="15.5" x14ac:dyDescent="0.35">
      <c r="A14" s="25" t="s">
        <v>232</v>
      </c>
    </row>
    <row r="15" spans="1:13" ht="15.5" x14ac:dyDescent="0.35">
      <c r="A15" s="26" t="s">
        <v>8</v>
      </c>
      <c r="B15" s="27" t="s">
        <v>9</v>
      </c>
      <c r="C15" s="26" t="s">
        <v>7</v>
      </c>
      <c r="D15" s="26" t="s">
        <v>6</v>
      </c>
      <c r="E15" s="26" t="s">
        <v>5</v>
      </c>
      <c r="F15" s="28" t="s">
        <v>12</v>
      </c>
      <c r="G15" s="28" t="s">
        <v>13</v>
      </c>
      <c r="H15" s="26" t="s">
        <v>4</v>
      </c>
      <c r="I15" s="26" t="s">
        <v>3</v>
      </c>
      <c r="J15" s="26" t="s">
        <v>14</v>
      </c>
      <c r="K15" s="28" t="s">
        <v>3</v>
      </c>
      <c r="L15" s="28" t="s">
        <v>15</v>
      </c>
      <c r="M15" s="28" t="s">
        <v>16</v>
      </c>
    </row>
    <row r="16" spans="1:13" ht="15.5" x14ac:dyDescent="0.35">
      <c r="A16" s="155" t="s">
        <v>11</v>
      </c>
      <c r="B16" s="9" t="s">
        <v>2</v>
      </c>
      <c r="C16" s="15">
        <v>25.706408487172698</v>
      </c>
      <c r="D16" s="15">
        <v>17.9658780204539</v>
      </c>
      <c r="E16" s="16">
        <f t="shared" ref="E16:E23" si="3">C16-D16</f>
        <v>7.7405304667187984</v>
      </c>
      <c r="F16" s="10"/>
      <c r="G16" s="10">
        <f>E16-$F$31</f>
        <v>-0.30628742472980086</v>
      </c>
      <c r="H16" s="11">
        <f t="shared" ref="H16:H23" si="4">2^-G16</f>
        <v>1.2365215856614498</v>
      </c>
      <c r="I16" s="12"/>
      <c r="J16" s="13">
        <v>1.2057304367342143</v>
      </c>
      <c r="K16" s="17"/>
      <c r="L16" s="17">
        <v>0.32269538292650418</v>
      </c>
      <c r="M16" s="18">
        <v>0.16134769146325209</v>
      </c>
    </row>
    <row r="17" spans="1:13" ht="15.5" x14ac:dyDescent="0.35">
      <c r="A17" s="155"/>
      <c r="B17" s="9" t="s">
        <v>1</v>
      </c>
      <c r="C17" s="15">
        <v>25.900370026098098</v>
      </c>
      <c r="D17" s="15">
        <v>17.1183508110513</v>
      </c>
      <c r="E17" s="16">
        <f t="shared" si="3"/>
        <v>8.7820192150467982</v>
      </c>
      <c r="F17" s="9"/>
      <c r="G17" s="10">
        <f>E17-$F$31</f>
        <v>0.7352013235981989</v>
      </c>
      <c r="H17" s="11">
        <f t="shared" si="4"/>
        <v>0.60073418832962788</v>
      </c>
      <c r="I17" s="14"/>
      <c r="J17" s="13">
        <v>0.58577505128500851</v>
      </c>
      <c r="K17" s="17"/>
      <c r="L17" s="17"/>
      <c r="M17" s="18"/>
    </row>
    <row r="18" spans="1:13" ht="15.5" x14ac:dyDescent="0.35">
      <c r="A18" s="155"/>
      <c r="B18" s="9" t="s">
        <v>0</v>
      </c>
      <c r="C18" s="15">
        <v>25.121441054018501</v>
      </c>
      <c r="D18" s="15">
        <v>17.489679647487002</v>
      </c>
      <c r="E18" s="16">
        <f t="shared" si="3"/>
        <v>7.6317614065314991</v>
      </c>
      <c r="F18" s="10"/>
      <c r="G18" s="10">
        <f>E18-$F$31</f>
        <v>-0.41505648491710012</v>
      </c>
      <c r="H18" s="11">
        <f t="shared" si="4"/>
        <v>1.3333508799042928</v>
      </c>
      <c r="I18" s="14"/>
      <c r="J18" s="13">
        <v>1.3001485436155722</v>
      </c>
      <c r="K18" s="17"/>
      <c r="L18" s="17"/>
      <c r="M18" s="18"/>
    </row>
    <row r="19" spans="1:13" ht="15.5" x14ac:dyDescent="0.35">
      <c r="A19" s="155"/>
      <c r="B19" s="9" t="s">
        <v>10</v>
      </c>
      <c r="C19" s="15">
        <v>25.596561396974899</v>
      </c>
      <c r="D19" s="15">
        <v>17.4474373251396</v>
      </c>
      <c r="E19" s="16">
        <f t="shared" si="3"/>
        <v>8.1491240718352991</v>
      </c>
      <c r="F19" s="10">
        <f>AVERAGE(E16:E19)</f>
        <v>8.0758587900330987</v>
      </c>
      <c r="G19" s="10">
        <f>E19-$F$31</f>
        <v>0.10230618038669981</v>
      </c>
      <c r="H19" s="11">
        <f t="shared" si="4"/>
        <v>0.9315427088117203</v>
      </c>
      <c r="I19" s="12">
        <f>AVERAGE(H16:H19)</f>
        <v>1.0255373406767727</v>
      </c>
      <c r="J19" s="13">
        <v>0.90834596836520509</v>
      </c>
      <c r="K19" s="17">
        <v>1</v>
      </c>
      <c r="L19" s="17"/>
      <c r="M19" s="18"/>
    </row>
    <row r="20" spans="1:13" ht="15.5" x14ac:dyDescent="0.35">
      <c r="A20" s="156" t="s">
        <v>48</v>
      </c>
      <c r="B20" s="9" t="s">
        <v>2</v>
      </c>
      <c r="C20" s="123">
        <v>25.330362951262401</v>
      </c>
      <c r="D20" s="15">
        <v>17.235570151092901</v>
      </c>
      <c r="E20" s="16">
        <f t="shared" si="3"/>
        <v>8.0947928001695004</v>
      </c>
      <c r="F20" s="9"/>
      <c r="G20" s="10">
        <f t="shared" ref="G20:G23" si="5">E20-$F$31</f>
        <v>4.7974908720901155E-2</v>
      </c>
      <c r="H20" s="11">
        <f t="shared" si="4"/>
        <v>0.96729315258116944</v>
      </c>
      <c r="I20" s="12"/>
      <c r="J20" s="13">
        <v>0.94320617515773064</v>
      </c>
      <c r="K20" s="17"/>
      <c r="L20" s="17">
        <v>0.21124526669408694</v>
      </c>
      <c r="M20" s="18">
        <v>0.10562263334704347</v>
      </c>
    </row>
    <row r="21" spans="1:13" ht="15.5" x14ac:dyDescent="0.35">
      <c r="A21" s="157"/>
      <c r="B21" s="9" t="s">
        <v>1</v>
      </c>
      <c r="C21" s="123">
        <v>25.645351217041899</v>
      </c>
      <c r="D21" s="15">
        <v>17.5277753466798</v>
      </c>
      <c r="E21" s="16">
        <f t="shared" si="3"/>
        <v>8.1175758703620993</v>
      </c>
      <c r="F21" s="9"/>
      <c r="G21" s="10">
        <f t="shared" si="5"/>
        <v>7.0757978913499997E-2</v>
      </c>
      <c r="H21" s="11">
        <f t="shared" si="4"/>
        <v>0.95213762212217146</v>
      </c>
      <c r="I21" s="14"/>
      <c r="J21" s="13">
        <v>0.92842803899645121</v>
      </c>
      <c r="K21" s="17"/>
      <c r="L21" s="17"/>
      <c r="M21" s="18"/>
    </row>
    <row r="22" spans="1:13" ht="15.5" x14ac:dyDescent="0.35">
      <c r="A22" s="157"/>
      <c r="B22" s="9" t="s">
        <v>0</v>
      </c>
      <c r="C22" s="123">
        <v>24.7640441474942</v>
      </c>
      <c r="D22" s="15">
        <v>17.2221802877838</v>
      </c>
      <c r="E22" s="16">
        <f t="shared" si="3"/>
        <v>7.5418638597104</v>
      </c>
      <c r="F22" s="9"/>
      <c r="G22" s="10">
        <f t="shared" si="5"/>
        <v>-0.5049540317381993</v>
      </c>
      <c r="H22" s="11">
        <f t="shared" si="4"/>
        <v>1.4190781397181396</v>
      </c>
      <c r="I22" s="14"/>
      <c r="J22" s="13">
        <v>1.3837410725402366</v>
      </c>
      <c r="K22" s="17"/>
      <c r="L22" s="17"/>
      <c r="M22" s="18"/>
    </row>
    <row r="23" spans="1:13" ht="15.5" x14ac:dyDescent="0.35">
      <c r="A23" s="158"/>
      <c r="B23" s="19" t="s">
        <v>10</v>
      </c>
      <c r="C23" s="124">
        <v>25.330362951262401</v>
      </c>
      <c r="D23" s="20">
        <v>17.433650051500301</v>
      </c>
      <c r="E23" s="21">
        <f t="shared" si="3"/>
        <v>7.8967128997621003</v>
      </c>
      <c r="F23" s="21"/>
      <c r="G23" s="10">
        <f t="shared" si="5"/>
        <v>-0.15010499168649893</v>
      </c>
      <c r="H23" s="11">
        <f t="shared" si="4"/>
        <v>1.1096502235821468</v>
      </c>
      <c r="I23" s="22"/>
      <c r="J23" s="13">
        <v>1.0820183523009179</v>
      </c>
      <c r="K23" s="22">
        <v>1.0843484097488341</v>
      </c>
      <c r="L23" s="22"/>
      <c r="M23" s="23"/>
    </row>
    <row r="26" spans="1:13" ht="15.5" x14ac:dyDescent="0.35">
      <c r="A26" s="25" t="s">
        <v>233</v>
      </c>
    </row>
    <row r="28" spans="1:13" ht="15.5" x14ac:dyDescent="0.35">
      <c r="A28" s="26" t="s">
        <v>8</v>
      </c>
      <c r="B28" s="27" t="s">
        <v>9</v>
      </c>
      <c r="C28" s="26" t="s">
        <v>7</v>
      </c>
      <c r="D28" s="26" t="s">
        <v>6</v>
      </c>
      <c r="E28" s="26" t="s">
        <v>5</v>
      </c>
      <c r="F28" s="28" t="s">
        <v>12</v>
      </c>
      <c r="G28" s="28" t="s">
        <v>13</v>
      </c>
      <c r="H28" s="26" t="s">
        <v>4</v>
      </c>
      <c r="I28" s="26" t="s">
        <v>3</v>
      </c>
      <c r="J28" s="26" t="s">
        <v>14</v>
      </c>
      <c r="K28" s="28" t="s">
        <v>3</v>
      </c>
      <c r="L28" s="28" t="s">
        <v>15</v>
      </c>
      <c r="M28" s="28" t="s">
        <v>16</v>
      </c>
    </row>
    <row r="29" spans="1:13" ht="15.5" x14ac:dyDescent="0.35">
      <c r="A29" s="155" t="s">
        <v>11</v>
      </c>
      <c r="B29" s="9" t="s">
        <v>2</v>
      </c>
      <c r="C29" s="15">
        <v>26.067675428723</v>
      </c>
      <c r="D29" s="15">
        <v>17.9658780204539</v>
      </c>
      <c r="E29" s="16">
        <f t="shared" ref="E29:E34" si="6">C29-D29</f>
        <v>8.1017974082690998</v>
      </c>
      <c r="F29" s="10"/>
      <c r="G29" s="10">
        <f>E29-$F$46</f>
        <v>8.1017974082690998</v>
      </c>
      <c r="H29" s="11">
        <f t="shared" ref="H29:H34" si="7">2^-G29</f>
        <v>3.6401221834695694E-3</v>
      </c>
      <c r="I29" s="12"/>
      <c r="J29" s="13">
        <v>0.96217047935780819</v>
      </c>
      <c r="K29" s="17"/>
      <c r="L29" s="17">
        <v>3.6886373521149873E-2</v>
      </c>
      <c r="M29" s="18">
        <v>2.1296357681864966E-2</v>
      </c>
    </row>
    <row r="30" spans="1:13" ht="15.5" x14ac:dyDescent="0.35">
      <c r="A30" s="155"/>
      <c r="B30" s="9" t="s">
        <v>1</v>
      </c>
      <c r="C30" s="15">
        <v>26.306655990774701</v>
      </c>
      <c r="D30" s="15">
        <v>18.263326012955002</v>
      </c>
      <c r="E30" s="16">
        <f t="shared" si="6"/>
        <v>8.0433299778196989</v>
      </c>
      <c r="F30" s="9"/>
      <c r="G30" s="10">
        <f t="shared" ref="G30:G34" si="8">E30-$F$46</f>
        <v>8.0433299778196989</v>
      </c>
      <c r="H30" s="11">
        <f t="shared" si="7"/>
        <v>3.7906737833561699E-3</v>
      </c>
      <c r="I30" s="14"/>
      <c r="J30" s="13">
        <v>1.0019648317805896</v>
      </c>
      <c r="K30" s="17"/>
      <c r="L30" s="17"/>
      <c r="M30" s="18"/>
    </row>
    <row r="31" spans="1:13" ht="15.5" x14ac:dyDescent="0.35">
      <c r="A31" s="155"/>
      <c r="B31" s="9" t="s">
        <v>0</v>
      </c>
      <c r="C31" s="15">
        <v>25.4427636133966</v>
      </c>
      <c r="D31" s="15">
        <v>17.4474373251396</v>
      </c>
      <c r="E31" s="16">
        <f t="shared" si="6"/>
        <v>7.9953262882570009</v>
      </c>
      <c r="F31" s="10">
        <f>AVERAGE(E29:E31)</f>
        <v>8.0468178914485993</v>
      </c>
      <c r="G31" s="10">
        <f t="shared" si="8"/>
        <v>7.9953262882570009</v>
      </c>
      <c r="H31" s="11">
        <f t="shared" si="7"/>
        <v>3.9189250906082928E-3</v>
      </c>
      <c r="I31" s="12">
        <f>AVERAGE(H29:H31)</f>
        <v>3.783240352478011E-3</v>
      </c>
      <c r="J31" s="13">
        <v>1.0358646888616023</v>
      </c>
      <c r="K31" s="17">
        <v>1</v>
      </c>
      <c r="L31" s="17"/>
      <c r="M31" s="18"/>
    </row>
    <row r="32" spans="1:13" ht="15.5" x14ac:dyDescent="0.35">
      <c r="A32" s="156" t="s">
        <v>48</v>
      </c>
      <c r="B32" s="9" t="s">
        <v>2</v>
      </c>
      <c r="C32" s="123">
        <v>25.425762117562499</v>
      </c>
      <c r="D32" s="15">
        <v>17.235570151092901</v>
      </c>
      <c r="E32" s="16">
        <f t="shared" si="6"/>
        <v>8.1901919664695981</v>
      </c>
      <c r="F32" s="9"/>
      <c r="G32" s="10">
        <f t="shared" si="8"/>
        <v>8.1901919664695981</v>
      </c>
      <c r="H32" s="11">
        <f t="shared" si="7"/>
        <v>3.4237854961992791E-3</v>
      </c>
      <c r="I32" s="12"/>
      <c r="J32" s="13">
        <v>0.90498757076237879</v>
      </c>
      <c r="K32" s="17"/>
      <c r="L32" s="17">
        <v>0.49609079476120604</v>
      </c>
      <c r="M32" s="18">
        <v>0.28641815389787773</v>
      </c>
    </row>
    <row r="33" spans="1:13" ht="15.5" x14ac:dyDescent="0.35">
      <c r="A33" s="157"/>
      <c r="B33" s="9" t="s">
        <v>1</v>
      </c>
      <c r="C33" s="123">
        <v>24.650283476734899</v>
      </c>
      <c r="D33" s="15">
        <v>17.5277753466798</v>
      </c>
      <c r="E33" s="16">
        <f t="shared" si="6"/>
        <v>7.122508130055099</v>
      </c>
      <c r="F33" s="9"/>
      <c r="G33" s="10">
        <f t="shared" si="8"/>
        <v>7.122508130055099</v>
      </c>
      <c r="H33" s="11">
        <f t="shared" si="7"/>
        <v>7.1764788371775799E-3</v>
      </c>
      <c r="I33" s="14"/>
      <c r="J33" s="13">
        <v>1.8969132723690174</v>
      </c>
      <c r="K33" s="17"/>
      <c r="L33" s="17"/>
      <c r="M33" s="18"/>
    </row>
    <row r="34" spans="1:13" ht="15.5" x14ac:dyDescent="0.35">
      <c r="A34" s="158"/>
      <c r="B34" s="9" t="s">
        <v>0</v>
      </c>
      <c r="C34" s="124">
        <v>25.0136423503393</v>
      </c>
      <c r="D34" s="20">
        <v>17.433650051500301</v>
      </c>
      <c r="E34" s="21">
        <f t="shared" si="6"/>
        <v>7.5799922988389987</v>
      </c>
      <c r="F34" s="9"/>
      <c r="G34" s="10">
        <f t="shared" si="8"/>
        <v>7.5799922988389987</v>
      </c>
      <c r="H34" s="11">
        <f t="shared" si="7"/>
        <v>5.2263074090365238E-3</v>
      </c>
      <c r="I34" s="14"/>
      <c r="J34" s="13">
        <v>1.3814367901878895</v>
      </c>
      <c r="K34" s="22">
        <v>1.3944458777730953</v>
      </c>
      <c r="L34" s="22"/>
      <c r="M34" s="23"/>
    </row>
    <row r="35" spans="1:13" ht="15.5" x14ac:dyDescent="0.35">
      <c r="A35" s="121"/>
      <c r="B35" s="17"/>
      <c r="C35" s="15"/>
      <c r="D35" s="15"/>
      <c r="E35" s="16"/>
      <c r="F35" s="16"/>
      <c r="G35" s="16"/>
      <c r="H35" s="122"/>
      <c r="I35" s="17"/>
      <c r="J35" s="121"/>
      <c r="L35" s="17"/>
      <c r="M35" s="17"/>
    </row>
    <row r="38" spans="1:13" ht="15.5" x14ac:dyDescent="0.35">
      <c r="A38" s="25"/>
    </row>
    <row r="39" spans="1:13" ht="15.5" x14ac:dyDescent="0.35">
      <c r="A39" s="125"/>
      <c r="B39" s="126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</row>
    <row r="40" spans="1:13" ht="15.5" x14ac:dyDescent="0.35">
      <c r="A40" s="121"/>
      <c r="B40" s="17"/>
      <c r="C40" s="15"/>
      <c r="D40" s="15"/>
      <c r="E40" s="41"/>
      <c r="F40" s="16"/>
      <c r="G40" s="16"/>
      <c r="H40" s="122"/>
      <c r="I40" s="127"/>
      <c r="J40" s="121"/>
      <c r="K40" s="17"/>
    </row>
    <row r="41" spans="1:13" ht="15.5" x14ac:dyDescent="0.35">
      <c r="A41" s="121"/>
      <c r="B41" s="17"/>
      <c r="C41" s="15"/>
      <c r="D41" s="15"/>
      <c r="E41" s="41"/>
      <c r="F41" s="17"/>
      <c r="G41" s="16"/>
      <c r="H41" s="122"/>
      <c r="I41" s="128"/>
      <c r="J41" s="121"/>
      <c r="K41" s="17"/>
      <c r="L41" s="17"/>
      <c r="M41" s="17"/>
    </row>
    <row r="42" spans="1:13" ht="15.5" x14ac:dyDescent="0.35">
      <c r="A42" s="121"/>
      <c r="B42" s="17"/>
      <c r="C42" s="15"/>
      <c r="D42" s="15"/>
      <c r="E42" s="41"/>
      <c r="F42" s="16"/>
      <c r="G42" s="16"/>
      <c r="H42" s="122"/>
      <c r="I42" s="128"/>
      <c r="J42" s="121"/>
      <c r="K42" s="17"/>
      <c r="L42" s="17"/>
      <c r="M42" s="17"/>
    </row>
    <row r="43" spans="1:13" ht="15.5" x14ac:dyDescent="0.35">
      <c r="A43" s="121"/>
      <c r="B43" s="17"/>
      <c r="C43" s="15"/>
      <c r="D43" s="15"/>
      <c r="E43" s="41"/>
      <c r="F43" s="16"/>
      <c r="G43" s="16"/>
      <c r="H43" s="122"/>
      <c r="I43" s="127"/>
      <c r="J43" s="121"/>
      <c r="L43" s="17"/>
      <c r="M43" s="17"/>
    </row>
    <row r="44" spans="1:13" ht="15.5" x14ac:dyDescent="0.35">
      <c r="A44" s="121"/>
      <c r="B44" s="17"/>
      <c r="C44" s="15"/>
      <c r="D44" s="15"/>
      <c r="E44" s="41"/>
      <c r="F44" s="17"/>
      <c r="G44" s="16"/>
      <c r="H44" s="122"/>
      <c r="I44" s="127"/>
      <c r="J44" s="121"/>
      <c r="K44" s="17"/>
    </row>
    <row r="45" spans="1:13" ht="15.5" x14ac:dyDescent="0.35">
      <c r="A45" s="121"/>
      <c r="B45" s="17"/>
      <c r="C45" s="15"/>
      <c r="D45" s="15"/>
      <c r="E45" s="41"/>
      <c r="F45" s="17"/>
      <c r="G45" s="16"/>
      <c r="H45" s="122"/>
      <c r="I45" s="128"/>
      <c r="J45" s="121"/>
      <c r="K45" s="17"/>
      <c r="L45" s="17"/>
      <c r="M45" s="17"/>
    </row>
    <row r="46" spans="1:13" ht="15.5" x14ac:dyDescent="0.35">
      <c r="A46" s="121"/>
      <c r="B46" s="17"/>
      <c r="C46" s="15"/>
      <c r="D46" s="15"/>
      <c r="E46" s="41"/>
      <c r="F46" s="17"/>
      <c r="G46" s="16"/>
      <c r="H46" s="122"/>
      <c r="I46" s="128"/>
      <c r="J46" s="121"/>
      <c r="K46" s="17"/>
      <c r="L46" s="17"/>
      <c r="M46" s="17"/>
    </row>
    <row r="47" spans="1:13" ht="15.5" x14ac:dyDescent="0.35">
      <c r="A47" s="121"/>
      <c r="B47" s="17"/>
      <c r="C47" s="15"/>
      <c r="D47" s="15"/>
      <c r="E47" s="41"/>
      <c r="F47" s="16"/>
      <c r="G47" s="16"/>
      <c r="H47" s="122"/>
      <c r="I47" s="17"/>
      <c r="J47" s="121"/>
      <c r="L47" s="17"/>
      <c r="M47" s="17"/>
    </row>
    <row r="50" spans="1:13" ht="23.5" x14ac:dyDescent="0.55000000000000004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</row>
    <row r="52" spans="1:13" x14ac:dyDescent="0.35">
      <c r="A52" s="32"/>
      <c r="B52" s="32"/>
      <c r="C52" s="32"/>
      <c r="D52" s="32"/>
      <c r="E52" s="32"/>
      <c r="F52" s="129"/>
      <c r="G52" s="32"/>
    </row>
    <row r="53" spans="1:13" x14ac:dyDescent="0.35">
      <c r="B53" s="120"/>
      <c r="C53" s="120"/>
      <c r="D53" s="120"/>
      <c r="E53" s="120"/>
      <c r="F53" s="120"/>
    </row>
    <row r="54" spans="1:13" x14ac:dyDescent="0.35">
      <c r="B54" s="120"/>
      <c r="C54" s="120"/>
      <c r="D54" s="120"/>
      <c r="E54" s="120"/>
      <c r="F54" s="120"/>
    </row>
    <row r="55" spans="1:13" x14ac:dyDescent="0.35">
      <c r="B55" s="120"/>
      <c r="C55" s="120"/>
      <c r="D55" s="120"/>
      <c r="E55" s="120"/>
      <c r="F55" s="120"/>
    </row>
    <row r="56" spans="1:13" x14ac:dyDescent="0.35">
      <c r="B56" s="120"/>
      <c r="C56" s="120"/>
      <c r="D56" s="120"/>
      <c r="E56" s="120"/>
      <c r="F56" s="120"/>
    </row>
    <row r="57" spans="1:13" x14ac:dyDescent="0.35">
      <c r="B57" s="120"/>
      <c r="C57" s="120"/>
      <c r="D57" s="120"/>
      <c r="E57" s="120"/>
      <c r="F57" s="120"/>
    </row>
    <row r="58" spans="1:13" x14ac:dyDescent="0.35">
      <c r="B58" s="120"/>
      <c r="C58" s="120"/>
      <c r="D58" s="120"/>
      <c r="E58" s="120"/>
      <c r="F58" s="120"/>
    </row>
  </sheetData>
  <mergeCells count="8">
    <mergeCell ref="A1:M1"/>
    <mergeCell ref="A32:A34"/>
    <mergeCell ref="A2:M2"/>
    <mergeCell ref="A4:A7"/>
    <mergeCell ref="A8:A11"/>
    <mergeCell ref="A16:A19"/>
    <mergeCell ref="A20:A23"/>
    <mergeCell ref="A29:A3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16483-A9A9-4AC6-A642-2B8F6BA328DF}">
  <dimension ref="A1:K16"/>
  <sheetViews>
    <sheetView topLeftCell="A3" zoomScale="70" zoomScaleNormal="70" workbookViewId="0">
      <selection activeCell="S14" sqref="S14"/>
    </sheetView>
  </sheetViews>
  <sheetFormatPr defaultRowHeight="14.5" x14ac:dyDescent="0.35"/>
  <cols>
    <col min="1" max="1" width="13.36328125" customWidth="1"/>
  </cols>
  <sheetData>
    <row r="1" spans="1:11" ht="21" x14ac:dyDescent="0.5">
      <c r="A1" s="163" t="s">
        <v>224</v>
      </c>
      <c r="B1" s="163"/>
      <c r="C1" s="163"/>
      <c r="D1" s="163"/>
      <c r="E1" s="163"/>
      <c r="F1" s="163"/>
      <c r="G1" s="163"/>
      <c r="H1" s="163"/>
      <c r="I1" s="163"/>
      <c r="J1" s="163"/>
    </row>
    <row r="3" spans="1:11" x14ac:dyDescent="0.35">
      <c r="A3" s="32" t="s">
        <v>225</v>
      </c>
      <c r="B3" s="195" t="s">
        <v>225</v>
      </c>
      <c r="C3" s="196"/>
      <c r="D3" s="196"/>
      <c r="E3" s="196"/>
      <c r="F3" s="197" t="s">
        <v>230</v>
      </c>
      <c r="G3" s="197"/>
      <c r="H3" s="197"/>
      <c r="I3" s="197"/>
    </row>
    <row r="4" spans="1:11" x14ac:dyDescent="0.35">
      <c r="B4" s="38" t="s">
        <v>102</v>
      </c>
      <c r="C4" s="38" t="s">
        <v>226</v>
      </c>
      <c r="D4" s="38" t="s">
        <v>104</v>
      </c>
      <c r="E4" s="38" t="s">
        <v>105</v>
      </c>
      <c r="F4" s="38" t="s">
        <v>102</v>
      </c>
      <c r="G4" s="38" t="s">
        <v>226</v>
      </c>
      <c r="H4" s="38" t="s">
        <v>104</v>
      </c>
      <c r="I4" s="38" t="s">
        <v>105</v>
      </c>
      <c r="J4" s="38" t="s">
        <v>120</v>
      </c>
      <c r="K4" s="38" t="s">
        <v>231</v>
      </c>
    </row>
    <row r="5" spans="1:11" x14ac:dyDescent="0.35">
      <c r="A5" s="37" t="s">
        <v>11</v>
      </c>
      <c r="B5" s="37">
        <v>2.8000000000000001E-2</v>
      </c>
      <c r="C5" s="37">
        <v>28378.047999999999</v>
      </c>
      <c r="D5" s="37">
        <v>14769</v>
      </c>
      <c r="E5" s="37">
        <v>65535</v>
      </c>
      <c r="F5" s="37">
        <v>1.7999999999999999E-2</v>
      </c>
      <c r="G5" s="37">
        <v>24635.830999999998</v>
      </c>
      <c r="H5" s="37">
        <v>0</v>
      </c>
      <c r="I5" s="37">
        <v>65535</v>
      </c>
      <c r="J5" s="37">
        <f>C5/G5</f>
        <v>1.1519013911079354</v>
      </c>
      <c r="K5" s="37">
        <v>1</v>
      </c>
    </row>
    <row r="6" spans="1:11" x14ac:dyDescent="0.35">
      <c r="A6" s="37" t="s">
        <v>48</v>
      </c>
      <c r="B6" s="37">
        <v>2.7E-2</v>
      </c>
      <c r="C6" s="37">
        <v>22166.842000000001</v>
      </c>
      <c r="D6" s="37">
        <v>17303</v>
      </c>
      <c r="E6" s="37">
        <v>65535</v>
      </c>
      <c r="F6" s="37">
        <v>1.7999999999999999E-2</v>
      </c>
      <c r="G6" s="37">
        <v>20647.163</v>
      </c>
      <c r="H6" s="37">
        <v>0</v>
      </c>
      <c r="I6" s="37">
        <v>65535</v>
      </c>
      <c r="J6" s="37">
        <f>C6/G6</f>
        <v>1.0736023152430192</v>
      </c>
      <c r="K6" s="37">
        <f>J6/J5</f>
        <v>0.93202623378238503</v>
      </c>
    </row>
    <row r="8" spans="1:11" x14ac:dyDescent="0.35">
      <c r="A8" s="32" t="s">
        <v>228</v>
      </c>
      <c r="B8" s="195" t="s">
        <v>228</v>
      </c>
      <c r="C8" s="196"/>
      <c r="D8" s="196"/>
      <c r="E8" s="196"/>
      <c r="F8" s="197" t="s">
        <v>230</v>
      </c>
      <c r="G8" s="197"/>
      <c r="H8" s="197"/>
      <c r="I8" s="197"/>
    </row>
    <row r="9" spans="1:11" x14ac:dyDescent="0.35">
      <c r="B9" s="38" t="s">
        <v>102</v>
      </c>
      <c r="C9" s="38" t="s">
        <v>226</v>
      </c>
      <c r="D9" s="38" t="s">
        <v>104</v>
      </c>
      <c r="E9" s="38" t="s">
        <v>105</v>
      </c>
      <c r="F9" s="38" t="s">
        <v>102</v>
      </c>
      <c r="G9" s="38" t="s">
        <v>226</v>
      </c>
      <c r="H9" s="38" t="s">
        <v>104</v>
      </c>
      <c r="I9" s="38" t="s">
        <v>105</v>
      </c>
      <c r="J9" s="38" t="s">
        <v>120</v>
      </c>
      <c r="K9" s="38" t="s">
        <v>231</v>
      </c>
    </row>
    <row r="10" spans="1:11" x14ac:dyDescent="0.35">
      <c r="A10" s="37" t="s">
        <v>11</v>
      </c>
      <c r="B10" s="37">
        <v>1.6E-2</v>
      </c>
      <c r="C10">
        <v>87984</v>
      </c>
      <c r="D10" s="37">
        <v>14769</v>
      </c>
      <c r="E10" s="37">
        <v>65535</v>
      </c>
      <c r="F10" s="37">
        <v>2.5999999999999999E-2</v>
      </c>
      <c r="G10" s="37">
        <v>24635.830999999998</v>
      </c>
      <c r="H10" s="37">
        <v>0</v>
      </c>
      <c r="I10" s="37">
        <v>65535</v>
      </c>
      <c r="J10" s="37">
        <f>C10/G10</f>
        <v>3.5713834861101299</v>
      </c>
      <c r="K10" s="37">
        <v>1</v>
      </c>
    </row>
    <row r="11" spans="1:11" x14ac:dyDescent="0.35">
      <c r="A11" s="37" t="s">
        <v>48</v>
      </c>
      <c r="B11" s="37">
        <v>1.7000000000000001E-2</v>
      </c>
      <c r="C11">
        <v>94952</v>
      </c>
      <c r="D11" s="37">
        <v>17303</v>
      </c>
      <c r="E11" s="37">
        <v>65535</v>
      </c>
      <c r="F11" s="37">
        <v>2.8000000000000001E-2</v>
      </c>
      <c r="G11" s="37">
        <v>21647.163</v>
      </c>
      <c r="H11" s="37">
        <v>0</v>
      </c>
      <c r="I11" s="37">
        <v>65535</v>
      </c>
      <c r="J11" s="37">
        <f>C11/G11</f>
        <v>4.3863484559154475</v>
      </c>
      <c r="K11" s="37">
        <f>J11/J10</f>
        <v>1.2281930722295407</v>
      </c>
    </row>
    <row r="13" spans="1:11" x14ac:dyDescent="0.35">
      <c r="A13" s="32" t="s">
        <v>228</v>
      </c>
      <c r="B13" s="195" t="s">
        <v>229</v>
      </c>
      <c r="C13" s="196"/>
      <c r="D13" s="196"/>
      <c r="E13" s="196"/>
      <c r="F13" s="197" t="s">
        <v>230</v>
      </c>
      <c r="G13" s="197"/>
      <c r="H13" s="197"/>
      <c r="I13" s="197"/>
    </row>
    <row r="14" spans="1:11" x14ac:dyDescent="0.35">
      <c r="B14" s="38" t="s">
        <v>102</v>
      </c>
      <c r="C14" s="38" t="s">
        <v>226</v>
      </c>
      <c r="D14" s="38" t="s">
        <v>104</v>
      </c>
      <c r="E14" s="38" t="s">
        <v>105</v>
      </c>
      <c r="F14" s="38" t="s">
        <v>102</v>
      </c>
      <c r="G14" s="38" t="s">
        <v>226</v>
      </c>
      <c r="H14" s="38" t="s">
        <v>104</v>
      </c>
      <c r="I14" s="38" t="s">
        <v>105</v>
      </c>
      <c r="J14" s="38" t="s">
        <v>120</v>
      </c>
      <c r="K14" s="38" t="s">
        <v>231</v>
      </c>
    </row>
    <row r="15" spans="1:11" x14ac:dyDescent="0.35">
      <c r="A15" s="37" t="s">
        <v>11</v>
      </c>
      <c r="B15" s="37">
        <v>2.9600000000000001E-2</v>
      </c>
      <c r="C15" s="37">
        <v>32378.047999999999</v>
      </c>
      <c r="D15" s="37">
        <v>14769</v>
      </c>
      <c r="E15" s="37">
        <v>65535</v>
      </c>
      <c r="F15" s="37">
        <v>2.4E-2</v>
      </c>
      <c r="G15" s="37">
        <v>24635.830999999998</v>
      </c>
      <c r="H15" s="37">
        <v>0</v>
      </c>
      <c r="I15" s="37">
        <v>65535</v>
      </c>
      <c r="J15" s="37">
        <f>C15/G15</f>
        <v>1.3142665250463847</v>
      </c>
      <c r="K15" s="37">
        <v>1</v>
      </c>
    </row>
    <row r="16" spans="1:11" x14ac:dyDescent="0.35">
      <c r="A16" s="37" t="s">
        <v>48</v>
      </c>
      <c r="B16" s="37">
        <v>2.7E-2</v>
      </c>
      <c r="C16" s="37">
        <v>29066.842000000001</v>
      </c>
      <c r="D16" s="37">
        <v>17303</v>
      </c>
      <c r="E16" s="37">
        <v>65535</v>
      </c>
      <c r="F16" s="37">
        <v>2.8000000000000001E-2</v>
      </c>
      <c r="G16" s="37">
        <v>21647.163</v>
      </c>
      <c r="H16" s="37">
        <v>0</v>
      </c>
      <c r="I16" s="37">
        <v>65535</v>
      </c>
      <c r="J16" s="37">
        <f>C16/G16</f>
        <v>1.3427552608163942</v>
      </c>
      <c r="K16" s="37">
        <f>J16/J15</f>
        <v>1.0216765284872518</v>
      </c>
    </row>
  </sheetData>
  <mergeCells count="7">
    <mergeCell ref="B13:E13"/>
    <mergeCell ref="F13:I13"/>
    <mergeCell ref="A1:J1"/>
    <mergeCell ref="B3:E3"/>
    <mergeCell ref="F3:I3"/>
    <mergeCell ref="B8:E8"/>
    <mergeCell ref="F8:I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E3232-7001-46D9-A576-9328472183B5}">
  <dimension ref="A1:K67"/>
  <sheetViews>
    <sheetView zoomScale="70" zoomScaleNormal="70" workbookViewId="0">
      <selection activeCell="U52" sqref="U52"/>
    </sheetView>
  </sheetViews>
  <sheetFormatPr defaultRowHeight="14.5" x14ac:dyDescent="0.35"/>
  <cols>
    <col min="1" max="1" width="13.36328125" customWidth="1"/>
  </cols>
  <sheetData>
    <row r="1" spans="1:11" ht="21" x14ac:dyDescent="0.5">
      <c r="A1" s="163" t="s">
        <v>243</v>
      </c>
      <c r="B1" s="163"/>
      <c r="C1" s="163"/>
      <c r="D1" s="163"/>
      <c r="E1" s="163"/>
      <c r="F1" s="163"/>
      <c r="G1" s="163"/>
      <c r="H1" s="163"/>
      <c r="I1" s="163"/>
      <c r="J1" s="163"/>
    </row>
    <row r="2" spans="1:11" x14ac:dyDescent="0.35">
      <c r="A2" s="32" t="s">
        <v>236</v>
      </c>
      <c r="B2" s="195" t="s">
        <v>236</v>
      </c>
      <c r="C2" s="196"/>
      <c r="D2" s="196"/>
      <c r="E2" s="196"/>
      <c r="F2" s="197" t="s">
        <v>230</v>
      </c>
      <c r="G2" s="197"/>
      <c r="H2" s="197"/>
      <c r="I2" s="197"/>
    </row>
    <row r="3" spans="1:11" x14ac:dyDescent="0.35">
      <c r="B3" s="38" t="s">
        <v>102</v>
      </c>
      <c r="C3" s="38" t="s">
        <v>226</v>
      </c>
      <c r="D3" s="38" t="s">
        <v>104</v>
      </c>
      <c r="E3" s="38" t="s">
        <v>105</v>
      </c>
      <c r="F3" s="38" t="s">
        <v>102</v>
      </c>
      <c r="G3" s="38" t="s">
        <v>226</v>
      </c>
      <c r="H3" s="38" t="s">
        <v>104</v>
      </c>
      <c r="I3" s="38" t="s">
        <v>105</v>
      </c>
      <c r="J3" s="38" t="s">
        <v>120</v>
      </c>
      <c r="K3" s="38" t="s">
        <v>231</v>
      </c>
    </row>
    <row r="4" spans="1:11" x14ac:dyDescent="0.35">
      <c r="A4" s="37" t="s">
        <v>11</v>
      </c>
      <c r="B4">
        <v>0.127551</v>
      </c>
      <c r="C4">
        <v>87984</v>
      </c>
      <c r="D4" s="37">
        <v>14769</v>
      </c>
      <c r="E4" s="37">
        <v>65535</v>
      </c>
      <c r="F4">
        <v>0.23660700000000001</v>
      </c>
      <c r="G4">
        <v>35898</v>
      </c>
      <c r="H4" s="37">
        <v>0</v>
      </c>
      <c r="I4" s="37">
        <v>65535</v>
      </c>
      <c r="J4" s="37">
        <f>C4/G4</f>
        <v>2.4509443423031922</v>
      </c>
      <c r="K4" s="37">
        <v>1</v>
      </c>
    </row>
    <row r="5" spans="1:11" x14ac:dyDescent="0.35">
      <c r="A5" s="37" t="s">
        <v>48</v>
      </c>
      <c r="B5">
        <v>0.72448999999999997</v>
      </c>
      <c r="C5">
        <v>94952</v>
      </c>
      <c r="D5" s="37">
        <v>17303</v>
      </c>
      <c r="E5" s="37">
        <v>65535</v>
      </c>
      <c r="F5">
        <v>0.67857100000000004</v>
      </c>
      <c r="G5">
        <v>40884</v>
      </c>
      <c r="H5" s="37">
        <v>0</v>
      </c>
      <c r="I5" s="37">
        <v>65535</v>
      </c>
      <c r="J5" s="37">
        <f>C5/G5</f>
        <v>2.3224733392036003</v>
      </c>
      <c r="K5" s="37">
        <f>J5/J4</f>
        <v>0.94758305976917223</v>
      </c>
    </row>
    <row r="7" spans="1:11" x14ac:dyDescent="0.35">
      <c r="A7" s="32" t="s">
        <v>237</v>
      </c>
      <c r="B7" s="195" t="s">
        <v>237</v>
      </c>
      <c r="C7" s="196"/>
      <c r="D7" s="196"/>
      <c r="E7" s="196"/>
      <c r="F7" s="197" t="s">
        <v>230</v>
      </c>
      <c r="G7" s="197"/>
      <c r="H7" s="197"/>
      <c r="I7" s="197"/>
    </row>
    <row r="8" spans="1:11" x14ac:dyDescent="0.35">
      <c r="B8" s="38" t="s">
        <v>102</v>
      </c>
      <c r="C8" s="38" t="s">
        <v>226</v>
      </c>
      <c r="D8" s="38" t="s">
        <v>104</v>
      </c>
      <c r="E8" s="38" t="s">
        <v>105</v>
      </c>
      <c r="F8" s="38" t="s">
        <v>102</v>
      </c>
      <c r="G8" s="38" t="s">
        <v>226</v>
      </c>
      <c r="H8" s="38" t="s">
        <v>104</v>
      </c>
      <c r="I8" s="38" t="s">
        <v>105</v>
      </c>
      <c r="J8" s="38" t="s">
        <v>120</v>
      </c>
      <c r="K8" s="38" t="s">
        <v>231</v>
      </c>
    </row>
    <row r="9" spans="1:11" x14ac:dyDescent="0.35">
      <c r="A9" s="37" t="s">
        <v>11</v>
      </c>
      <c r="B9">
        <v>0.27483099999999999</v>
      </c>
      <c r="C9">
        <v>1325190</v>
      </c>
      <c r="D9" s="37">
        <v>14769</v>
      </c>
      <c r="E9" s="37">
        <v>65535</v>
      </c>
      <c r="F9">
        <v>0.23660700000000001</v>
      </c>
      <c r="G9">
        <v>35898</v>
      </c>
      <c r="H9" s="37">
        <v>0</v>
      </c>
      <c r="I9" s="37">
        <v>65535</v>
      </c>
      <c r="J9" s="37">
        <f>C9/G9</f>
        <v>36.91542704328932</v>
      </c>
      <c r="K9" s="37">
        <v>1</v>
      </c>
    </row>
    <row r="10" spans="1:11" x14ac:dyDescent="0.35">
      <c r="A10" s="37" t="s">
        <v>48</v>
      </c>
      <c r="B10">
        <v>0.47444599999999998</v>
      </c>
      <c r="C10">
        <v>1288450</v>
      </c>
      <c r="D10" s="37">
        <v>17303</v>
      </c>
      <c r="E10" s="37">
        <v>65535</v>
      </c>
      <c r="F10">
        <v>0.67857100000000004</v>
      </c>
      <c r="G10">
        <v>40884</v>
      </c>
      <c r="H10" s="37">
        <v>0</v>
      </c>
      <c r="I10" s="37">
        <v>65535</v>
      </c>
      <c r="J10" s="37">
        <f>C10/G10</f>
        <v>31.514773505527835</v>
      </c>
      <c r="K10" s="37">
        <f>J10/J9</f>
        <v>0.85370198937619379</v>
      </c>
    </row>
    <row r="12" spans="1:11" x14ac:dyDescent="0.35">
      <c r="A12" s="32" t="s">
        <v>239</v>
      </c>
      <c r="B12" s="195" t="s">
        <v>238</v>
      </c>
      <c r="C12" s="196"/>
      <c r="D12" s="196"/>
      <c r="E12" s="196"/>
      <c r="F12" s="197" t="s">
        <v>230</v>
      </c>
      <c r="G12" s="197"/>
      <c r="H12" s="197"/>
      <c r="I12" s="197"/>
    </row>
    <row r="13" spans="1:11" x14ac:dyDescent="0.35">
      <c r="B13" s="38" t="s">
        <v>102</v>
      </c>
      <c r="C13" s="38" t="s">
        <v>226</v>
      </c>
      <c r="D13" s="38" t="s">
        <v>104</v>
      </c>
      <c r="E13" s="38" t="s">
        <v>105</v>
      </c>
      <c r="F13" s="38" t="s">
        <v>102</v>
      </c>
      <c r="G13" s="38" t="s">
        <v>226</v>
      </c>
      <c r="H13" s="38" t="s">
        <v>104</v>
      </c>
      <c r="I13" s="38" t="s">
        <v>105</v>
      </c>
      <c r="J13" s="38" t="s">
        <v>120</v>
      </c>
      <c r="K13" s="38" t="s">
        <v>231</v>
      </c>
    </row>
    <row r="14" spans="1:11" x14ac:dyDescent="0.35">
      <c r="A14" s="37" t="s">
        <v>11</v>
      </c>
      <c r="B14">
        <v>0.89573499999999995</v>
      </c>
      <c r="C14">
        <v>87912</v>
      </c>
      <c r="D14" s="37">
        <v>14769</v>
      </c>
      <c r="E14" s="37">
        <v>65535</v>
      </c>
      <c r="F14" s="37">
        <v>2.4E-2</v>
      </c>
      <c r="G14" s="37">
        <v>24635.830999999998</v>
      </c>
      <c r="H14" s="37">
        <v>0</v>
      </c>
      <c r="I14" s="37">
        <v>65535</v>
      </c>
      <c r="J14" s="37">
        <f>C14/G14</f>
        <v>3.5684609136992376</v>
      </c>
      <c r="K14" s="37">
        <v>1</v>
      </c>
    </row>
    <row r="15" spans="1:11" x14ac:dyDescent="0.35">
      <c r="A15" s="37" t="s">
        <v>48</v>
      </c>
      <c r="B15">
        <v>0.792381</v>
      </c>
      <c r="C15">
        <v>67656</v>
      </c>
      <c r="D15" s="37">
        <v>17303</v>
      </c>
      <c r="E15" s="37">
        <v>65535</v>
      </c>
      <c r="F15" s="37">
        <v>2.8000000000000001E-2</v>
      </c>
      <c r="G15" s="37">
        <v>21647.163</v>
      </c>
      <c r="H15" s="37">
        <v>0</v>
      </c>
      <c r="I15" s="37">
        <v>65535</v>
      </c>
      <c r="J15" s="37">
        <f>C15/G15</f>
        <v>3.1253980025003738</v>
      </c>
      <c r="K15" s="37">
        <f>J15/J14</f>
        <v>0.87583921418392008</v>
      </c>
    </row>
    <row r="17" spans="1:11" x14ac:dyDescent="0.35">
      <c r="A17" s="32" t="s">
        <v>255</v>
      </c>
      <c r="B17" s="195" t="s">
        <v>240</v>
      </c>
      <c r="C17" s="196"/>
      <c r="D17" s="196"/>
      <c r="E17" s="196"/>
      <c r="F17" s="197" t="s">
        <v>230</v>
      </c>
      <c r="G17" s="197"/>
      <c r="H17" s="197"/>
      <c r="I17" s="197"/>
    </row>
    <row r="18" spans="1:11" x14ac:dyDescent="0.35">
      <c r="B18" s="38" t="s">
        <v>102</v>
      </c>
      <c r="C18" s="38" t="s">
        <v>226</v>
      </c>
      <c r="D18" s="38" t="s">
        <v>104</v>
      </c>
      <c r="E18" s="38" t="s">
        <v>105</v>
      </c>
      <c r="F18" s="38" t="s">
        <v>102</v>
      </c>
      <c r="G18" s="38" t="s">
        <v>226</v>
      </c>
      <c r="H18" s="38" t="s">
        <v>104</v>
      </c>
      <c r="I18" s="38" t="s">
        <v>105</v>
      </c>
      <c r="J18" s="38" t="s">
        <v>120</v>
      </c>
      <c r="K18" s="38" t="s">
        <v>231</v>
      </c>
    </row>
    <row r="19" spans="1:11" x14ac:dyDescent="0.35">
      <c r="A19" s="37" t="s">
        <v>11</v>
      </c>
      <c r="B19">
        <v>0.93571400000000005</v>
      </c>
      <c r="C19">
        <v>495474</v>
      </c>
      <c r="D19" s="37">
        <v>14769</v>
      </c>
      <c r="E19" s="37">
        <v>65535</v>
      </c>
      <c r="F19">
        <v>0.77669299999999997</v>
      </c>
      <c r="G19">
        <v>771162</v>
      </c>
      <c r="H19" s="37">
        <v>0</v>
      </c>
      <c r="I19" s="37">
        <v>65535</v>
      </c>
      <c r="J19" s="37">
        <f>C19/G19</f>
        <v>0.64250313163771033</v>
      </c>
      <c r="K19" s="37">
        <v>1</v>
      </c>
    </row>
    <row r="20" spans="1:11" x14ac:dyDescent="0.35">
      <c r="A20" s="37" t="s">
        <v>48</v>
      </c>
      <c r="B20">
        <v>8.4524000000000002E-2</v>
      </c>
      <c r="C20">
        <v>293734</v>
      </c>
      <c r="D20" s="37">
        <v>17303</v>
      </c>
      <c r="E20" s="37">
        <v>65535</v>
      </c>
      <c r="F20">
        <v>0.891123</v>
      </c>
      <c r="G20">
        <v>893354</v>
      </c>
      <c r="H20" s="37">
        <v>0</v>
      </c>
      <c r="I20" s="37">
        <v>65535</v>
      </c>
      <c r="J20" s="37">
        <f>C20/G20</f>
        <v>0.32879910987133881</v>
      </c>
      <c r="K20" s="37">
        <f>J20/J19</f>
        <v>0.51174709301921273</v>
      </c>
    </row>
    <row r="21" spans="1:11" ht="21" x14ac:dyDescent="0.5">
      <c r="A21" s="163" t="s">
        <v>242</v>
      </c>
      <c r="B21" s="163"/>
      <c r="C21" s="163"/>
      <c r="D21" s="163"/>
      <c r="E21" s="163"/>
      <c r="F21" s="163"/>
      <c r="G21" s="163"/>
      <c r="H21" s="163"/>
      <c r="I21" s="163"/>
      <c r="J21" s="163"/>
    </row>
    <row r="22" spans="1:11" x14ac:dyDescent="0.35">
      <c r="A22" s="32" t="s">
        <v>241</v>
      </c>
      <c r="B22" s="195" t="s">
        <v>240</v>
      </c>
      <c r="C22" s="196"/>
      <c r="D22" s="196"/>
      <c r="E22" s="196"/>
      <c r="F22" s="197" t="s">
        <v>230</v>
      </c>
      <c r="G22" s="197"/>
      <c r="H22" s="197"/>
      <c r="I22" s="197"/>
    </row>
    <row r="23" spans="1:11" x14ac:dyDescent="0.35">
      <c r="B23" s="38" t="s">
        <v>102</v>
      </c>
      <c r="C23" s="38" t="s">
        <v>226</v>
      </c>
      <c r="D23" s="38" t="s">
        <v>104</v>
      </c>
      <c r="E23" s="38" t="s">
        <v>105</v>
      </c>
      <c r="F23" s="38" t="s">
        <v>102</v>
      </c>
      <c r="G23" s="38" t="s">
        <v>226</v>
      </c>
      <c r="H23" s="38" t="s">
        <v>104</v>
      </c>
      <c r="I23" s="38" t="s">
        <v>105</v>
      </c>
      <c r="J23" s="38" t="s">
        <v>120</v>
      </c>
      <c r="K23" s="38" t="s">
        <v>231</v>
      </c>
    </row>
    <row r="24" spans="1:11" x14ac:dyDescent="0.35">
      <c r="A24" s="37" t="s">
        <v>11</v>
      </c>
      <c r="B24">
        <v>0.76415100000000002</v>
      </c>
      <c r="C24">
        <v>60740</v>
      </c>
      <c r="D24" s="37">
        <v>14769</v>
      </c>
      <c r="E24" s="37">
        <v>65535</v>
      </c>
      <c r="F24">
        <v>0.77669299999999997</v>
      </c>
      <c r="G24">
        <v>771162</v>
      </c>
      <c r="H24" s="37">
        <v>0</v>
      </c>
      <c r="I24" s="37">
        <v>65535</v>
      </c>
      <c r="J24" s="37">
        <f>C24/G24</f>
        <v>7.8764254462745834E-2</v>
      </c>
      <c r="K24" s="37">
        <v>1</v>
      </c>
    </row>
    <row r="25" spans="1:11" x14ac:dyDescent="0.35">
      <c r="A25" s="37" t="s">
        <v>48</v>
      </c>
      <c r="B25">
        <v>0.165967</v>
      </c>
      <c r="C25">
        <v>20431</v>
      </c>
      <c r="D25" s="37">
        <v>17303</v>
      </c>
      <c r="E25" s="37">
        <v>65535</v>
      </c>
      <c r="F25">
        <v>0.8911</v>
      </c>
      <c r="G25">
        <v>893354</v>
      </c>
      <c r="H25" s="37">
        <v>0</v>
      </c>
      <c r="I25" s="37">
        <v>65535</v>
      </c>
      <c r="J25" s="37">
        <f>C25/G25</f>
        <v>2.2869993306125009E-2</v>
      </c>
      <c r="K25" s="37">
        <f>J25/J24</f>
        <v>0.29036005561307165</v>
      </c>
    </row>
    <row r="28" spans="1:11" ht="21" x14ac:dyDescent="0.5">
      <c r="A28" s="163" t="s">
        <v>244</v>
      </c>
      <c r="B28" s="163"/>
      <c r="C28" s="163"/>
      <c r="D28" s="163"/>
      <c r="E28" s="163"/>
      <c r="F28" s="163"/>
      <c r="G28" s="163"/>
      <c r="H28" s="163"/>
      <c r="I28" s="163"/>
      <c r="J28" s="163"/>
    </row>
    <row r="29" spans="1:11" x14ac:dyDescent="0.35">
      <c r="A29" s="32" t="s">
        <v>248</v>
      </c>
      <c r="B29" s="195" t="s">
        <v>240</v>
      </c>
      <c r="C29" s="196"/>
      <c r="D29" s="196"/>
      <c r="E29" s="196"/>
      <c r="F29" s="197" t="s">
        <v>230</v>
      </c>
      <c r="G29" s="197"/>
      <c r="H29" s="197"/>
      <c r="I29" s="197"/>
    </row>
    <row r="30" spans="1:11" x14ac:dyDescent="0.35">
      <c r="B30" s="38" t="s">
        <v>102</v>
      </c>
      <c r="C30" s="38" t="s">
        <v>226</v>
      </c>
      <c r="D30" s="38" t="s">
        <v>104</v>
      </c>
      <c r="E30" s="38" t="s">
        <v>105</v>
      </c>
      <c r="F30" s="38" t="s">
        <v>102</v>
      </c>
      <c r="G30" s="38" t="s">
        <v>226</v>
      </c>
      <c r="H30" s="38" t="s">
        <v>104</v>
      </c>
      <c r="I30" s="38" t="s">
        <v>105</v>
      </c>
      <c r="J30" s="38" t="s">
        <v>120</v>
      </c>
      <c r="K30" s="38" t="s">
        <v>231</v>
      </c>
    </row>
    <row r="31" spans="1:11" x14ac:dyDescent="0.35">
      <c r="A31" s="37" t="s">
        <v>143</v>
      </c>
      <c r="B31" s="37">
        <v>2.8000000000000001E-2</v>
      </c>
      <c r="C31" s="37">
        <v>28378.047999999999</v>
      </c>
      <c r="D31" s="37">
        <v>14769</v>
      </c>
      <c r="E31" s="37">
        <v>65535</v>
      </c>
      <c r="F31" s="37">
        <v>2.4E-2</v>
      </c>
      <c r="G31" s="37">
        <v>20647.163</v>
      </c>
      <c r="H31" s="37">
        <v>0</v>
      </c>
      <c r="I31" s="37">
        <v>65535</v>
      </c>
      <c r="J31" s="37">
        <f>C31/G31</f>
        <v>1.3744284384251724</v>
      </c>
      <c r="K31" s="37">
        <v>1</v>
      </c>
    </row>
    <row r="32" spans="1:11" x14ac:dyDescent="0.35">
      <c r="A32" s="37" t="s">
        <v>144</v>
      </c>
      <c r="B32" s="37">
        <v>2.1999999999999999E-2</v>
      </c>
      <c r="C32" s="37">
        <v>30196.842000000001</v>
      </c>
      <c r="D32" s="37">
        <v>17303</v>
      </c>
      <c r="E32" s="37">
        <v>65535</v>
      </c>
      <c r="F32" s="37">
        <v>2.8000000000000001E-2</v>
      </c>
      <c r="G32" s="37">
        <v>24635.830999999998</v>
      </c>
      <c r="H32" s="37">
        <v>0</v>
      </c>
      <c r="I32" s="37">
        <v>65535</v>
      </c>
      <c r="J32" s="37">
        <f>C32/G32</f>
        <v>1.2257285739620476</v>
      </c>
      <c r="K32" s="37">
        <f>J32/J31</f>
        <v>0.89180967134709033</v>
      </c>
    </row>
    <row r="34" spans="1:11" x14ac:dyDescent="0.35">
      <c r="G34" s="37"/>
    </row>
    <row r="35" spans="1:11" ht="21" x14ac:dyDescent="0.5">
      <c r="A35" s="163" t="s">
        <v>245</v>
      </c>
      <c r="B35" s="163"/>
      <c r="C35" s="163"/>
      <c r="D35" s="163"/>
      <c r="E35" s="163"/>
      <c r="F35" s="163"/>
      <c r="G35" s="163"/>
      <c r="H35" s="163"/>
      <c r="I35" s="163"/>
      <c r="J35" s="163"/>
    </row>
    <row r="36" spans="1:11" x14ac:dyDescent="0.35">
      <c r="A36" s="32" t="s">
        <v>249</v>
      </c>
      <c r="B36" s="195" t="s">
        <v>240</v>
      </c>
      <c r="C36" s="196"/>
      <c r="D36" s="196"/>
      <c r="E36" s="196"/>
      <c r="F36" s="197" t="s">
        <v>230</v>
      </c>
      <c r="G36" s="197"/>
      <c r="H36" s="197"/>
      <c r="I36" s="197"/>
    </row>
    <row r="37" spans="1:11" x14ac:dyDescent="0.35">
      <c r="B37" s="38" t="s">
        <v>102</v>
      </c>
      <c r="C37" s="38" t="s">
        <v>226</v>
      </c>
      <c r="D37" s="38" t="s">
        <v>104</v>
      </c>
      <c r="E37" s="38" t="s">
        <v>105</v>
      </c>
      <c r="F37" s="38" t="s">
        <v>102</v>
      </c>
      <c r="G37" s="38" t="s">
        <v>226</v>
      </c>
      <c r="H37" s="38" t="s">
        <v>104</v>
      </c>
      <c r="I37" s="38" t="s">
        <v>105</v>
      </c>
      <c r="J37" s="38" t="s">
        <v>120</v>
      </c>
      <c r="K37" s="38" t="s">
        <v>231</v>
      </c>
    </row>
    <row r="38" spans="1:11" x14ac:dyDescent="0.35">
      <c r="A38" s="37" t="s">
        <v>143</v>
      </c>
      <c r="B38">
        <v>0.25917899999999999</v>
      </c>
      <c r="C38">
        <v>74106</v>
      </c>
      <c r="D38" s="37">
        <v>14769</v>
      </c>
      <c r="E38" s="37">
        <v>65535</v>
      </c>
      <c r="F38" s="37">
        <v>1.7999999999999999E-2</v>
      </c>
      <c r="G38" s="37">
        <v>24635.830999999998</v>
      </c>
      <c r="H38" s="37">
        <v>0</v>
      </c>
      <c r="I38" s="37">
        <v>65535</v>
      </c>
      <c r="J38" s="37">
        <f>C38/G38</f>
        <v>3.0080576539106803</v>
      </c>
      <c r="K38" s="37">
        <v>1</v>
      </c>
    </row>
    <row r="39" spans="1:11" x14ac:dyDescent="0.35">
      <c r="A39" s="37" t="s">
        <v>144</v>
      </c>
      <c r="B39">
        <v>0.65593999999999997</v>
      </c>
      <c r="C39">
        <v>132321</v>
      </c>
      <c r="D39" s="37">
        <v>17303</v>
      </c>
      <c r="E39" s="37">
        <v>65535</v>
      </c>
      <c r="F39" s="37">
        <v>1.7999999999999999E-2</v>
      </c>
      <c r="G39" s="37">
        <v>20647.163</v>
      </c>
      <c r="H39" s="37">
        <v>0</v>
      </c>
      <c r="I39" s="37">
        <v>65535</v>
      </c>
      <c r="J39" s="37">
        <f>C39/G39</f>
        <v>6.4086770661906431</v>
      </c>
      <c r="K39" s="37">
        <f>J39/J38</f>
        <v>2.1305034023729319</v>
      </c>
    </row>
    <row r="42" spans="1:11" ht="21" x14ac:dyDescent="0.5">
      <c r="A42" s="163" t="s">
        <v>246</v>
      </c>
      <c r="B42" s="163"/>
      <c r="C42" s="163"/>
      <c r="D42" s="163"/>
      <c r="E42" s="163"/>
      <c r="F42" s="163"/>
      <c r="G42" s="163"/>
      <c r="H42" s="163"/>
      <c r="I42" s="163"/>
      <c r="J42" s="163"/>
    </row>
    <row r="43" spans="1:11" x14ac:dyDescent="0.35">
      <c r="A43" s="32" t="s">
        <v>249</v>
      </c>
      <c r="B43" s="195" t="s">
        <v>227</v>
      </c>
      <c r="C43" s="196"/>
      <c r="D43" s="196"/>
      <c r="E43" s="196"/>
      <c r="F43" s="197" t="s">
        <v>230</v>
      </c>
      <c r="G43" s="197"/>
      <c r="H43" s="197"/>
      <c r="I43" s="197"/>
    </row>
    <row r="44" spans="1:11" x14ac:dyDescent="0.35">
      <c r="B44" s="38" t="s">
        <v>102</v>
      </c>
      <c r="C44" s="38" t="s">
        <v>226</v>
      </c>
      <c r="D44" s="38" t="s">
        <v>104</v>
      </c>
      <c r="E44" s="38" t="s">
        <v>105</v>
      </c>
      <c r="F44" s="38" t="s">
        <v>102</v>
      </c>
      <c r="G44" s="38" t="s">
        <v>226</v>
      </c>
      <c r="H44" s="38" t="s">
        <v>104</v>
      </c>
      <c r="I44" s="38" t="s">
        <v>105</v>
      </c>
      <c r="J44" s="38" t="s">
        <v>120</v>
      </c>
      <c r="K44" s="38" t="s">
        <v>231</v>
      </c>
    </row>
    <row r="45" spans="1:11" x14ac:dyDescent="0.35">
      <c r="A45" s="37" t="s">
        <v>256</v>
      </c>
      <c r="B45">
        <v>0.27483099999999999</v>
      </c>
      <c r="C45">
        <v>1425190</v>
      </c>
      <c r="D45" s="37">
        <v>14769</v>
      </c>
      <c r="E45" s="37">
        <v>65535</v>
      </c>
      <c r="F45" s="37">
        <v>1.7999999999999999E-2</v>
      </c>
      <c r="G45" s="37">
        <v>24635.830999999998</v>
      </c>
      <c r="H45" s="37">
        <v>0</v>
      </c>
      <c r="I45" s="37">
        <v>65535</v>
      </c>
      <c r="J45" s="37">
        <f>C45/G45</f>
        <v>57.850291309434624</v>
      </c>
      <c r="K45" s="37">
        <v>1</v>
      </c>
    </row>
    <row r="46" spans="1:11" x14ac:dyDescent="0.35">
      <c r="A46" s="37" t="s">
        <v>247</v>
      </c>
      <c r="B46">
        <v>0.17444599999999999</v>
      </c>
      <c r="C46">
        <v>588450</v>
      </c>
      <c r="D46" s="37">
        <v>17303</v>
      </c>
      <c r="E46" s="37">
        <v>65535</v>
      </c>
      <c r="F46" s="37">
        <v>1.7999999999999999E-2</v>
      </c>
      <c r="G46" s="37">
        <v>20647.163</v>
      </c>
      <c r="H46" s="37">
        <v>0</v>
      </c>
      <c r="I46" s="37">
        <v>65535</v>
      </c>
      <c r="J46" s="37">
        <f>C46/G46</f>
        <v>28.500283549851375</v>
      </c>
      <c r="K46" s="37">
        <f>J46/J45</f>
        <v>0.49265583465097179</v>
      </c>
    </row>
    <row r="47" spans="1:11" x14ac:dyDescent="0.35">
      <c r="A47" s="37" t="s">
        <v>257</v>
      </c>
      <c r="B47" s="37">
        <v>0.127</v>
      </c>
      <c r="C47">
        <v>1901841</v>
      </c>
      <c r="D47" s="37">
        <v>17303</v>
      </c>
      <c r="E47" s="37">
        <v>65535</v>
      </c>
      <c r="F47" s="37">
        <v>2.5999999999999999E-2</v>
      </c>
      <c r="G47" s="37">
        <v>21447.163</v>
      </c>
      <c r="H47" s="37">
        <v>0</v>
      </c>
      <c r="I47" s="37">
        <v>65535</v>
      </c>
      <c r="J47" s="37">
        <f>C47/G47</f>
        <v>88.675644419730475</v>
      </c>
      <c r="K47" s="37">
        <f>J47/J45</f>
        <v>1.5328469816239048</v>
      </c>
    </row>
    <row r="50" spans="1:11" ht="21" x14ac:dyDescent="0.5">
      <c r="A50" s="163" t="s">
        <v>250</v>
      </c>
      <c r="B50" s="163"/>
      <c r="C50" s="163"/>
      <c r="D50" s="163"/>
      <c r="E50" s="163"/>
      <c r="F50" s="163"/>
      <c r="G50" s="163"/>
      <c r="H50" s="163"/>
      <c r="I50" s="163"/>
      <c r="J50" s="163"/>
    </row>
    <row r="51" spans="1:11" x14ac:dyDescent="0.35">
      <c r="A51" s="32" t="s">
        <v>248</v>
      </c>
      <c r="B51" s="195" t="s">
        <v>227</v>
      </c>
      <c r="C51" s="196"/>
      <c r="D51" s="196"/>
      <c r="E51" s="196"/>
      <c r="F51" s="197" t="s">
        <v>230</v>
      </c>
      <c r="G51" s="197"/>
      <c r="H51" s="197"/>
      <c r="I51" s="197"/>
    </row>
    <row r="52" spans="1:11" x14ac:dyDescent="0.35">
      <c r="B52" s="38" t="s">
        <v>102</v>
      </c>
      <c r="C52" s="38" t="s">
        <v>226</v>
      </c>
      <c r="D52" s="38" t="s">
        <v>104</v>
      </c>
      <c r="E52" s="38" t="s">
        <v>105</v>
      </c>
      <c r="F52" s="38" t="s">
        <v>102</v>
      </c>
      <c r="G52" s="38" t="s">
        <v>226</v>
      </c>
      <c r="H52" s="38" t="s">
        <v>104</v>
      </c>
      <c r="I52" s="38" t="s">
        <v>105</v>
      </c>
      <c r="J52" s="38" t="s">
        <v>120</v>
      </c>
      <c r="K52" s="38" t="s">
        <v>231</v>
      </c>
    </row>
    <row r="53" spans="1:11" x14ac:dyDescent="0.35">
      <c r="A53" s="37" t="s">
        <v>11</v>
      </c>
      <c r="B53" s="37">
        <v>2.8000000000000001E-2</v>
      </c>
      <c r="C53" s="37">
        <v>28378.047999999999</v>
      </c>
      <c r="D53" s="37">
        <v>14769</v>
      </c>
      <c r="E53" s="37">
        <v>65535</v>
      </c>
      <c r="F53" s="37">
        <v>1.7999999999999999E-2</v>
      </c>
      <c r="G53" s="37">
        <v>24635.830999999998</v>
      </c>
      <c r="H53" s="37">
        <v>0</v>
      </c>
      <c r="I53" s="37">
        <v>65535</v>
      </c>
      <c r="J53" s="37">
        <f>C53/G53</f>
        <v>1.1519013911079354</v>
      </c>
      <c r="K53" s="37">
        <v>1</v>
      </c>
    </row>
    <row r="54" spans="1:11" x14ac:dyDescent="0.35">
      <c r="A54" s="37" t="s">
        <v>251</v>
      </c>
      <c r="B54" s="37">
        <v>2.7E-2</v>
      </c>
      <c r="C54" s="37">
        <v>22166.842000000001</v>
      </c>
      <c r="D54" s="37">
        <v>17303</v>
      </c>
      <c r="E54" s="37">
        <v>65535</v>
      </c>
      <c r="F54" s="37">
        <v>1.7999999999999999E-2</v>
      </c>
      <c r="G54" s="37">
        <v>20647.163</v>
      </c>
      <c r="H54" s="37">
        <v>0</v>
      </c>
      <c r="I54" s="37">
        <v>65535</v>
      </c>
      <c r="J54" s="37">
        <f>C54/G54</f>
        <v>1.0736023152430192</v>
      </c>
      <c r="K54" s="37">
        <f>J54/J53</f>
        <v>0.93202623378238503</v>
      </c>
    </row>
    <row r="55" spans="1:11" x14ac:dyDescent="0.35">
      <c r="A55" s="37" t="s">
        <v>48</v>
      </c>
      <c r="B55" s="37">
        <v>2.7E-2</v>
      </c>
      <c r="C55" s="37">
        <v>22166.842000000001</v>
      </c>
      <c r="D55" s="37">
        <v>17303</v>
      </c>
      <c r="E55" s="37">
        <v>65535</v>
      </c>
      <c r="F55" s="37">
        <v>1.7999999999999999E-2</v>
      </c>
      <c r="G55" s="37">
        <v>20647.163</v>
      </c>
      <c r="H55" s="37">
        <v>0</v>
      </c>
      <c r="I55" s="37">
        <v>65535</v>
      </c>
      <c r="J55" s="37">
        <f>C55/G55</f>
        <v>1.0736023152430192</v>
      </c>
      <c r="K55" s="37">
        <f>J55/J53</f>
        <v>0.93202623378238503</v>
      </c>
    </row>
    <row r="56" spans="1:11" x14ac:dyDescent="0.35">
      <c r="A56" s="37" t="s">
        <v>252</v>
      </c>
      <c r="B56" s="37">
        <v>2.7E-2</v>
      </c>
      <c r="C56" s="37">
        <v>22166.842000000001</v>
      </c>
      <c r="D56" s="37">
        <v>17303</v>
      </c>
      <c r="E56" s="37">
        <v>65535</v>
      </c>
      <c r="F56" s="37">
        <v>1.7999999999999999E-2</v>
      </c>
      <c r="G56" s="37">
        <v>20647.163</v>
      </c>
      <c r="H56" s="37">
        <v>0</v>
      </c>
      <c r="I56" s="37">
        <v>65535</v>
      </c>
      <c r="J56" s="37">
        <f>C56/G56</f>
        <v>1.0736023152430192</v>
      </c>
      <c r="K56" s="37">
        <f>J56/J53</f>
        <v>0.93202623378238503</v>
      </c>
    </row>
    <row r="57" spans="1:11" x14ac:dyDescent="0.35">
      <c r="A57" s="37" t="s">
        <v>253</v>
      </c>
      <c r="B57" s="37">
        <v>2.7E-2</v>
      </c>
      <c r="C57" s="37">
        <v>22166.842000000001</v>
      </c>
      <c r="D57" s="37">
        <v>17303</v>
      </c>
      <c r="E57" s="37">
        <v>65535</v>
      </c>
      <c r="F57" s="37">
        <v>1.7999999999999999E-2</v>
      </c>
      <c r="G57" s="37">
        <v>20647.163</v>
      </c>
      <c r="H57" s="37">
        <v>0</v>
      </c>
      <c r="I57" s="37">
        <v>65535</v>
      </c>
      <c r="J57" s="37">
        <f>C57/G57</f>
        <v>1.0736023152430192</v>
      </c>
      <c r="K57" s="37">
        <f>J57/J53</f>
        <v>0.93202623378238503</v>
      </c>
    </row>
    <row r="60" spans="1:11" ht="21" x14ac:dyDescent="0.5">
      <c r="A60" s="163" t="s">
        <v>254</v>
      </c>
      <c r="B60" s="163"/>
      <c r="C60" s="163"/>
      <c r="D60" s="163"/>
      <c r="E60" s="163"/>
      <c r="F60" s="163"/>
      <c r="G60" s="163"/>
      <c r="H60" s="163"/>
      <c r="I60" s="163"/>
      <c r="J60" s="163"/>
    </row>
    <row r="61" spans="1:11" x14ac:dyDescent="0.35">
      <c r="A61" s="32" t="s">
        <v>249</v>
      </c>
      <c r="B61" s="195" t="s">
        <v>227</v>
      </c>
      <c r="C61" s="196"/>
      <c r="D61" s="196"/>
      <c r="E61" s="196"/>
      <c r="F61" s="197" t="s">
        <v>230</v>
      </c>
      <c r="G61" s="197"/>
      <c r="H61" s="197"/>
      <c r="I61" s="197"/>
    </row>
    <row r="62" spans="1:11" x14ac:dyDescent="0.35">
      <c r="B62" s="38" t="s">
        <v>102</v>
      </c>
      <c r="C62" s="38" t="s">
        <v>226</v>
      </c>
      <c r="D62" s="38" t="s">
        <v>104</v>
      </c>
      <c r="E62" s="38" t="s">
        <v>105</v>
      </c>
      <c r="F62" s="38" t="s">
        <v>102</v>
      </c>
      <c r="G62" s="38" t="s">
        <v>226</v>
      </c>
      <c r="H62" s="38" t="s">
        <v>104</v>
      </c>
      <c r="I62" s="38" t="s">
        <v>105</v>
      </c>
      <c r="J62" s="38" t="s">
        <v>120</v>
      </c>
      <c r="K62" s="38" t="s">
        <v>231</v>
      </c>
    </row>
    <row r="63" spans="1:11" x14ac:dyDescent="0.35">
      <c r="A63" s="37" t="s">
        <v>11</v>
      </c>
      <c r="B63" s="37">
        <v>2.8000000000000001E-2</v>
      </c>
      <c r="C63" s="37">
        <v>28378.047999999999</v>
      </c>
      <c r="D63" s="37">
        <v>14769</v>
      </c>
      <c r="E63" s="37">
        <v>65535</v>
      </c>
      <c r="F63" s="37">
        <v>2.5999999999999999E-2</v>
      </c>
      <c r="G63" s="37">
        <v>24635.830999999998</v>
      </c>
      <c r="H63" s="37">
        <v>0</v>
      </c>
      <c r="I63" s="37">
        <v>65535</v>
      </c>
      <c r="J63" s="37">
        <f>C63/G63</f>
        <v>1.1519013911079354</v>
      </c>
      <c r="K63" s="37">
        <v>1</v>
      </c>
    </row>
    <row r="64" spans="1:11" x14ac:dyDescent="0.35">
      <c r="A64" s="37" t="s">
        <v>251</v>
      </c>
      <c r="B64" s="37">
        <v>2.7E-2</v>
      </c>
      <c r="C64" s="37">
        <v>25166.842000000001</v>
      </c>
      <c r="D64" s="37">
        <v>17303</v>
      </c>
      <c r="E64" s="37">
        <v>65535</v>
      </c>
      <c r="F64" s="37">
        <v>2.7E-2</v>
      </c>
      <c r="G64" s="37">
        <v>22847.163</v>
      </c>
      <c r="H64" s="37">
        <v>0</v>
      </c>
      <c r="I64" s="37">
        <v>65535</v>
      </c>
      <c r="J64" s="37">
        <f>C64/G64</f>
        <v>1.1015302862766814</v>
      </c>
      <c r="K64" s="37">
        <f>J64/J63</f>
        <v>0.95627133952602872</v>
      </c>
    </row>
    <row r="65" spans="1:11" x14ac:dyDescent="0.35">
      <c r="A65" s="37" t="s">
        <v>48</v>
      </c>
      <c r="B65" s="37">
        <v>1.7000000000000001E-2</v>
      </c>
      <c r="C65" s="37">
        <v>2686.8420000000001</v>
      </c>
      <c r="D65" s="37">
        <v>17303</v>
      </c>
      <c r="E65" s="37">
        <v>65535</v>
      </c>
      <c r="F65" s="37">
        <v>2.7E-2</v>
      </c>
      <c r="G65" s="37">
        <v>20647.163</v>
      </c>
      <c r="H65" s="37">
        <v>0</v>
      </c>
      <c r="I65" s="37">
        <v>65535</v>
      </c>
      <c r="J65" s="37">
        <f>C65/G65</f>
        <v>0.13013129212957733</v>
      </c>
      <c r="K65" s="37">
        <f>J65/J63</f>
        <v>0.11297086116409054</v>
      </c>
    </row>
    <row r="66" spans="1:11" x14ac:dyDescent="0.35">
      <c r="A66" s="37" t="s">
        <v>252</v>
      </c>
      <c r="B66" s="37">
        <v>2.7E-2</v>
      </c>
      <c r="C66" s="37">
        <v>39621.841999999997</v>
      </c>
      <c r="D66" s="37">
        <v>17303</v>
      </c>
      <c r="E66" s="37">
        <v>65535</v>
      </c>
      <c r="F66" s="37">
        <v>2.5999999999999999E-2</v>
      </c>
      <c r="G66" s="37">
        <v>25473.163</v>
      </c>
      <c r="H66" s="37">
        <v>0</v>
      </c>
      <c r="I66" s="37">
        <v>65535</v>
      </c>
      <c r="J66" s="37">
        <f>C66/G66</f>
        <v>1.5554347137809308</v>
      </c>
      <c r="K66" s="37">
        <f>J66/J63</f>
        <v>1.3503193292308331</v>
      </c>
    </row>
    <row r="67" spans="1:11" x14ac:dyDescent="0.35">
      <c r="A67" s="37" t="s">
        <v>253</v>
      </c>
      <c r="B67" s="37">
        <v>3.1E-2</v>
      </c>
      <c r="C67" s="37">
        <v>34162.841999999997</v>
      </c>
      <c r="D67" s="37">
        <v>17303</v>
      </c>
      <c r="E67" s="37">
        <v>65535</v>
      </c>
      <c r="F67" s="37">
        <v>2.8000000000000001E-2</v>
      </c>
      <c r="G67" s="37">
        <v>19647.163</v>
      </c>
      <c r="H67" s="37">
        <v>0</v>
      </c>
      <c r="I67" s="37">
        <v>65535</v>
      </c>
      <c r="J67" s="37">
        <f>C67/G67</f>
        <v>1.7388180675245579</v>
      </c>
      <c r="K67" s="37">
        <f>J67/J63</f>
        <v>1.5095198954939253</v>
      </c>
    </row>
  </sheetData>
  <mergeCells count="27">
    <mergeCell ref="A60:J60"/>
    <mergeCell ref="B61:E61"/>
    <mergeCell ref="F61:I61"/>
    <mergeCell ref="A42:J42"/>
    <mergeCell ref="B43:E43"/>
    <mergeCell ref="F43:I43"/>
    <mergeCell ref="A50:J50"/>
    <mergeCell ref="B51:E51"/>
    <mergeCell ref="F51:I51"/>
    <mergeCell ref="B36:E36"/>
    <mergeCell ref="F36:I36"/>
    <mergeCell ref="B29:E29"/>
    <mergeCell ref="F29:I29"/>
    <mergeCell ref="B17:E17"/>
    <mergeCell ref="F17:I17"/>
    <mergeCell ref="B22:E22"/>
    <mergeCell ref="F22:I22"/>
    <mergeCell ref="A21:J21"/>
    <mergeCell ref="A1:J1"/>
    <mergeCell ref="A28:J28"/>
    <mergeCell ref="A35:J35"/>
    <mergeCell ref="B2:E2"/>
    <mergeCell ref="F2:I2"/>
    <mergeCell ref="B7:E7"/>
    <mergeCell ref="F7:I7"/>
    <mergeCell ref="B12:E12"/>
    <mergeCell ref="F12:I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690C8-C98E-434F-8524-F02F142FD76B}">
  <dimension ref="A1:H60"/>
  <sheetViews>
    <sheetView topLeftCell="A41" zoomScale="70" zoomScaleNormal="70" workbookViewId="0">
      <selection activeCell="N43" sqref="N43"/>
    </sheetView>
  </sheetViews>
  <sheetFormatPr defaultRowHeight="14.5" x14ac:dyDescent="0.35"/>
  <cols>
    <col min="1" max="1" width="13.36328125" customWidth="1"/>
  </cols>
  <sheetData>
    <row r="1" spans="1:8" ht="21" x14ac:dyDescent="0.5">
      <c r="A1" s="163" t="s">
        <v>162</v>
      </c>
      <c r="B1" s="163"/>
      <c r="C1" s="163"/>
      <c r="D1" s="163"/>
      <c r="E1" s="163"/>
      <c r="F1" s="163"/>
      <c r="G1" s="163"/>
    </row>
    <row r="3" spans="1:8" x14ac:dyDescent="0.35">
      <c r="A3" s="32" t="s">
        <v>101</v>
      </c>
    </row>
    <row r="4" spans="1:8" x14ac:dyDescent="0.35">
      <c r="A4" s="38"/>
      <c r="B4" s="38"/>
      <c r="C4" s="38" t="s">
        <v>102</v>
      </c>
      <c r="D4" s="38" t="s">
        <v>103</v>
      </c>
      <c r="E4" s="38" t="s">
        <v>104</v>
      </c>
      <c r="F4" s="38" t="s">
        <v>105</v>
      </c>
      <c r="G4" s="38" t="s">
        <v>106</v>
      </c>
    </row>
    <row r="5" spans="1:8" x14ac:dyDescent="0.35">
      <c r="A5" s="199" t="s">
        <v>117</v>
      </c>
      <c r="B5" s="37">
        <v>1</v>
      </c>
      <c r="C5" s="37">
        <v>627.08500000000004</v>
      </c>
      <c r="D5" s="37">
        <v>11.984999999999999</v>
      </c>
      <c r="E5" s="37">
        <v>0</v>
      </c>
      <c r="F5" s="37">
        <v>255</v>
      </c>
      <c r="G5" s="37">
        <v>15</v>
      </c>
    </row>
    <row r="6" spans="1:8" x14ac:dyDescent="0.35">
      <c r="A6" s="200"/>
      <c r="B6" s="37">
        <v>2</v>
      </c>
      <c r="C6" s="37">
        <v>627.08500000000004</v>
      </c>
      <c r="D6" s="37">
        <v>12.497</v>
      </c>
      <c r="E6" s="37">
        <v>0</v>
      </c>
      <c r="F6" s="37">
        <v>255</v>
      </c>
      <c r="G6" s="37">
        <v>14</v>
      </c>
    </row>
    <row r="7" spans="1:8" x14ac:dyDescent="0.35">
      <c r="A7" s="200"/>
      <c r="B7" s="37">
        <v>3</v>
      </c>
      <c r="C7" s="37">
        <v>627.08500000000004</v>
      </c>
      <c r="D7" s="37">
        <v>12.77</v>
      </c>
      <c r="E7" s="37">
        <v>0</v>
      </c>
      <c r="F7" s="37">
        <v>255</v>
      </c>
      <c r="G7" s="37">
        <v>13</v>
      </c>
    </row>
    <row r="8" spans="1:8" x14ac:dyDescent="0.35">
      <c r="A8" s="201"/>
      <c r="B8" s="37"/>
      <c r="C8" s="38" t="s">
        <v>3</v>
      </c>
      <c r="D8" s="37">
        <f>AVERAGE(D5:D7)</f>
        <v>12.417333333333332</v>
      </c>
      <c r="E8" s="37"/>
      <c r="F8" s="37"/>
      <c r="G8" s="37"/>
    </row>
    <row r="9" spans="1:8" x14ac:dyDescent="0.35">
      <c r="A9" s="199" t="s">
        <v>118</v>
      </c>
      <c r="B9" s="37">
        <v>1</v>
      </c>
      <c r="C9" s="37">
        <v>627.08500000000004</v>
      </c>
      <c r="D9" s="37">
        <v>13.401</v>
      </c>
      <c r="E9" s="37">
        <v>0</v>
      </c>
      <c r="F9" s="37">
        <v>255</v>
      </c>
      <c r="G9" s="37">
        <v>9</v>
      </c>
    </row>
    <row r="10" spans="1:8" x14ac:dyDescent="0.35">
      <c r="A10" s="200"/>
      <c r="B10" s="37">
        <v>2</v>
      </c>
      <c r="C10" s="37">
        <v>627.08500000000004</v>
      </c>
      <c r="D10" s="37">
        <v>7.9249999999999998</v>
      </c>
      <c r="E10" s="37">
        <v>0</v>
      </c>
      <c r="F10" s="37">
        <v>255</v>
      </c>
      <c r="G10" s="37">
        <v>10</v>
      </c>
    </row>
    <row r="11" spans="1:8" x14ac:dyDescent="0.35">
      <c r="A11" s="200"/>
      <c r="B11" s="37">
        <v>3</v>
      </c>
      <c r="C11" s="37">
        <v>627.08500000000004</v>
      </c>
      <c r="D11" s="37">
        <v>6.6909999999999998</v>
      </c>
      <c r="E11" s="37">
        <v>0</v>
      </c>
      <c r="F11" s="37">
        <v>255</v>
      </c>
      <c r="G11" s="37">
        <v>9</v>
      </c>
    </row>
    <row r="12" spans="1:8" x14ac:dyDescent="0.35">
      <c r="A12" s="201"/>
      <c r="B12" s="37"/>
      <c r="C12" s="38" t="s">
        <v>3</v>
      </c>
      <c r="D12" s="37">
        <f>AVERAGE(D9:D11)</f>
        <v>9.3390000000000004</v>
      </c>
      <c r="E12" s="37"/>
      <c r="F12" s="37"/>
      <c r="G12" s="37"/>
    </row>
    <row r="14" spans="1:8" x14ac:dyDescent="0.35">
      <c r="A14" s="32" t="s">
        <v>110</v>
      </c>
      <c r="B14" s="32"/>
      <c r="C14" s="32"/>
    </row>
    <row r="15" spans="1:8" ht="29" x14ac:dyDescent="0.35">
      <c r="A15" s="37"/>
      <c r="B15" s="37"/>
      <c r="C15" s="44" t="s">
        <v>111</v>
      </c>
      <c r="D15" s="37"/>
      <c r="E15" s="37"/>
      <c r="F15" s="38" t="s">
        <v>102</v>
      </c>
      <c r="G15" s="38" t="s">
        <v>103</v>
      </c>
      <c r="H15" s="38" t="s">
        <v>16</v>
      </c>
    </row>
    <row r="16" spans="1:8" x14ac:dyDescent="0.35">
      <c r="A16" s="199" t="s">
        <v>117</v>
      </c>
      <c r="B16" s="37" t="s">
        <v>112</v>
      </c>
      <c r="C16" s="37">
        <v>15</v>
      </c>
      <c r="D16" s="37"/>
      <c r="E16" s="37">
        <v>1</v>
      </c>
      <c r="F16" s="37">
        <v>627.08500000000004</v>
      </c>
      <c r="G16" s="37">
        <v>0.28399999999999997</v>
      </c>
      <c r="H16" s="37">
        <v>7.9509550600966566E-2</v>
      </c>
    </row>
    <row r="17" spans="1:8" x14ac:dyDescent="0.35">
      <c r="A17" s="200"/>
      <c r="B17" s="37" t="s">
        <v>112</v>
      </c>
      <c r="C17" s="37">
        <v>14</v>
      </c>
      <c r="D17" s="37"/>
      <c r="E17" s="37">
        <v>1</v>
      </c>
      <c r="F17" s="37">
        <v>627.08500000000004</v>
      </c>
      <c r="G17" s="37">
        <v>0.20200000000000001</v>
      </c>
      <c r="H17" s="37"/>
    </row>
    <row r="18" spans="1:8" x14ac:dyDescent="0.35">
      <c r="A18" s="200"/>
      <c r="B18" s="37" t="s">
        <v>112</v>
      </c>
      <c r="C18" s="37">
        <v>13</v>
      </c>
      <c r="D18" s="37"/>
      <c r="E18" s="37">
        <v>1</v>
      </c>
      <c r="F18" s="37">
        <v>627.08500000000004</v>
      </c>
      <c r="G18" s="37">
        <v>0.23200000000000001</v>
      </c>
      <c r="H18" s="37"/>
    </row>
    <row r="19" spans="1:8" x14ac:dyDescent="0.35">
      <c r="A19" s="201"/>
      <c r="B19" s="37"/>
      <c r="C19" s="37"/>
      <c r="D19" s="37"/>
      <c r="E19" s="37"/>
      <c r="F19" s="37"/>
      <c r="G19" s="37"/>
      <c r="H19" s="37"/>
    </row>
    <row r="20" spans="1:8" x14ac:dyDescent="0.35">
      <c r="A20" s="199" t="s">
        <v>118</v>
      </c>
      <c r="B20" s="37" t="s">
        <v>112</v>
      </c>
      <c r="C20" s="37">
        <v>9</v>
      </c>
      <c r="D20" s="37"/>
      <c r="E20" s="37">
        <v>1</v>
      </c>
      <c r="F20" s="37">
        <v>627.08500000000004</v>
      </c>
      <c r="G20" s="37">
        <v>1.222</v>
      </c>
      <c r="H20" s="37">
        <v>1.2870711516657507</v>
      </c>
    </row>
    <row r="21" spans="1:8" x14ac:dyDescent="0.35">
      <c r="A21" s="200"/>
      <c r="B21" s="37" t="s">
        <v>112</v>
      </c>
      <c r="C21" s="37">
        <v>10</v>
      </c>
      <c r="D21" s="37"/>
      <c r="E21" s="37">
        <v>1</v>
      </c>
      <c r="F21" s="37">
        <v>627.08500000000004</v>
      </c>
      <c r="G21" s="37">
        <v>0.64900000000000002</v>
      </c>
      <c r="H21" s="37"/>
    </row>
    <row r="22" spans="1:8" x14ac:dyDescent="0.35">
      <c r="A22" s="200"/>
      <c r="B22" s="37" t="s">
        <v>112</v>
      </c>
      <c r="C22" s="37">
        <v>9</v>
      </c>
      <c r="D22" s="37"/>
      <c r="E22" s="37">
        <v>1</v>
      </c>
      <c r="F22" s="37">
        <v>627.08500000000004</v>
      </c>
      <c r="G22" s="37">
        <v>2.7519999999999998</v>
      </c>
      <c r="H22" s="37"/>
    </row>
    <row r="23" spans="1:8" x14ac:dyDescent="0.35">
      <c r="A23" s="201"/>
      <c r="B23" s="37"/>
      <c r="C23" s="37"/>
      <c r="D23" s="37"/>
      <c r="E23" s="37"/>
      <c r="F23" s="37"/>
      <c r="G23" s="37"/>
      <c r="H23" s="37"/>
    </row>
    <row r="26" spans="1:8" x14ac:dyDescent="0.35">
      <c r="A26" s="32" t="s">
        <v>113</v>
      </c>
      <c r="B26" s="32"/>
    </row>
    <row r="27" spans="1:8" x14ac:dyDescent="0.35">
      <c r="A27" s="37" t="s">
        <v>114</v>
      </c>
      <c r="B27" s="37"/>
      <c r="C27" s="198" t="s">
        <v>115</v>
      </c>
      <c r="D27" s="198"/>
      <c r="E27" s="198" t="s">
        <v>14</v>
      </c>
      <c r="F27" s="198"/>
      <c r="G27" s="198"/>
    </row>
    <row r="28" spans="1:8" x14ac:dyDescent="0.35">
      <c r="A28" s="37" t="s">
        <v>116</v>
      </c>
      <c r="B28" s="37"/>
      <c r="C28" s="45" t="s">
        <v>108</v>
      </c>
      <c r="D28" s="45" t="s">
        <v>109</v>
      </c>
      <c r="E28" s="46"/>
      <c r="F28" s="45" t="s">
        <v>108</v>
      </c>
      <c r="G28" s="45" t="s">
        <v>109</v>
      </c>
    </row>
    <row r="29" spans="1:8" x14ac:dyDescent="0.35">
      <c r="A29" s="37"/>
      <c r="B29" s="37"/>
      <c r="C29" s="37">
        <v>9.2999999999999999E-2</v>
      </c>
      <c r="D29" s="37">
        <v>0.13100000000000001</v>
      </c>
      <c r="E29" s="37"/>
      <c r="F29" s="37">
        <v>2.1257142857142854</v>
      </c>
      <c r="G29" s="37">
        <v>2.9942857142857142</v>
      </c>
    </row>
    <row r="30" spans="1:8" x14ac:dyDescent="0.35">
      <c r="A30" s="37"/>
      <c r="B30" s="37"/>
      <c r="C30" s="37">
        <v>3.5000000000000003E-2</v>
      </c>
      <c r="D30" s="37">
        <v>0.12</v>
      </c>
      <c r="E30" s="37"/>
      <c r="F30" s="37">
        <v>0.8</v>
      </c>
      <c r="G30" s="37">
        <v>2.7428571428571424</v>
      </c>
    </row>
    <row r="31" spans="1:8" x14ac:dyDescent="0.35">
      <c r="A31" s="37"/>
      <c r="B31" s="37"/>
      <c r="C31" s="37">
        <v>0.01</v>
      </c>
      <c r="D31" s="37">
        <v>0.45</v>
      </c>
      <c r="E31" s="37"/>
      <c r="F31" s="37">
        <v>0.22857142857142856</v>
      </c>
      <c r="G31" s="37">
        <v>10.285714285714285</v>
      </c>
    </row>
    <row r="32" spans="1:8" x14ac:dyDescent="0.35">
      <c r="A32" s="37"/>
      <c r="B32" s="37"/>
      <c r="C32" s="37">
        <v>3.6999999999999998E-2</v>
      </c>
      <c r="D32" s="37">
        <v>0.57599999999999996</v>
      </c>
      <c r="E32" s="37"/>
      <c r="F32" s="37">
        <v>0.84571428571428564</v>
      </c>
      <c r="G32" s="37">
        <v>13.165714285714284</v>
      </c>
    </row>
    <row r="33" spans="1:7" x14ac:dyDescent="0.35">
      <c r="A33" s="37"/>
      <c r="B33" s="37"/>
      <c r="C33" s="37"/>
      <c r="D33" s="37"/>
      <c r="E33" s="37"/>
      <c r="F33" s="37"/>
      <c r="G33" s="37"/>
    </row>
    <row r="34" spans="1:7" x14ac:dyDescent="0.35">
      <c r="A34" s="37"/>
      <c r="B34" s="38" t="s">
        <v>3</v>
      </c>
      <c r="C34" s="37">
        <f>AVERAGE(C29:C32)</f>
        <v>4.3750000000000004E-2</v>
      </c>
      <c r="D34" s="37">
        <f>AVERAGE(D29:D32)</f>
        <v>0.31925000000000003</v>
      </c>
      <c r="E34" s="37"/>
      <c r="F34" s="37">
        <v>0.99999999999999989</v>
      </c>
      <c r="G34" s="37">
        <v>7.2971428571428563</v>
      </c>
    </row>
    <row r="35" spans="1:7" x14ac:dyDescent="0.35">
      <c r="A35" s="37"/>
      <c r="B35" s="38" t="s">
        <v>107</v>
      </c>
      <c r="C35" s="37">
        <f>STDEVA(C29:C32)</f>
        <v>3.5055907728465202E-2</v>
      </c>
      <c r="D35" s="37">
        <f t="shared" ref="D35" si="0">STDEVA(D29:D32)</f>
        <v>0.22960455134861754</v>
      </c>
      <c r="E35" s="37"/>
      <c r="F35" s="37">
        <v>0.80127789093634727</v>
      </c>
      <c r="G35" s="37">
        <v>5.2481040308255453</v>
      </c>
    </row>
    <row r="36" spans="1:7" x14ac:dyDescent="0.35">
      <c r="A36" s="37"/>
      <c r="B36" s="38" t="s">
        <v>16</v>
      </c>
      <c r="C36" s="37">
        <f>C35/SQRT(4)</f>
        <v>1.7527953864232601E-2</v>
      </c>
      <c r="D36" s="37">
        <f t="shared" ref="D36" si="1">D35/SQRT(4)</f>
        <v>0.11480227567430877</v>
      </c>
      <c r="E36" s="37"/>
      <c r="F36" s="37">
        <v>0.40063894546817364</v>
      </c>
      <c r="G36" s="37">
        <v>2.6240520154127727</v>
      </c>
    </row>
    <row r="40" spans="1:7" ht="21" x14ac:dyDescent="0.5">
      <c r="A40" s="163" t="s">
        <v>163</v>
      </c>
      <c r="B40" s="163"/>
      <c r="C40" s="163"/>
      <c r="D40" s="163"/>
      <c r="E40" s="163"/>
      <c r="F40" s="163"/>
      <c r="G40" s="163"/>
    </row>
    <row r="41" spans="1:7" x14ac:dyDescent="0.35">
      <c r="A41" s="32" t="s">
        <v>125</v>
      </c>
      <c r="B41" s="32"/>
      <c r="C41" s="32"/>
      <c r="D41" s="32"/>
    </row>
    <row r="42" spans="1:7" x14ac:dyDescent="0.35">
      <c r="A42" s="38" t="s">
        <v>47</v>
      </c>
      <c r="B42" s="38" t="s">
        <v>102</v>
      </c>
      <c r="C42" s="38" t="s">
        <v>119</v>
      </c>
      <c r="D42" s="38" t="s">
        <v>104</v>
      </c>
      <c r="E42" s="38" t="s">
        <v>105</v>
      </c>
      <c r="F42" s="38" t="s">
        <v>120</v>
      </c>
      <c r="G42" s="37"/>
    </row>
    <row r="43" spans="1:7" x14ac:dyDescent="0.35">
      <c r="A43" s="37" t="s">
        <v>121</v>
      </c>
      <c r="B43" s="37">
        <v>2.8000000000000001E-2</v>
      </c>
      <c r="C43" s="37">
        <v>28378.047999999999</v>
      </c>
      <c r="D43" s="37">
        <v>14769</v>
      </c>
      <c r="E43" s="37">
        <v>65535</v>
      </c>
      <c r="F43" s="37">
        <f>C43/C47</f>
        <v>1.1519013911079354</v>
      </c>
      <c r="G43" s="37"/>
    </row>
    <row r="44" spans="1:7" x14ac:dyDescent="0.35">
      <c r="A44" s="37" t="s">
        <v>109</v>
      </c>
      <c r="B44" s="37">
        <v>2.8000000000000001E-2</v>
      </c>
      <c r="C44" s="37">
        <v>39166.841999999997</v>
      </c>
      <c r="D44" s="37">
        <v>17303</v>
      </c>
      <c r="E44" s="37">
        <v>65535</v>
      </c>
      <c r="F44" s="37">
        <f>C44/C48</f>
        <v>1.8969599842845235</v>
      </c>
      <c r="G44" s="37"/>
    </row>
    <row r="45" spans="1:7" x14ac:dyDescent="0.35">
      <c r="A45" s="37"/>
      <c r="B45" s="37"/>
      <c r="C45" s="37"/>
      <c r="D45" s="37"/>
      <c r="E45" s="37"/>
      <c r="F45" s="37"/>
      <c r="G45" s="37"/>
    </row>
    <row r="46" spans="1:7" x14ac:dyDescent="0.35">
      <c r="A46" s="38" t="s">
        <v>122</v>
      </c>
      <c r="B46" s="38" t="s">
        <v>102</v>
      </c>
      <c r="C46" s="38" t="s">
        <v>119</v>
      </c>
      <c r="D46" s="38" t="s">
        <v>104</v>
      </c>
      <c r="E46" s="38" t="s">
        <v>105</v>
      </c>
      <c r="F46" s="37"/>
      <c r="G46" s="37"/>
    </row>
    <row r="47" spans="1:7" x14ac:dyDescent="0.35">
      <c r="A47" s="37" t="s">
        <v>121</v>
      </c>
      <c r="B47" s="37">
        <v>1.7999999999999999E-2</v>
      </c>
      <c r="C47" s="37">
        <v>24635.830999999998</v>
      </c>
      <c r="D47" s="37">
        <v>0</v>
      </c>
      <c r="E47" s="37">
        <v>65535</v>
      </c>
      <c r="F47" s="37"/>
      <c r="G47" s="37"/>
    </row>
    <row r="48" spans="1:7" x14ac:dyDescent="0.35">
      <c r="A48" s="37" t="s">
        <v>109</v>
      </c>
      <c r="B48" s="37">
        <v>1.7999999999999999E-2</v>
      </c>
      <c r="C48" s="37">
        <v>20647.163</v>
      </c>
      <c r="D48" s="37">
        <v>0</v>
      </c>
      <c r="E48" s="37">
        <v>65535</v>
      </c>
      <c r="F48" s="37"/>
      <c r="G48" s="37"/>
    </row>
    <row r="49" spans="1:7" x14ac:dyDescent="0.35">
      <c r="A49" s="37"/>
      <c r="B49" s="37"/>
      <c r="C49" s="37"/>
      <c r="D49" s="37"/>
      <c r="E49" s="37"/>
      <c r="F49" s="37"/>
      <c r="G49" s="37"/>
    </row>
    <row r="50" spans="1:7" x14ac:dyDescent="0.35">
      <c r="A50" s="38" t="s">
        <v>123</v>
      </c>
      <c r="B50" s="38"/>
      <c r="C50" s="38"/>
      <c r="D50" s="38" t="s">
        <v>124</v>
      </c>
      <c r="E50" s="37"/>
      <c r="F50" s="37"/>
      <c r="G50" s="37"/>
    </row>
    <row r="51" spans="1:7" x14ac:dyDescent="0.35">
      <c r="A51" s="38" t="s">
        <v>47</v>
      </c>
      <c r="B51" s="38" t="s">
        <v>102</v>
      </c>
      <c r="C51" s="38" t="s">
        <v>119</v>
      </c>
      <c r="D51" s="38" t="s">
        <v>104</v>
      </c>
      <c r="E51" s="38" t="s">
        <v>105</v>
      </c>
      <c r="F51" s="37"/>
      <c r="G51" s="37"/>
    </row>
    <row r="52" spans="1:7" x14ac:dyDescent="0.35">
      <c r="A52" s="37" t="s">
        <v>121</v>
      </c>
      <c r="B52" s="37">
        <v>0.03</v>
      </c>
      <c r="C52" s="37">
        <v>13172.531000000001</v>
      </c>
      <c r="D52" s="37">
        <v>448</v>
      </c>
      <c r="E52" s="37">
        <v>65535</v>
      </c>
      <c r="F52" s="37">
        <f>C52/C56</f>
        <v>0.53817838047440725</v>
      </c>
      <c r="G52" s="37"/>
    </row>
    <row r="53" spans="1:7" x14ac:dyDescent="0.35">
      <c r="A53" s="37" t="s">
        <v>109</v>
      </c>
      <c r="B53" s="37">
        <v>0.03</v>
      </c>
      <c r="C53" s="37">
        <v>17890.187999999998</v>
      </c>
      <c r="D53" s="37">
        <v>1380</v>
      </c>
      <c r="E53" s="37">
        <v>65535</v>
      </c>
      <c r="F53" s="37">
        <f>C53/C57</f>
        <v>0.74628562032014678</v>
      </c>
      <c r="G53" s="37"/>
    </row>
    <row r="54" spans="1:7" x14ac:dyDescent="0.35">
      <c r="A54" s="38" t="s">
        <v>122</v>
      </c>
      <c r="B54" s="37"/>
      <c r="C54" s="37"/>
      <c r="D54" s="37"/>
      <c r="E54" s="37"/>
      <c r="F54" s="37"/>
      <c r="G54" s="37"/>
    </row>
    <row r="55" spans="1:7" x14ac:dyDescent="0.35">
      <c r="A55" s="37" t="s">
        <v>121</v>
      </c>
      <c r="B55" s="38" t="s">
        <v>102</v>
      </c>
      <c r="C55" s="38" t="s">
        <v>119</v>
      </c>
      <c r="D55" s="38" t="s">
        <v>104</v>
      </c>
      <c r="E55" s="38" t="s">
        <v>105</v>
      </c>
      <c r="F55" s="37"/>
      <c r="G55" s="37"/>
    </row>
    <row r="56" spans="1:7" x14ac:dyDescent="0.35">
      <c r="A56" s="37" t="s">
        <v>109</v>
      </c>
      <c r="B56" s="37">
        <v>2.8000000000000001E-2</v>
      </c>
      <c r="C56" s="37">
        <v>24476.143</v>
      </c>
      <c r="D56" s="37">
        <v>3804</v>
      </c>
      <c r="E56" s="37">
        <v>65535</v>
      </c>
      <c r="F56" s="37"/>
      <c r="G56" s="37"/>
    </row>
    <row r="57" spans="1:7" x14ac:dyDescent="0.35">
      <c r="A57" s="37"/>
      <c r="B57" s="37">
        <v>2.8000000000000001E-2</v>
      </c>
      <c r="C57" s="37">
        <v>23972.307000000001</v>
      </c>
      <c r="D57" s="37">
        <v>4784</v>
      </c>
      <c r="E57" s="37">
        <v>65535</v>
      </c>
      <c r="F57" s="37"/>
      <c r="G57" s="37"/>
    </row>
    <row r="58" spans="1:7" x14ac:dyDescent="0.35">
      <c r="A58" s="38" t="s">
        <v>119</v>
      </c>
      <c r="B58" s="38"/>
      <c r="C58" s="38"/>
      <c r="D58" s="38"/>
      <c r="E58" s="38" t="s">
        <v>3</v>
      </c>
      <c r="F58" s="38" t="s">
        <v>107</v>
      </c>
      <c r="G58" s="38" t="s">
        <v>16</v>
      </c>
    </row>
    <row r="59" spans="1:7" x14ac:dyDescent="0.35">
      <c r="A59" s="37"/>
      <c r="B59" s="37">
        <v>1.1519013911079354</v>
      </c>
      <c r="C59" s="37">
        <v>0.53817838047440725</v>
      </c>
      <c r="D59" s="37"/>
      <c r="E59" s="37">
        <f>AVERAGE(B59:C59)</f>
        <v>0.8450398857911714</v>
      </c>
      <c r="F59" s="37">
        <f>STDEVA(B59:C59)</f>
        <v>0.43396770258919115</v>
      </c>
      <c r="G59" s="37">
        <f>F59/SQRT(2)</f>
        <v>0.30686150531676393</v>
      </c>
    </row>
    <row r="60" spans="1:7" x14ac:dyDescent="0.35">
      <c r="A60" s="37"/>
      <c r="B60" s="37">
        <v>1.8969599842845235</v>
      </c>
      <c r="C60" s="37">
        <v>0.74628562032014678</v>
      </c>
      <c r="D60" s="37"/>
      <c r="E60" s="37">
        <f>AVERAGE(B60:C60)</f>
        <v>1.3216228023023351</v>
      </c>
      <c r="F60" s="37">
        <f>STDEVA(B60:C60)</f>
        <v>0.81364964569672871</v>
      </c>
      <c r="G60" s="37">
        <f>F60/SQRT(2)</f>
        <v>0.57533718198218864</v>
      </c>
    </row>
  </sheetData>
  <mergeCells count="8">
    <mergeCell ref="E27:G27"/>
    <mergeCell ref="A40:G40"/>
    <mergeCell ref="A1:G1"/>
    <mergeCell ref="A5:A8"/>
    <mergeCell ref="A9:A12"/>
    <mergeCell ref="A16:A19"/>
    <mergeCell ref="A20:A23"/>
    <mergeCell ref="C27:D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A2C68-D115-4562-B20B-0B1A2447F29E}">
  <dimension ref="A1:X56"/>
  <sheetViews>
    <sheetView tabSelected="1" zoomScale="70" zoomScaleNormal="70" workbookViewId="0">
      <selection activeCell="N10" sqref="N10"/>
    </sheetView>
  </sheetViews>
  <sheetFormatPr defaultRowHeight="12.5" x14ac:dyDescent="0.25"/>
  <cols>
    <col min="1" max="1" width="3" style="133" bestFit="1" customWidth="1"/>
    <col min="2" max="2" width="10.453125" style="133" bestFit="1" customWidth="1"/>
    <col min="3" max="3" width="7.54296875" style="133" bestFit="1" customWidth="1"/>
    <col min="4" max="16384" width="8.7265625" style="133"/>
  </cols>
  <sheetData>
    <row r="1" spans="1:24" ht="23.5" x14ac:dyDescent="0.55000000000000004">
      <c r="A1" s="43" t="s">
        <v>164</v>
      </c>
    </row>
    <row r="3" spans="1:24" ht="12.75" customHeight="1" x14ac:dyDescent="0.3">
      <c r="A3" s="132" t="s">
        <v>258</v>
      </c>
      <c r="B3" s="132" t="s">
        <v>259</v>
      </c>
      <c r="C3" s="132" t="s">
        <v>260</v>
      </c>
      <c r="D3" s="132" t="s">
        <v>261</v>
      </c>
      <c r="E3" s="132" t="s">
        <v>262</v>
      </c>
      <c r="F3" s="132" t="s">
        <v>3</v>
      </c>
      <c r="G3" s="132" t="s">
        <v>72</v>
      </c>
    </row>
    <row r="4" spans="1:24" ht="12.75" customHeight="1" x14ac:dyDescent="0.25">
      <c r="A4" s="139">
        <v>1</v>
      </c>
      <c r="B4" s="139" t="s">
        <v>269</v>
      </c>
      <c r="C4" s="139">
        <v>1.21</v>
      </c>
      <c r="D4" s="139">
        <v>36</v>
      </c>
      <c r="E4" s="134">
        <f t="shared" ref="E4:E27" si="0">D4/C4</f>
        <v>29.75206611570248</v>
      </c>
      <c r="F4" s="203">
        <f>AVERAGE(E4:E7)</f>
        <v>35.432908130189929</v>
      </c>
      <c r="G4" s="203">
        <f>STDEV(E4:E7)/SQRT(3)</f>
        <v>4.4678082112774025</v>
      </c>
    </row>
    <row r="5" spans="1:24" ht="12.75" customHeight="1" x14ac:dyDescent="0.35">
      <c r="A5" s="139">
        <v>2</v>
      </c>
      <c r="B5" s="139" t="s">
        <v>270</v>
      </c>
      <c r="C5" s="139">
        <v>1.1950000000000001</v>
      </c>
      <c r="D5" s="139">
        <v>36</v>
      </c>
      <c r="E5" s="134">
        <f t="shared" si="0"/>
        <v>30.1255230125523</v>
      </c>
      <c r="F5" s="203"/>
      <c r="G5" s="203"/>
      <c r="S5"/>
      <c r="T5"/>
      <c r="U5"/>
      <c r="V5"/>
      <c r="W5"/>
      <c r="X5"/>
    </row>
    <row r="6" spans="1:24" ht="12.75" customHeight="1" x14ac:dyDescent="0.35">
      <c r="A6" s="139">
        <v>3</v>
      </c>
      <c r="B6" s="139" t="s">
        <v>271</v>
      </c>
      <c r="C6" s="139">
        <v>1.014</v>
      </c>
      <c r="D6" s="139">
        <v>36</v>
      </c>
      <c r="E6" s="134">
        <f t="shared" si="0"/>
        <v>35.502958579881657</v>
      </c>
      <c r="F6" s="203"/>
      <c r="G6" s="203"/>
      <c r="S6"/>
      <c r="T6"/>
      <c r="U6"/>
      <c r="V6"/>
      <c r="W6"/>
      <c r="X6"/>
    </row>
    <row r="7" spans="1:24" ht="12.75" customHeight="1" x14ac:dyDescent="0.35">
      <c r="A7" s="139">
        <v>4</v>
      </c>
      <c r="B7" s="139" t="s">
        <v>272</v>
      </c>
      <c r="C7" s="139">
        <v>1.014</v>
      </c>
      <c r="D7" s="139">
        <v>47</v>
      </c>
      <c r="E7" s="134">
        <f t="shared" si="0"/>
        <v>46.35108481262327</v>
      </c>
      <c r="F7" s="203"/>
      <c r="G7" s="203"/>
      <c r="S7"/>
      <c r="T7"/>
      <c r="U7"/>
      <c r="V7"/>
      <c r="W7"/>
      <c r="X7"/>
    </row>
    <row r="8" spans="1:24" ht="12.75" customHeight="1" x14ac:dyDescent="0.35">
      <c r="A8" s="139">
        <v>5</v>
      </c>
      <c r="B8" s="139" t="s">
        <v>281</v>
      </c>
      <c r="C8" s="139">
        <v>0.95</v>
      </c>
      <c r="D8" s="139">
        <v>32</v>
      </c>
      <c r="E8" s="134">
        <f t="shared" si="0"/>
        <v>33.684210526315788</v>
      </c>
      <c r="F8" s="203">
        <f>AVERAGE(E8:E11)</f>
        <v>29.055759389964877</v>
      </c>
      <c r="G8" s="203">
        <f>STDEV(E8:E11)/SQRT(3)</f>
        <v>5.1820531351805625</v>
      </c>
      <c r="I8" s="202"/>
      <c r="S8"/>
      <c r="T8"/>
      <c r="U8"/>
      <c r="V8"/>
      <c r="W8"/>
      <c r="X8"/>
    </row>
    <row r="9" spans="1:24" ht="12.75" customHeight="1" x14ac:dyDescent="0.35">
      <c r="A9" s="139">
        <v>6</v>
      </c>
      <c r="B9" s="139" t="s">
        <v>282</v>
      </c>
      <c r="C9" s="139">
        <v>0.95599999999999996</v>
      </c>
      <c r="D9" s="139">
        <v>32</v>
      </c>
      <c r="E9" s="134">
        <f t="shared" si="0"/>
        <v>33.472803347280333</v>
      </c>
      <c r="F9" s="203"/>
      <c r="G9" s="203"/>
      <c r="I9" s="202"/>
      <c r="S9"/>
      <c r="T9"/>
      <c r="U9"/>
      <c r="V9"/>
      <c r="W9"/>
      <c r="X9"/>
    </row>
    <row r="10" spans="1:24" ht="12.75" customHeight="1" x14ac:dyDescent="0.35">
      <c r="A10" s="139">
        <v>7</v>
      </c>
      <c r="B10" s="139" t="s">
        <v>283</v>
      </c>
      <c r="C10" s="139">
        <v>0.95599999999999996</v>
      </c>
      <c r="D10" s="139">
        <v>32</v>
      </c>
      <c r="E10" s="134">
        <f t="shared" si="0"/>
        <v>33.472803347280333</v>
      </c>
      <c r="F10" s="203"/>
      <c r="G10" s="203"/>
      <c r="I10" s="135"/>
      <c r="S10"/>
      <c r="T10"/>
      <c r="U10"/>
      <c r="V10"/>
      <c r="W10"/>
      <c r="X10"/>
    </row>
    <row r="11" spans="1:24" ht="12.75" customHeight="1" x14ac:dyDescent="0.35">
      <c r="A11" s="139">
        <v>8</v>
      </c>
      <c r="B11" s="139" t="s">
        <v>284</v>
      </c>
      <c r="C11" s="139">
        <v>1.4750000000000001</v>
      </c>
      <c r="D11" s="139">
        <v>23</v>
      </c>
      <c r="E11" s="134">
        <f t="shared" si="0"/>
        <v>15.59322033898305</v>
      </c>
      <c r="F11" s="203"/>
      <c r="G11" s="203"/>
      <c r="I11" s="202"/>
      <c r="S11"/>
      <c r="T11"/>
      <c r="U11"/>
      <c r="V11"/>
      <c r="W11"/>
      <c r="X11"/>
    </row>
    <row r="12" spans="1:24" ht="12.75" customHeight="1" x14ac:dyDescent="0.25">
      <c r="A12" s="139">
        <v>9</v>
      </c>
      <c r="B12" s="139" t="s">
        <v>280</v>
      </c>
      <c r="C12" s="139">
        <v>0.90700000000000003</v>
      </c>
      <c r="D12" s="139">
        <v>34</v>
      </c>
      <c r="E12" s="134">
        <f t="shared" si="0"/>
        <v>37.486218302094819</v>
      </c>
      <c r="F12" s="203">
        <f>AVERAGE(E12:E15)</f>
        <v>26.972960274926187</v>
      </c>
      <c r="G12" s="203">
        <f>STDEV(E12:E15)/SQRT(3)</f>
        <v>5.1328240911500513</v>
      </c>
      <c r="I12" s="202"/>
    </row>
    <row r="13" spans="1:24" ht="12.75" customHeight="1" x14ac:dyDescent="0.25">
      <c r="A13" s="139">
        <v>10</v>
      </c>
      <c r="B13" s="139" t="s">
        <v>279</v>
      </c>
      <c r="C13" s="139">
        <v>0.97599999999999998</v>
      </c>
      <c r="D13" s="139">
        <v>29</v>
      </c>
      <c r="E13" s="134">
        <f t="shared" si="0"/>
        <v>29.71311475409836</v>
      </c>
      <c r="F13" s="203"/>
      <c r="G13" s="203"/>
      <c r="I13" s="202"/>
    </row>
    <row r="14" spans="1:24" ht="12.75" customHeight="1" x14ac:dyDescent="0.25">
      <c r="A14" s="139">
        <v>11</v>
      </c>
      <c r="B14" s="139" t="s">
        <v>278</v>
      </c>
      <c r="C14" s="139">
        <v>1.0980000000000001</v>
      </c>
      <c r="D14" s="139">
        <v>18</v>
      </c>
      <c r="E14" s="134">
        <f t="shared" si="0"/>
        <v>16.393442622950818</v>
      </c>
      <c r="F14" s="203"/>
      <c r="G14" s="203"/>
      <c r="I14" s="202"/>
    </row>
    <row r="15" spans="1:24" ht="12.75" customHeight="1" x14ac:dyDescent="0.25">
      <c r="A15" s="139">
        <v>12</v>
      </c>
      <c r="B15" s="139" t="s">
        <v>277</v>
      </c>
      <c r="C15" s="139">
        <v>1.07</v>
      </c>
      <c r="D15" s="139">
        <v>26</v>
      </c>
      <c r="E15" s="134">
        <f t="shared" si="0"/>
        <v>24.299065420560748</v>
      </c>
      <c r="F15" s="203"/>
      <c r="G15" s="203"/>
    </row>
    <row r="16" spans="1:24" ht="12.75" customHeight="1" x14ac:dyDescent="0.25">
      <c r="A16" s="139">
        <v>13</v>
      </c>
      <c r="B16" s="139" t="s">
        <v>273</v>
      </c>
      <c r="C16" s="139">
        <v>1.077</v>
      </c>
      <c r="D16" s="139">
        <v>39</v>
      </c>
      <c r="E16" s="134">
        <f t="shared" si="0"/>
        <v>36.211699164345404</v>
      </c>
      <c r="F16" s="203">
        <f>AVERAGE(E16:E19)</f>
        <v>35.42729751237141</v>
      </c>
      <c r="G16" s="203">
        <f>STDEV(E16:E19)/SQRT(3)</f>
        <v>4.6719001830340403</v>
      </c>
    </row>
    <row r="17" spans="1:9" ht="12.75" customHeight="1" x14ac:dyDescent="0.25">
      <c r="A17" s="139">
        <v>14</v>
      </c>
      <c r="B17" s="139" t="s">
        <v>274</v>
      </c>
      <c r="C17" s="139">
        <v>0.85199999999999998</v>
      </c>
      <c r="D17" s="139">
        <v>32</v>
      </c>
      <c r="E17" s="134">
        <f t="shared" si="0"/>
        <v>37.558685446009392</v>
      </c>
      <c r="F17" s="203"/>
      <c r="G17" s="203"/>
    </row>
    <row r="18" spans="1:9" ht="12.75" customHeight="1" x14ac:dyDescent="0.25">
      <c r="A18" s="139">
        <v>15</v>
      </c>
      <c r="B18" s="139" t="s">
        <v>275</v>
      </c>
      <c r="C18" s="139">
        <v>1.07</v>
      </c>
      <c r="D18" s="139">
        <v>26</v>
      </c>
      <c r="E18" s="134">
        <f t="shared" si="0"/>
        <v>24.299065420560748</v>
      </c>
      <c r="F18" s="203"/>
      <c r="G18" s="203"/>
    </row>
    <row r="19" spans="1:9" ht="12.75" customHeight="1" x14ac:dyDescent="0.25">
      <c r="A19" s="139">
        <v>16</v>
      </c>
      <c r="B19" s="139" t="s">
        <v>276</v>
      </c>
      <c r="C19" s="139">
        <v>1.077</v>
      </c>
      <c r="D19" s="139">
        <v>47</v>
      </c>
      <c r="E19" s="134">
        <f t="shared" si="0"/>
        <v>43.639740018570102</v>
      </c>
      <c r="F19" s="203"/>
      <c r="G19" s="203"/>
    </row>
    <row r="20" spans="1:9" ht="12.75" customHeight="1" x14ac:dyDescent="0.25">
      <c r="A20" s="139">
        <v>17</v>
      </c>
      <c r="B20" s="139" t="s">
        <v>263</v>
      </c>
      <c r="C20" s="139">
        <v>0.85199999999999998</v>
      </c>
      <c r="D20" s="139">
        <v>25</v>
      </c>
      <c r="E20" s="134">
        <f t="shared" si="0"/>
        <v>29.342723004694836</v>
      </c>
      <c r="F20" s="203">
        <f>AVERAGE(E20:E23)</f>
        <v>25.709239014155436</v>
      </c>
      <c r="G20" s="203">
        <f>STDEV(E20:E23)/SQRT(3)</f>
        <v>4.1035685082107918</v>
      </c>
    </row>
    <row r="21" spans="1:9" ht="12.75" customHeight="1" x14ac:dyDescent="0.25">
      <c r="A21" s="139">
        <v>18</v>
      </c>
      <c r="B21" s="139" t="s">
        <v>264</v>
      </c>
      <c r="C21" s="139">
        <v>1.0429999999999999</v>
      </c>
      <c r="D21" s="139">
        <v>33</v>
      </c>
      <c r="E21" s="134">
        <f t="shared" si="0"/>
        <v>31.639501438159158</v>
      </c>
      <c r="F21" s="203"/>
      <c r="G21" s="203"/>
      <c r="I21" s="202"/>
    </row>
    <row r="22" spans="1:9" ht="12.75" customHeight="1" x14ac:dyDescent="0.25">
      <c r="A22" s="139">
        <v>19</v>
      </c>
      <c r="B22" s="139" t="s">
        <v>265</v>
      </c>
      <c r="C22" s="139">
        <v>0.91300000000000003</v>
      </c>
      <c r="D22" s="139">
        <v>24</v>
      </c>
      <c r="E22" s="134">
        <f t="shared" si="0"/>
        <v>26.286966046002188</v>
      </c>
      <c r="F22" s="203"/>
      <c r="G22" s="203"/>
      <c r="I22" s="202"/>
    </row>
    <row r="23" spans="1:9" ht="12.75" customHeight="1" x14ac:dyDescent="0.25">
      <c r="A23" s="139">
        <v>20</v>
      </c>
      <c r="B23" s="139" t="s">
        <v>285</v>
      </c>
      <c r="C23" s="139">
        <v>1.0920000000000001</v>
      </c>
      <c r="D23" s="139">
        <v>17</v>
      </c>
      <c r="E23" s="134">
        <f t="shared" si="0"/>
        <v>15.567765567765566</v>
      </c>
      <c r="F23" s="203"/>
      <c r="G23" s="203"/>
      <c r="I23" s="202"/>
    </row>
    <row r="24" spans="1:9" ht="12.75" customHeight="1" x14ac:dyDescent="0.25">
      <c r="A24" s="139">
        <v>21</v>
      </c>
      <c r="B24" s="139" t="s">
        <v>286</v>
      </c>
      <c r="C24" s="139">
        <v>1.056</v>
      </c>
      <c r="D24" s="139">
        <v>14</v>
      </c>
      <c r="E24" s="134">
        <f t="shared" si="0"/>
        <v>13.257575757575758</v>
      </c>
      <c r="F24" s="203">
        <f>AVERAGE(E24:E27)</f>
        <v>17.841228219652596</v>
      </c>
      <c r="G24" s="203">
        <f>STDEV(E24:E27)/SQRT(3)</f>
        <v>4.3252944422712574</v>
      </c>
      <c r="I24" s="202"/>
    </row>
    <row r="25" spans="1:9" ht="12.75" customHeight="1" x14ac:dyDescent="0.25">
      <c r="A25" s="139">
        <v>22</v>
      </c>
      <c r="B25" s="139" t="s">
        <v>287</v>
      </c>
      <c r="C25" s="139">
        <v>0.97</v>
      </c>
      <c r="D25" s="139">
        <v>11</v>
      </c>
      <c r="E25" s="134">
        <f t="shared" si="0"/>
        <v>11.340206185567011</v>
      </c>
      <c r="F25" s="203"/>
      <c r="G25" s="203"/>
      <c r="I25" s="202"/>
    </row>
    <row r="26" spans="1:9" ht="12.75" customHeight="1" x14ac:dyDescent="0.25">
      <c r="A26" s="139">
        <v>23</v>
      </c>
      <c r="B26" s="139" t="s">
        <v>288</v>
      </c>
      <c r="C26" s="139">
        <v>0.96199999999999997</v>
      </c>
      <c r="D26" s="139">
        <v>18</v>
      </c>
      <c r="E26" s="134">
        <f t="shared" si="0"/>
        <v>18.711018711018713</v>
      </c>
      <c r="F26" s="203"/>
      <c r="G26" s="203"/>
      <c r="I26" s="202"/>
    </row>
    <row r="27" spans="1:9" ht="12.75" customHeight="1" x14ac:dyDescent="0.25">
      <c r="A27" s="139">
        <v>24</v>
      </c>
      <c r="B27" s="139" t="s">
        <v>289</v>
      </c>
      <c r="C27" s="139">
        <v>0.998</v>
      </c>
      <c r="D27" s="139">
        <v>28</v>
      </c>
      <c r="E27" s="134">
        <f t="shared" si="0"/>
        <v>28.056112224448899</v>
      </c>
      <c r="F27" s="203"/>
      <c r="G27" s="203"/>
    </row>
    <row r="28" spans="1:9" ht="12.75" customHeight="1" x14ac:dyDescent="0.35">
      <c r="A28" s="139">
        <v>25</v>
      </c>
      <c r="B28" s="139" t="s">
        <v>266</v>
      </c>
      <c r="C28" s="37">
        <v>0.49099999999999999</v>
      </c>
      <c r="D28" s="37">
        <v>281</v>
      </c>
      <c r="E28" s="136">
        <f t="shared" ref="E28:E30" si="1">D28/C28</f>
        <v>572.30142566191444</v>
      </c>
      <c r="F28" s="203">
        <f>AVERAGE(E28:E31)</f>
        <v>412.6783114818503</v>
      </c>
      <c r="G28" s="203">
        <f>STDEV(E28:E31)/SQRT(3)</f>
        <v>70.423658186122523</v>
      </c>
    </row>
    <row r="29" spans="1:9" ht="12.75" customHeight="1" x14ac:dyDescent="0.35">
      <c r="A29" s="139">
        <v>26</v>
      </c>
      <c r="B29" s="139" t="s">
        <v>267</v>
      </c>
      <c r="C29" s="37">
        <v>0.44700000000000001</v>
      </c>
      <c r="D29" s="37">
        <v>196</v>
      </c>
      <c r="E29" s="136">
        <f t="shared" si="1"/>
        <v>438.47874720357942</v>
      </c>
      <c r="F29" s="203"/>
      <c r="G29" s="203"/>
    </row>
    <row r="30" spans="1:9" ht="12.75" customHeight="1" x14ac:dyDescent="0.35">
      <c r="A30" s="139">
        <v>27</v>
      </c>
      <c r="B30" s="139" t="s">
        <v>268</v>
      </c>
      <c r="C30" s="37">
        <v>0.55000000000000004</v>
      </c>
      <c r="D30" s="37">
        <v>190</v>
      </c>
      <c r="E30" s="136">
        <f t="shared" si="1"/>
        <v>345.45454545454544</v>
      </c>
      <c r="F30" s="203"/>
      <c r="G30" s="203"/>
    </row>
    <row r="31" spans="1:9" ht="12.75" customHeight="1" x14ac:dyDescent="0.25">
      <c r="A31" s="139">
        <v>28</v>
      </c>
      <c r="B31" s="139" t="s">
        <v>290</v>
      </c>
      <c r="C31" s="139">
        <v>0.97799999999999998</v>
      </c>
      <c r="D31" s="139">
        <v>288</v>
      </c>
      <c r="E31" s="134">
        <f t="shared" ref="E31:E43" si="2">D31/C31</f>
        <v>294.47852760736197</v>
      </c>
      <c r="F31" s="203"/>
      <c r="G31" s="203"/>
    </row>
    <row r="32" spans="1:9" ht="12.75" customHeight="1" x14ac:dyDescent="0.35">
      <c r="A32" s="139">
        <v>29</v>
      </c>
      <c r="B32" s="139" t="s">
        <v>291</v>
      </c>
      <c r="C32" s="37">
        <v>0.49099999999999999</v>
      </c>
      <c r="D32" s="37">
        <v>185</v>
      </c>
      <c r="E32" s="134">
        <f t="shared" si="2"/>
        <v>376.78207739307538</v>
      </c>
      <c r="F32" s="203">
        <f>AVERAGE(E32:E35)</f>
        <v>409.25052833605366</v>
      </c>
      <c r="G32" s="203">
        <f>STDEV(E32:E35)/SQRT(3)</f>
        <v>41.6316005631152</v>
      </c>
    </row>
    <row r="33" spans="1:23" ht="12.75" customHeight="1" x14ac:dyDescent="0.35">
      <c r="A33" s="139">
        <v>30</v>
      </c>
      <c r="B33" s="139" t="s">
        <v>292</v>
      </c>
      <c r="C33" s="37">
        <v>0.44700000000000001</v>
      </c>
      <c r="D33" s="37">
        <v>154</v>
      </c>
      <c r="E33" s="134">
        <f t="shared" si="2"/>
        <v>344.51901565995524</v>
      </c>
      <c r="F33" s="203"/>
      <c r="G33" s="203"/>
    </row>
    <row r="34" spans="1:23" ht="12.75" customHeight="1" x14ac:dyDescent="0.35">
      <c r="A34" s="139">
        <v>31</v>
      </c>
      <c r="B34" s="139" t="s">
        <v>293</v>
      </c>
      <c r="C34" s="37">
        <v>0.55000000000000004</v>
      </c>
      <c r="D34" s="37">
        <v>281</v>
      </c>
      <c r="E34" s="134">
        <f t="shared" si="2"/>
        <v>510.90909090909088</v>
      </c>
      <c r="F34" s="203"/>
      <c r="G34" s="203"/>
    </row>
    <row r="35" spans="1:23" ht="12.75" customHeight="1" x14ac:dyDescent="0.25">
      <c r="A35" s="139">
        <v>32</v>
      </c>
      <c r="B35" s="139" t="s">
        <v>294</v>
      </c>
      <c r="C35" s="139">
        <v>0.79300000000000004</v>
      </c>
      <c r="D35" s="139">
        <v>321</v>
      </c>
      <c r="E35" s="134">
        <f t="shared" si="2"/>
        <v>404.79192938209331</v>
      </c>
      <c r="F35" s="203"/>
      <c r="G35" s="203"/>
    </row>
    <row r="36" spans="1:23" ht="12.75" customHeight="1" x14ac:dyDescent="0.25">
      <c r="A36" s="139">
        <v>33</v>
      </c>
      <c r="B36" s="139" t="s">
        <v>295</v>
      </c>
      <c r="C36" s="139">
        <v>1.2989999999999999</v>
      </c>
      <c r="D36" s="139">
        <v>68</v>
      </c>
      <c r="E36" s="134">
        <f t="shared" si="2"/>
        <v>52.347959969207082</v>
      </c>
      <c r="F36" s="203">
        <f>AVERAGE(E36:E39)</f>
        <v>49.265866310387352</v>
      </c>
      <c r="G36" s="203">
        <f>STDEV(E36:E39)/SQRT(3)</f>
        <v>4.9867200639017835</v>
      </c>
      <c r="K36" s="138"/>
    </row>
    <row r="37" spans="1:23" ht="12.75" customHeight="1" x14ac:dyDescent="0.25">
      <c r="A37" s="139">
        <v>34</v>
      </c>
      <c r="B37" s="139" t="s">
        <v>296</v>
      </c>
      <c r="C37" s="139">
        <v>1.2869999999999999</v>
      </c>
      <c r="D37" s="139">
        <v>69</v>
      </c>
      <c r="E37" s="134">
        <f t="shared" si="2"/>
        <v>53.613053613053616</v>
      </c>
      <c r="F37" s="203"/>
      <c r="G37" s="203"/>
      <c r="K37" s="138"/>
    </row>
    <row r="38" spans="1:23" ht="12.75" customHeight="1" x14ac:dyDescent="0.25">
      <c r="A38" s="139">
        <v>35</v>
      </c>
      <c r="B38" s="139" t="s">
        <v>297</v>
      </c>
      <c r="C38" s="139">
        <v>1.319</v>
      </c>
      <c r="D38" s="139">
        <v>48</v>
      </c>
      <c r="E38" s="134">
        <f t="shared" si="2"/>
        <v>36.391205458680822</v>
      </c>
      <c r="F38" s="203"/>
      <c r="G38" s="203"/>
      <c r="K38" s="138"/>
    </row>
    <row r="39" spans="1:23" ht="12.75" customHeight="1" x14ac:dyDescent="0.25">
      <c r="A39" s="139">
        <v>36</v>
      </c>
      <c r="B39" s="139" t="s">
        <v>298</v>
      </c>
      <c r="C39" s="139">
        <v>0.98699999999999999</v>
      </c>
      <c r="D39" s="139">
        <v>54</v>
      </c>
      <c r="E39" s="134">
        <f t="shared" si="2"/>
        <v>54.711246200607903</v>
      </c>
      <c r="F39" s="203"/>
      <c r="G39" s="203"/>
      <c r="K39" s="138"/>
    </row>
    <row r="40" spans="1:23" ht="12.75" customHeight="1" x14ac:dyDescent="0.35">
      <c r="A40" s="139">
        <v>37</v>
      </c>
      <c r="B40" s="139" t="s">
        <v>299</v>
      </c>
      <c r="C40" s="139">
        <v>0.92400000000000004</v>
      </c>
      <c r="D40" s="139">
        <v>41</v>
      </c>
      <c r="E40" s="134">
        <f t="shared" si="2"/>
        <v>44.37229437229437</v>
      </c>
      <c r="F40" s="203">
        <f>AVERAGE(E40:E43)</f>
        <v>39.114560682217814</v>
      </c>
      <c r="G40" s="203">
        <f>STDEV(E40:E43)/SQRT(3)</f>
        <v>6.0030043908017809</v>
      </c>
      <c r="R40"/>
      <c r="S40"/>
      <c r="T40"/>
      <c r="U40" s="137"/>
      <c r="V40" s="206"/>
      <c r="W40" s="206"/>
    </row>
    <row r="41" spans="1:23" ht="12.75" customHeight="1" x14ac:dyDescent="0.35">
      <c r="A41" s="139">
        <v>38</v>
      </c>
      <c r="B41" s="139" t="s">
        <v>300</v>
      </c>
      <c r="C41" s="139">
        <v>1.63</v>
      </c>
      <c r="D41" s="139">
        <v>45</v>
      </c>
      <c r="E41" s="134">
        <f t="shared" si="2"/>
        <v>27.607361963190186</v>
      </c>
      <c r="F41" s="203"/>
      <c r="G41" s="203"/>
      <c r="R41"/>
      <c r="S41"/>
      <c r="T41"/>
      <c r="U41" s="137"/>
      <c r="V41" s="206"/>
      <c r="W41" s="206"/>
    </row>
    <row r="42" spans="1:23" ht="14.5" x14ac:dyDescent="0.35">
      <c r="A42" s="139">
        <v>39</v>
      </c>
      <c r="B42" s="139" t="s">
        <v>301</v>
      </c>
      <c r="C42" s="139">
        <v>0.91900000000000004</v>
      </c>
      <c r="D42" s="139">
        <v>31</v>
      </c>
      <c r="E42" s="134">
        <f t="shared" si="2"/>
        <v>33.732317736670289</v>
      </c>
      <c r="F42" s="203"/>
      <c r="G42" s="203"/>
      <c r="R42"/>
      <c r="S42"/>
      <c r="T42"/>
      <c r="U42" s="137"/>
      <c r="V42" s="206"/>
      <c r="W42" s="206"/>
    </row>
    <row r="43" spans="1:23" ht="14.5" x14ac:dyDescent="0.35">
      <c r="A43" s="139">
        <v>40</v>
      </c>
      <c r="B43" s="139" t="s">
        <v>302</v>
      </c>
      <c r="C43" s="139">
        <v>1.0049999999999999</v>
      </c>
      <c r="D43" s="139">
        <v>51</v>
      </c>
      <c r="E43" s="134">
        <f t="shared" si="2"/>
        <v>50.746268656716424</v>
      </c>
      <c r="F43" s="203"/>
      <c r="G43" s="203"/>
      <c r="R43"/>
      <c r="S43"/>
      <c r="T43"/>
      <c r="U43" s="137"/>
      <c r="V43" s="206"/>
      <c r="W43" s="206"/>
    </row>
    <row r="44" spans="1:23" ht="14.5" x14ac:dyDescent="0.35">
      <c r="A44" s="139">
        <v>41</v>
      </c>
      <c r="B44" s="139" t="s">
        <v>303</v>
      </c>
      <c r="C44" s="37">
        <v>0.47499999999999998</v>
      </c>
      <c r="D44" s="37">
        <v>214</v>
      </c>
      <c r="E44" s="136">
        <f t="shared" ref="E44:E51" si="3">D44/C44</f>
        <v>450.5263157894737</v>
      </c>
      <c r="F44" s="205">
        <f>AVERAGE(E44:E46)</f>
        <v>509.03712514179352</v>
      </c>
      <c r="G44" s="205">
        <f>STDEV(E44:E46)/SQRT(3)</f>
        <v>29.264383189698805</v>
      </c>
      <c r="I44"/>
      <c r="J44"/>
      <c r="K44" s="137"/>
      <c r="R44"/>
      <c r="S44"/>
      <c r="T44"/>
      <c r="U44" s="137"/>
      <c r="V44" s="206"/>
      <c r="W44" s="206"/>
    </row>
    <row r="45" spans="1:23" ht="14.5" x14ac:dyDescent="0.35">
      <c r="A45" s="139">
        <v>42</v>
      </c>
      <c r="B45" s="139" t="s">
        <v>304</v>
      </c>
      <c r="C45" s="37">
        <v>0.35399999999999998</v>
      </c>
      <c r="D45" s="37">
        <v>191</v>
      </c>
      <c r="E45" s="136">
        <f t="shared" si="3"/>
        <v>539.54802259887003</v>
      </c>
      <c r="F45" s="205"/>
      <c r="G45" s="205"/>
      <c r="I45"/>
      <c r="J45"/>
      <c r="K45" s="137"/>
      <c r="R45"/>
      <c r="S45"/>
      <c r="T45"/>
      <c r="U45" s="137"/>
      <c r="V45" s="206"/>
      <c r="W45" s="206"/>
    </row>
    <row r="46" spans="1:23" ht="14.5" x14ac:dyDescent="0.35">
      <c r="A46" s="139">
        <v>43</v>
      </c>
      <c r="B46" s="139" t="s">
        <v>305</v>
      </c>
      <c r="C46" s="37">
        <v>0.59399999999999997</v>
      </c>
      <c r="D46" s="37">
        <v>319</v>
      </c>
      <c r="E46" s="136">
        <f t="shared" si="3"/>
        <v>537.03703703703707</v>
      </c>
      <c r="F46" s="205"/>
      <c r="G46" s="205"/>
      <c r="I46"/>
      <c r="J46"/>
      <c r="K46" s="137"/>
    </row>
    <row r="47" spans="1:23" ht="14.5" x14ac:dyDescent="0.35">
      <c r="A47" s="139">
        <v>44</v>
      </c>
      <c r="B47" s="139" t="s">
        <v>306</v>
      </c>
      <c r="C47" s="37">
        <v>0.42499999999999999</v>
      </c>
      <c r="D47" s="37">
        <v>222</v>
      </c>
      <c r="E47" s="136">
        <f t="shared" si="3"/>
        <v>522.35294117647061</v>
      </c>
      <c r="F47" s="205"/>
      <c r="G47" s="205"/>
      <c r="I47"/>
      <c r="J47"/>
      <c r="K47" s="137"/>
      <c r="R47"/>
      <c r="S47"/>
      <c r="T47"/>
      <c r="U47" s="137"/>
      <c r="V47" s="206"/>
      <c r="W47" s="206"/>
    </row>
    <row r="48" spans="1:23" ht="14.5" x14ac:dyDescent="0.35">
      <c r="A48" s="139">
        <v>45</v>
      </c>
      <c r="B48" s="139" t="s">
        <v>307</v>
      </c>
      <c r="C48" s="37">
        <v>0.50600000000000001</v>
      </c>
      <c r="D48" s="37">
        <v>212</v>
      </c>
      <c r="E48" s="136">
        <f t="shared" si="3"/>
        <v>418.97233201581025</v>
      </c>
      <c r="F48" s="205">
        <f>AVERAGE(E48:E50)</f>
        <v>498.15696917146192</v>
      </c>
      <c r="G48" s="205">
        <f>STDEV(E48:E50)/SQRT(3)</f>
        <v>39.594454040017823</v>
      </c>
      <c r="R48"/>
      <c r="S48"/>
      <c r="T48"/>
      <c r="U48" s="137"/>
      <c r="V48" s="206"/>
      <c r="W48" s="206"/>
    </row>
    <row r="49" spans="1:23" ht="14.5" x14ac:dyDescent="0.35">
      <c r="A49" s="139">
        <v>46</v>
      </c>
      <c r="B49" s="139" t="s">
        <v>308</v>
      </c>
      <c r="C49" s="37">
        <v>0.42899999999999999</v>
      </c>
      <c r="D49" s="37">
        <v>231</v>
      </c>
      <c r="E49" s="136">
        <f t="shared" si="3"/>
        <v>538.46153846153845</v>
      </c>
      <c r="F49" s="205"/>
      <c r="G49" s="205"/>
      <c r="R49"/>
      <c r="S49"/>
      <c r="T49"/>
      <c r="U49" s="137"/>
      <c r="V49" s="206"/>
      <c r="W49" s="206"/>
    </row>
    <row r="50" spans="1:23" ht="14.5" x14ac:dyDescent="0.35">
      <c r="A50" s="139">
        <v>47</v>
      </c>
      <c r="B50" s="139" t="s">
        <v>309</v>
      </c>
      <c r="C50" s="37">
        <v>0.59399999999999997</v>
      </c>
      <c r="D50" s="37">
        <v>319</v>
      </c>
      <c r="E50" s="136">
        <f t="shared" si="3"/>
        <v>537.03703703703707</v>
      </c>
      <c r="F50" s="205"/>
      <c r="G50" s="205"/>
      <c r="R50"/>
      <c r="S50"/>
      <c r="T50"/>
      <c r="U50" s="137"/>
      <c r="V50" s="206"/>
      <c r="W50" s="206"/>
    </row>
    <row r="51" spans="1:23" ht="14.5" x14ac:dyDescent="0.35">
      <c r="A51" s="139">
        <v>48</v>
      </c>
      <c r="B51" s="139" t="s">
        <v>294</v>
      </c>
      <c r="C51" s="37">
        <v>0.42499999999999999</v>
      </c>
      <c r="D51" s="37">
        <v>222</v>
      </c>
      <c r="E51" s="136">
        <f t="shared" si="3"/>
        <v>522.35294117647061</v>
      </c>
      <c r="F51" s="205"/>
      <c r="G51" s="205"/>
      <c r="R51"/>
      <c r="S51"/>
      <c r="T51"/>
      <c r="U51" s="137"/>
      <c r="V51" s="206"/>
      <c r="W51" s="206"/>
    </row>
    <row r="52" spans="1:23" ht="14.5" x14ac:dyDescent="0.35">
      <c r="R52"/>
      <c r="S52"/>
      <c r="T52"/>
      <c r="U52" s="137"/>
      <c r="V52" s="206"/>
      <c r="W52" s="206"/>
    </row>
    <row r="54" spans="1:23" x14ac:dyDescent="0.25">
      <c r="U54" s="138"/>
      <c r="V54" s="204"/>
      <c r="W54" s="204"/>
    </row>
    <row r="55" spans="1:23" x14ac:dyDescent="0.25">
      <c r="U55" s="138"/>
      <c r="V55" s="204"/>
      <c r="W55" s="204"/>
    </row>
    <row r="56" spans="1:23" x14ac:dyDescent="0.25">
      <c r="U56" s="138"/>
      <c r="V56" s="204"/>
      <c r="W56" s="204"/>
    </row>
  </sheetData>
  <mergeCells count="40">
    <mergeCell ref="W40:W42"/>
    <mergeCell ref="V43:V45"/>
    <mergeCell ref="W43:W45"/>
    <mergeCell ref="W50:W52"/>
    <mergeCell ref="F28:F31"/>
    <mergeCell ref="G28:G31"/>
    <mergeCell ref="F32:F35"/>
    <mergeCell ref="G32:G35"/>
    <mergeCell ref="F36:F39"/>
    <mergeCell ref="G36:G39"/>
    <mergeCell ref="F40:F43"/>
    <mergeCell ref="G40:G43"/>
    <mergeCell ref="V47:V49"/>
    <mergeCell ref="W47:W49"/>
    <mergeCell ref="F44:F47"/>
    <mergeCell ref="G44:G47"/>
    <mergeCell ref="W54:W56"/>
    <mergeCell ref="G4:G7"/>
    <mergeCell ref="F12:F15"/>
    <mergeCell ref="G12:G15"/>
    <mergeCell ref="F16:F19"/>
    <mergeCell ref="I21:I22"/>
    <mergeCell ref="I23:I24"/>
    <mergeCell ref="I25:I26"/>
    <mergeCell ref="F20:F23"/>
    <mergeCell ref="G20:G23"/>
    <mergeCell ref="F24:F27"/>
    <mergeCell ref="G16:G19"/>
    <mergeCell ref="F8:F11"/>
    <mergeCell ref="G8:G11"/>
    <mergeCell ref="G24:G27"/>
    <mergeCell ref="V40:V42"/>
    <mergeCell ref="I8:I9"/>
    <mergeCell ref="I11:I12"/>
    <mergeCell ref="I13:I14"/>
    <mergeCell ref="F4:F7"/>
    <mergeCell ref="V54:V56"/>
    <mergeCell ref="F48:F51"/>
    <mergeCell ref="G48:G51"/>
    <mergeCell ref="V50:V52"/>
  </mergeCells>
  <phoneticPr fontId="24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97E1D-7D56-4F9C-B398-80E3EC4ABD6B}">
  <dimension ref="A1:I52"/>
  <sheetViews>
    <sheetView zoomScale="55" zoomScaleNormal="55" workbookViewId="0">
      <selection activeCell="N16" sqref="N16"/>
    </sheetView>
  </sheetViews>
  <sheetFormatPr defaultRowHeight="14.5" x14ac:dyDescent="0.35"/>
  <cols>
    <col min="1" max="1" width="31.1796875" bestFit="1" customWidth="1"/>
  </cols>
  <sheetData>
    <row r="1" spans="1:9" ht="23.5" x14ac:dyDescent="0.55000000000000004">
      <c r="A1" s="43" t="s">
        <v>165</v>
      </c>
    </row>
    <row r="3" spans="1:9" x14ac:dyDescent="0.35">
      <c r="A3" s="131"/>
      <c r="B3" s="168" t="s">
        <v>145</v>
      </c>
      <c r="C3" s="168"/>
      <c r="D3" s="168"/>
      <c r="E3" s="168"/>
      <c r="F3" s="168"/>
      <c r="G3" s="168"/>
      <c r="H3" s="168"/>
      <c r="I3" s="168"/>
    </row>
    <row r="4" spans="1:9" ht="15" thickBot="1" x14ac:dyDescent="0.4">
      <c r="A4" s="130"/>
      <c r="B4" s="33" t="s">
        <v>8</v>
      </c>
      <c r="C4" s="34"/>
      <c r="D4" s="33" t="s">
        <v>7</v>
      </c>
      <c r="E4" s="33" t="s">
        <v>6</v>
      </c>
      <c r="F4" s="33" t="s">
        <v>5</v>
      </c>
      <c r="G4" s="33" t="s">
        <v>4</v>
      </c>
      <c r="H4" s="33" t="s">
        <v>3</v>
      </c>
      <c r="I4" s="33" t="s">
        <v>72</v>
      </c>
    </row>
    <row r="5" spans="1:9" x14ac:dyDescent="0.35">
      <c r="A5" s="207" t="s">
        <v>235</v>
      </c>
      <c r="B5" s="167" t="s">
        <v>146</v>
      </c>
      <c r="C5" s="35" t="s">
        <v>2</v>
      </c>
      <c r="D5" s="1">
        <v>33.699381444519503</v>
      </c>
      <c r="E5" s="36">
        <v>29.535826308154299</v>
      </c>
      <c r="F5" s="37">
        <f t="shared" ref="F5:F52" si="0">D5-E5</f>
        <v>4.1635551363652041</v>
      </c>
      <c r="G5" s="37">
        <f t="shared" ref="G5:G52" si="1">2^-F5</f>
        <v>5.5801389756340178E-2</v>
      </c>
      <c r="H5" s="164">
        <f t="shared" ref="H5" si="2">AVERAGE(G5:G7)</f>
        <v>8.3997479690007856E-2</v>
      </c>
      <c r="I5" s="164">
        <f t="shared" ref="I5" si="3">STDEV(G5:G7)/SQRT(3)</f>
        <v>2.0065269283332899E-2</v>
      </c>
    </row>
    <row r="6" spans="1:9" x14ac:dyDescent="0.35">
      <c r="A6" s="208"/>
      <c r="B6" s="167"/>
      <c r="C6" s="35" t="s">
        <v>1</v>
      </c>
      <c r="D6" s="1">
        <v>18.440695245476999</v>
      </c>
      <c r="E6" s="36">
        <v>14.6719383251296</v>
      </c>
      <c r="F6" s="34">
        <f t="shared" si="0"/>
        <v>3.7687569203473981</v>
      </c>
      <c r="G6" s="34">
        <f t="shared" si="1"/>
        <v>7.3365371430923768E-2</v>
      </c>
      <c r="H6" s="165"/>
      <c r="I6" s="165"/>
    </row>
    <row r="7" spans="1:9" x14ac:dyDescent="0.35">
      <c r="A7" s="208"/>
      <c r="B7" s="167"/>
      <c r="C7" s="35" t="s">
        <v>0</v>
      </c>
      <c r="D7" s="1">
        <v>19.1139319010307</v>
      </c>
      <c r="E7" s="36">
        <v>16.088616007580299</v>
      </c>
      <c r="F7" s="34">
        <f t="shared" si="0"/>
        <v>3.0253158934504008</v>
      </c>
      <c r="G7" s="34">
        <f t="shared" si="1"/>
        <v>0.12282567788275964</v>
      </c>
      <c r="H7" s="166"/>
      <c r="I7" s="166"/>
    </row>
    <row r="8" spans="1:9" x14ac:dyDescent="0.35">
      <c r="A8" s="208"/>
      <c r="B8" s="167" t="s">
        <v>147</v>
      </c>
      <c r="C8" s="35" t="s">
        <v>74</v>
      </c>
      <c r="D8" s="1">
        <v>19.3862551228104</v>
      </c>
      <c r="E8" s="36">
        <v>16.566819550149699</v>
      </c>
      <c r="F8" s="37">
        <f t="shared" si="0"/>
        <v>2.8194355726607014</v>
      </c>
      <c r="G8" s="37">
        <f t="shared" si="1"/>
        <v>0.14166589894388062</v>
      </c>
      <c r="H8" s="164">
        <f t="shared" ref="H8" si="4">AVERAGE(G8:G10)</f>
        <v>0.12616104225250016</v>
      </c>
      <c r="I8" s="164">
        <f t="shared" ref="I8" si="5">STDEV(G8:G10)/SQRT(3)</f>
        <v>8.1402320099984091E-3</v>
      </c>
    </row>
    <row r="9" spans="1:9" x14ac:dyDescent="0.35">
      <c r="A9" s="208"/>
      <c r="B9" s="167"/>
      <c r="C9" s="35" t="s">
        <v>75</v>
      </c>
      <c r="D9" s="1">
        <v>18.508535148760298</v>
      </c>
      <c r="E9" s="36">
        <v>15.4818431649009</v>
      </c>
      <c r="F9" s="34">
        <f t="shared" si="0"/>
        <v>3.0266919838593989</v>
      </c>
      <c r="G9" s="34">
        <f t="shared" si="1"/>
        <v>0.1227085785304579</v>
      </c>
      <c r="H9" s="165"/>
      <c r="I9" s="165"/>
    </row>
    <row r="10" spans="1:9" x14ac:dyDescent="0.35">
      <c r="A10" s="208"/>
      <c r="B10" s="167"/>
      <c r="C10" s="35" t="s">
        <v>76</v>
      </c>
      <c r="D10" s="1">
        <v>21.429092895623601</v>
      </c>
      <c r="E10" s="36">
        <v>18.297572950864101</v>
      </c>
      <c r="F10" s="34">
        <f t="shared" si="0"/>
        <v>3.1315199447594999</v>
      </c>
      <c r="G10" s="34">
        <f t="shared" si="1"/>
        <v>0.11410864928316196</v>
      </c>
      <c r="H10" s="166"/>
      <c r="I10" s="166"/>
    </row>
    <row r="11" spans="1:9" x14ac:dyDescent="0.35">
      <c r="A11" s="208"/>
      <c r="B11" s="167" t="s">
        <v>148</v>
      </c>
      <c r="C11" s="35" t="s">
        <v>74</v>
      </c>
      <c r="D11" s="1">
        <v>19.203302237246401</v>
      </c>
      <c r="E11" s="36">
        <v>17.021350211276498</v>
      </c>
      <c r="F11" s="37">
        <f t="shared" si="0"/>
        <v>2.1819520259699026</v>
      </c>
      <c r="G11" s="37">
        <f t="shared" si="1"/>
        <v>0.22037736757759352</v>
      </c>
      <c r="H11" s="164">
        <f t="shared" ref="H11" si="6">AVERAGE(G11:G13)</f>
        <v>0.21995554034708775</v>
      </c>
      <c r="I11" s="164">
        <f t="shared" ref="I11" si="7">STDEV(G11:G13)/SQRT(3)</f>
        <v>1.1097275422493958E-3</v>
      </c>
    </row>
    <row r="12" spans="1:9" x14ac:dyDescent="0.35">
      <c r="A12" s="208"/>
      <c r="B12" s="167"/>
      <c r="C12" s="35" t="s">
        <v>75</v>
      </c>
      <c r="D12" s="1">
        <v>18.801186845103601</v>
      </c>
      <c r="E12" s="36">
        <v>16.602643908570901</v>
      </c>
      <c r="F12" s="34">
        <f t="shared" si="0"/>
        <v>2.1985429365327001</v>
      </c>
      <c r="G12" s="34">
        <f t="shared" si="1"/>
        <v>0.21785755704716939</v>
      </c>
      <c r="H12" s="165"/>
      <c r="I12" s="165"/>
    </row>
    <row r="13" spans="1:9" x14ac:dyDescent="0.35">
      <c r="A13" s="208"/>
      <c r="B13" s="167"/>
      <c r="C13" s="35" t="s">
        <v>76</v>
      </c>
      <c r="D13" s="1">
        <v>18.763885495450999</v>
      </c>
      <c r="E13" s="36">
        <v>16.5901216221712</v>
      </c>
      <c r="F13" s="34">
        <f t="shared" si="0"/>
        <v>2.1737638732797997</v>
      </c>
      <c r="G13" s="34">
        <f t="shared" si="1"/>
        <v>0.22163169641650038</v>
      </c>
      <c r="H13" s="166"/>
      <c r="I13" s="166"/>
    </row>
    <row r="14" spans="1:9" x14ac:dyDescent="0.35">
      <c r="A14" s="208"/>
      <c r="B14" s="167" t="s">
        <v>149</v>
      </c>
      <c r="C14" s="35" t="s">
        <v>74</v>
      </c>
      <c r="D14" s="1">
        <v>19.3759163253679</v>
      </c>
      <c r="E14" s="36">
        <v>16.866978893960599</v>
      </c>
      <c r="F14" s="37">
        <f t="shared" si="0"/>
        <v>2.5089374314073005</v>
      </c>
      <c r="G14" s="37">
        <f t="shared" si="1"/>
        <v>0.1756849566843072</v>
      </c>
      <c r="H14" s="164">
        <f t="shared" ref="H14" si="8">AVERAGE(G14:G16)</f>
        <v>0.18923174758266656</v>
      </c>
      <c r="I14" s="164">
        <f t="shared" ref="I14" si="9">STDEV(G14:G16)/SQRT(3)</f>
        <v>4.9245868958876116E-2</v>
      </c>
    </row>
    <row r="15" spans="1:9" x14ac:dyDescent="0.35">
      <c r="A15" s="208"/>
      <c r="B15" s="167"/>
      <c r="C15" s="35" t="s">
        <v>75</v>
      </c>
      <c r="D15" s="1">
        <v>18.321329094389998</v>
      </c>
      <c r="E15" s="36">
        <v>16.4873545710768</v>
      </c>
      <c r="F15" s="34">
        <f t="shared" si="0"/>
        <v>1.8339745233131985</v>
      </c>
      <c r="G15" s="34">
        <f t="shared" si="1"/>
        <v>0.28049082330259684</v>
      </c>
      <c r="H15" s="165"/>
      <c r="I15" s="165"/>
    </row>
    <row r="16" spans="1:9" x14ac:dyDescent="0.35">
      <c r="A16" s="209"/>
      <c r="B16" s="167"/>
      <c r="C16" s="35" t="s">
        <v>76</v>
      </c>
      <c r="D16" s="1">
        <v>20.141883120941898</v>
      </c>
      <c r="E16" s="36">
        <v>16.977250542285901</v>
      </c>
      <c r="F16" s="34">
        <f t="shared" si="0"/>
        <v>3.164632578655997</v>
      </c>
      <c r="G16" s="34">
        <f t="shared" si="1"/>
        <v>0.1115194627610956</v>
      </c>
      <c r="H16" s="166"/>
      <c r="I16" s="166"/>
    </row>
    <row r="17" spans="1:9" x14ac:dyDescent="0.35">
      <c r="A17" s="183" t="s">
        <v>234</v>
      </c>
      <c r="B17" s="167" t="s">
        <v>150</v>
      </c>
      <c r="C17" s="35" t="s">
        <v>74</v>
      </c>
      <c r="D17" s="1">
        <v>19.909167866339999</v>
      </c>
      <c r="E17" s="36">
        <v>16.4729494109177</v>
      </c>
      <c r="F17" s="37">
        <f t="shared" si="0"/>
        <v>3.4362184554222992</v>
      </c>
      <c r="G17" s="37">
        <f t="shared" si="1"/>
        <v>9.2383661998750755E-2</v>
      </c>
      <c r="H17" s="164">
        <f t="shared" ref="H17" si="10">AVERAGE(G17:G19)</f>
        <v>9.5316299379849201E-2</v>
      </c>
      <c r="I17" s="164">
        <f t="shared" ref="I17" si="11">STDEV(G17:G19)/SQRT(3)</f>
        <v>4.69564562084106E-3</v>
      </c>
    </row>
    <row r="18" spans="1:9" x14ac:dyDescent="0.35">
      <c r="A18" s="208"/>
      <c r="B18" s="167"/>
      <c r="C18" s="35" t="s">
        <v>75</v>
      </c>
      <c r="D18" s="1">
        <v>19.683440968083499</v>
      </c>
      <c r="E18" s="36">
        <v>16.425140074049899</v>
      </c>
      <c r="F18" s="34">
        <f t="shared" si="0"/>
        <v>3.2583008940335993</v>
      </c>
      <c r="G18" s="34">
        <f t="shared" si="1"/>
        <v>0.10450900091638847</v>
      </c>
      <c r="H18" s="165"/>
      <c r="I18" s="165"/>
    </row>
    <row r="19" spans="1:9" x14ac:dyDescent="0.35">
      <c r="A19" s="208"/>
      <c r="B19" s="167"/>
      <c r="C19" s="35" t="s">
        <v>76</v>
      </c>
      <c r="D19" s="1">
        <v>19.6957182591721</v>
      </c>
      <c r="E19" s="36">
        <v>16.2065786937778</v>
      </c>
      <c r="F19" s="34">
        <f t="shared" si="0"/>
        <v>3.4891395653943</v>
      </c>
      <c r="G19" s="34">
        <f t="shared" si="1"/>
        <v>8.9056235224408337E-2</v>
      </c>
      <c r="H19" s="166"/>
      <c r="I19" s="166"/>
    </row>
    <row r="20" spans="1:9" x14ac:dyDescent="0.35">
      <c r="A20" s="208"/>
      <c r="B20" s="167" t="s">
        <v>151</v>
      </c>
      <c r="C20" s="35" t="s">
        <v>2</v>
      </c>
      <c r="D20" s="1">
        <v>18.4819600955922</v>
      </c>
      <c r="E20" s="36">
        <v>15.4844003099739</v>
      </c>
      <c r="F20" s="37">
        <f t="shared" si="0"/>
        <v>2.9975597856183001</v>
      </c>
      <c r="G20" s="37">
        <f t="shared" si="1"/>
        <v>0.12521160737366885</v>
      </c>
      <c r="H20" s="164">
        <f t="shared" ref="H20" si="12">AVERAGE(G20:G22)</f>
        <v>0.15655467052453273</v>
      </c>
      <c r="I20" s="164">
        <f t="shared" ref="I20" si="13">STDEV(G20:G22)/SQRT(3)</f>
        <v>1.7385137338347671E-2</v>
      </c>
    </row>
    <row r="21" spans="1:9" x14ac:dyDescent="0.35">
      <c r="A21" s="208"/>
      <c r="B21" s="167"/>
      <c r="C21" s="35" t="s">
        <v>1</v>
      </c>
      <c r="D21" s="1">
        <v>19.497090300489099</v>
      </c>
      <c r="E21" s="36">
        <v>16.845913401388099</v>
      </c>
      <c r="F21" s="34">
        <f t="shared" si="0"/>
        <v>2.6511768991009994</v>
      </c>
      <c r="G21" s="34">
        <f t="shared" si="1"/>
        <v>0.159190163780738</v>
      </c>
      <c r="H21" s="165"/>
      <c r="I21" s="165"/>
    </row>
    <row r="22" spans="1:9" x14ac:dyDescent="0.35">
      <c r="A22" s="208"/>
      <c r="B22" s="167"/>
      <c r="C22" s="35" t="s">
        <v>0</v>
      </c>
      <c r="D22" s="1">
        <v>19.410527063990202</v>
      </c>
      <c r="E22" s="36">
        <v>16.978167834757699</v>
      </c>
      <c r="F22" s="34">
        <f t="shared" si="0"/>
        <v>2.4323592292325031</v>
      </c>
      <c r="G22" s="34">
        <f t="shared" si="1"/>
        <v>0.18526224041919137</v>
      </c>
      <c r="H22" s="166"/>
      <c r="I22" s="166"/>
    </row>
    <row r="23" spans="1:9" x14ac:dyDescent="0.35">
      <c r="A23" s="208"/>
      <c r="B23" s="167" t="s">
        <v>152</v>
      </c>
      <c r="C23" s="35" t="s">
        <v>74</v>
      </c>
      <c r="D23" s="1">
        <v>18.6952907011623</v>
      </c>
      <c r="E23" s="36">
        <v>16.862756627047901</v>
      </c>
      <c r="F23" s="37">
        <f t="shared" si="0"/>
        <v>1.8325340741143989</v>
      </c>
      <c r="G23" s="37">
        <f t="shared" si="1"/>
        <v>0.28077101734173759</v>
      </c>
      <c r="H23" s="164">
        <f t="shared" ref="H23" si="14">AVERAGE(G23:G25)</f>
        <v>0.23772591516802399</v>
      </c>
      <c r="I23" s="164">
        <f t="shared" ref="I23" si="15">STDEV(G23:G25)/SQRT(3)</f>
        <v>2.6010959738301167E-2</v>
      </c>
    </row>
    <row r="24" spans="1:9" x14ac:dyDescent="0.35">
      <c r="A24" s="208"/>
      <c r="B24" s="167"/>
      <c r="C24" s="35" t="s">
        <v>75</v>
      </c>
      <c r="D24" s="1">
        <v>19.445094486435899</v>
      </c>
      <c r="E24" s="36">
        <v>17.0560149718087</v>
      </c>
      <c r="F24" s="34">
        <f t="shared" si="0"/>
        <v>2.3890795146271984</v>
      </c>
      <c r="G24" s="34">
        <f t="shared" si="1"/>
        <v>0.19090416520722028</v>
      </c>
      <c r="H24" s="165"/>
      <c r="I24" s="165"/>
    </row>
    <row r="25" spans="1:9" x14ac:dyDescent="0.35">
      <c r="A25" s="208"/>
      <c r="B25" s="167"/>
      <c r="C25" s="35" t="s">
        <v>76</v>
      </c>
      <c r="D25" s="1">
        <v>19.152368069605</v>
      </c>
      <c r="E25" s="36">
        <v>17.102478474515799</v>
      </c>
      <c r="F25" s="34">
        <f t="shared" si="0"/>
        <v>2.0498895950892013</v>
      </c>
      <c r="G25" s="34">
        <f t="shared" si="1"/>
        <v>0.24150256295511405</v>
      </c>
      <c r="H25" s="166"/>
      <c r="I25" s="166"/>
    </row>
    <row r="26" spans="1:9" x14ac:dyDescent="0.35">
      <c r="A26" s="208"/>
      <c r="B26" s="167" t="s">
        <v>153</v>
      </c>
      <c r="C26" s="35" t="s">
        <v>74</v>
      </c>
      <c r="D26" s="1">
        <v>18.186847449574898</v>
      </c>
      <c r="E26" s="36">
        <v>16.233478866462999</v>
      </c>
      <c r="F26" s="37">
        <f t="shared" si="0"/>
        <v>1.9533685831118994</v>
      </c>
      <c r="G26" s="37">
        <f t="shared" si="1"/>
        <v>0.2582126197278391</v>
      </c>
      <c r="H26" s="164">
        <f t="shared" ref="H26" si="16">AVERAGE(G26:G28)</f>
        <v>0.29675896372035887</v>
      </c>
      <c r="I26" s="164">
        <f t="shared" ref="I26" si="17">STDEV(G26:G28)/SQRT(3)</f>
        <v>2.1967466755817303E-2</v>
      </c>
    </row>
    <row r="27" spans="1:9" x14ac:dyDescent="0.35">
      <c r="A27" s="208"/>
      <c r="B27" s="167"/>
      <c r="C27" s="35" t="s">
        <v>75</v>
      </c>
      <c r="D27" s="1">
        <v>19.137184980198001</v>
      </c>
      <c r="E27" s="36">
        <v>17.3894768271205</v>
      </c>
      <c r="F27" s="34">
        <f t="shared" si="0"/>
        <v>1.7477081530775003</v>
      </c>
      <c r="G27" s="34">
        <f t="shared" si="1"/>
        <v>0.29777444389614038</v>
      </c>
      <c r="H27" s="165"/>
      <c r="I27" s="165"/>
    </row>
    <row r="28" spans="1:9" x14ac:dyDescent="0.35">
      <c r="A28" s="208"/>
      <c r="B28" s="167"/>
      <c r="C28" s="35" t="s">
        <v>76</v>
      </c>
      <c r="D28" s="1">
        <v>19.632830767663201</v>
      </c>
      <c r="E28" s="36">
        <v>18.0520021270878</v>
      </c>
      <c r="F28" s="34">
        <f t="shared" si="0"/>
        <v>1.5808286405754011</v>
      </c>
      <c r="G28" s="34">
        <f t="shared" si="1"/>
        <v>0.33428982753709713</v>
      </c>
      <c r="H28" s="166"/>
      <c r="I28" s="166"/>
    </row>
    <row r="29" spans="1:9" x14ac:dyDescent="0.35">
      <c r="A29" s="208"/>
      <c r="B29" s="167" t="s">
        <v>154</v>
      </c>
      <c r="C29" s="35" t="s">
        <v>74</v>
      </c>
      <c r="D29" s="1">
        <v>18.026260601218201</v>
      </c>
      <c r="E29" s="36">
        <v>16.057288069559799</v>
      </c>
      <c r="F29" s="37">
        <f t="shared" si="0"/>
        <v>1.9689725316584017</v>
      </c>
      <c r="G29" s="37">
        <f t="shared" si="1"/>
        <v>0.25543488401119746</v>
      </c>
      <c r="H29" s="164">
        <f t="shared" ref="H29" si="18">AVERAGE(G29:G31)</f>
        <v>0.25284731384450715</v>
      </c>
      <c r="I29" s="164">
        <f t="shared" ref="I29" si="19">STDEV(G29:G31)/SQRT(3)</f>
        <v>6.7481911208820314E-2</v>
      </c>
    </row>
    <row r="30" spans="1:9" x14ac:dyDescent="0.35">
      <c r="A30" s="208"/>
      <c r="B30" s="167"/>
      <c r="C30" s="35" t="s">
        <v>75</v>
      </c>
      <c r="D30" s="1">
        <v>19.162141705854701</v>
      </c>
      <c r="E30" s="36">
        <v>16.269887561107101</v>
      </c>
      <c r="F30" s="34">
        <f t="shared" si="0"/>
        <v>2.8922541447476</v>
      </c>
      <c r="G30" s="34">
        <f t="shared" si="1"/>
        <v>0.13469291357512239</v>
      </c>
      <c r="H30" s="165"/>
      <c r="I30" s="165"/>
    </row>
    <row r="31" spans="1:9" x14ac:dyDescent="0.35">
      <c r="A31" s="208"/>
      <c r="B31" s="167"/>
      <c r="C31" s="35" t="s">
        <v>76</v>
      </c>
      <c r="D31" s="1">
        <v>17.326022616428201</v>
      </c>
      <c r="E31" s="36">
        <v>15.885422971164401</v>
      </c>
      <c r="F31" s="34">
        <f t="shared" si="0"/>
        <v>1.4405996452638004</v>
      </c>
      <c r="G31" s="34">
        <f t="shared" si="1"/>
        <v>0.36841414394720168</v>
      </c>
      <c r="H31" s="166"/>
      <c r="I31" s="166"/>
    </row>
    <row r="32" spans="1:9" x14ac:dyDescent="0.35">
      <c r="A32" s="208"/>
      <c r="B32" s="167" t="s">
        <v>155</v>
      </c>
      <c r="C32" s="35" t="s">
        <v>74</v>
      </c>
      <c r="D32" s="1">
        <v>19.170347420435</v>
      </c>
      <c r="E32" s="36">
        <v>17.556754016524099</v>
      </c>
      <c r="F32" s="37">
        <f t="shared" si="0"/>
        <v>1.613593403910901</v>
      </c>
      <c r="G32" s="37">
        <f t="shared" si="1"/>
        <v>0.32678339816645047</v>
      </c>
      <c r="H32" s="164">
        <f t="shared" ref="H32" si="20">AVERAGE(G32:G34)</f>
        <v>0.20514913782113597</v>
      </c>
      <c r="I32" s="164">
        <f t="shared" ref="I32" si="21">STDEV(G32:G34)/SQRT(3)</f>
        <v>6.085833152707551E-2</v>
      </c>
    </row>
    <row r="33" spans="1:9" x14ac:dyDescent="0.35">
      <c r="A33" s="208"/>
      <c r="B33" s="167"/>
      <c r="C33" s="35" t="s">
        <v>75</v>
      </c>
      <c r="D33" s="1">
        <v>18.114024206330999</v>
      </c>
      <c r="E33" s="36">
        <v>15.3597398534367</v>
      </c>
      <c r="F33" s="34">
        <f t="shared" si="0"/>
        <v>2.7542843528942988</v>
      </c>
      <c r="G33" s="34">
        <f t="shared" si="1"/>
        <v>0.14821009757323439</v>
      </c>
      <c r="H33" s="165"/>
      <c r="I33" s="165"/>
    </row>
    <row r="34" spans="1:9" x14ac:dyDescent="0.35">
      <c r="A34" s="209"/>
      <c r="B34" s="167"/>
      <c r="C34" s="35" t="s">
        <v>76</v>
      </c>
      <c r="D34" s="1">
        <v>18.984955715332699</v>
      </c>
      <c r="E34" s="36">
        <v>16.1531244870012</v>
      </c>
      <c r="F34" s="34">
        <f t="shared" si="0"/>
        <v>2.8318312283314988</v>
      </c>
      <c r="G34" s="34">
        <f t="shared" si="1"/>
        <v>0.14045391772372307</v>
      </c>
      <c r="H34" s="166"/>
      <c r="I34" s="166"/>
    </row>
    <row r="35" spans="1:9" x14ac:dyDescent="0.35">
      <c r="A35" s="210" t="s">
        <v>193</v>
      </c>
      <c r="B35" s="167" t="s">
        <v>156</v>
      </c>
      <c r="C35" s="35" t="s">
        <v>2</v>
      </c>
      <c r="D35" s="1">
        <v>17.213334953983601</v>
      </c>
      <c r="E35" s="36">
        <v>15.790461059304899</v>
      </c>
      <c r="F35" s="37">
        <f t="shared" si="0"/>
        <v>1.4228738946787018</v>
      </c>
      <c r="G35" s="37">
        <f t="shared" si="1"/>
        <v>0.37296860626534667</v>
      </c>
      <c r="H35" s="164">
        <f t="shared" ref="H35" si="22">AVERAGE(G35:G37)</f>
        <v>0.34855914746442113</v>
      </c>
      <c r="I35" s="164">
        <f t="shared" ref="I35" si="23">STDEV(G35:G37)/SQRT(3)</f>
        <v>3.1078183171236468E-2</v>
      </c>
    </row>
    <row r="36" spans="1:9" x14ac:dyDescent="0.35">
      <c r="A36" s="210"/>
      <c r="B36" s="167"/>
      <c r="C36" s="35" t="s">
        <v>1</v>
      </c>
      <c r="D36" s="1">
        <v>18.4979555384589</v>
      </c>
      <c r="E36" s="36">
        <v>16.696323619152899</v>
      </c>
      <c r="F36" s="34">
        <f t="shared" si="0"/>
        <v>1.8016319193060006</v>
      </c>
      <c r="G36" s="34">
        <f t="shared" si="1"/>
        <v>0.28684993191917246</v>
      </c>
      <c r="H36" s="165"/>
      <c r="I36" s="165"/>
    </row>
    <row r="37" spans="1:9" x14ac:dyDescent="0.35">
      <c r="A37" s="210"/>
      <c r="B37" s="167"/>
      <c r="C37" s="35" t="s">
        <v>0</v>
      </c>
      <c r="D37" s="1">
        <v>17.810611743326501</v>
      </c>
      <c r="E37" s="36">
        <v>16.436757046681102</v>
      </c>
      <c r="F37" s="34">
        <f t="shared" si="0"/>
        <v>1.3738546966453988</v>
      </c>
      <c r="G37" s="34">
        <f t="shared" si="1"/>
        <v>0.38585890420874402</v>
      </c>
      <c r="H37" s="166"/>
      <c r="I37" s="166"/>
    </row>
    <row r="38" spans="1:9" x14ac:dyDescent="0.35">
      <c r="A38" s="210"/>
      <c r="B38" s="164" t="s">
        <v>157</v>
      </c>
      <c r="C38" s="35" t="s">
        <v>74</v>
      </c>
      <c r="D38" s="1">
        <v>18.2791432019295</v>
      </c>
      <c r="E38" s="36">
        <v>16.5894541808096</v>
      </c>
      <c r="F38" s="37">
        <f t="shared" si="0"/>
        <v>1.6896890211199</v>
      </c>
      <c r="G38" s="37">
        <f t="shared" si="1"/>
        <v>0.30999373821532639</v>
      </c>
      <c r="H38" s="164">
        <f>AVERAGE(G38:G39)</f>
        <v>0.28277000808233638</v>
      </c>
      <c r="I38" s="164">
        <f>STDEV(G38:G39)/SQRT(3)</f>
        <v>2.222808257368545E-2</v>
      </c>
    </row>
    <row r="39" spans="1:9" x14ac:dyDescent="0.35">
      <c r="A39" s="210"/>
      <c r="B39" s="165"/>
      <c r="C39" s="35" t="s">
        <v>75</v>
      </c>
      <c r="D39" s="1">
        <v>18.1009598396776</v>
      </c>
      <c r="E39" s="36">
        <v>16.1326163233202</v>
      </c>
      <c r="F39" s="34">
        <f t="shared" si="0"/>
        <v>1.9683435163574003</v>
      </c>
      <c r="G39" s="34">
        <f t="shared" si="1"/>
        <v>0.25554627794934637</v>
      </c>
      <c r="H39" s="165"/>
      <c r="I39" s="165"/>
    </row>
    <row r="40" spans="1:9" x14ac:dyDescent="0.35">
      <c r="A40" s="210"/>
      <c r="B40" s="166"/>
      <c r="C40" s="35" t="s">
        <v>76</v>
      </c>
      <c r="D40" s="1">
        <v>17.742180071775401</v>
      </c>
      <c r="E40" s="36">
        <v>16.7059148033747</v>
      </c>
      <c r="F40" s="34">
        <f t="shared" si="0"/>
        <v>1.036265268400701</v>
      </c>
      <c r="G40" s="34">
        <f t="shared" si="1"/>
        <v>0.48758806968123553</v>
      </c>
      <c r="H40" s="166"/>
      <c r="I40" s="166"/>
    </row>
    <row r="41" spans="1:9" x14ac:dyDescent="0.35">
      <c r="A41" s="210"/>
      <c r="B41" s="164" t="s">
        <v>158</v>
      </c>
      <c r="C41" s="35" t="s">
        <v>74</v>
      </c>
      <c r="D41" s="1">
        <v>18.398927639758799</v>
      </c>
      <c r="E41" s="36">
        <v>16.692730454820499</v>
      </c>
      <c r="F41" s="37">
        <f t="shared" si="0"/>
        <v>1.7061971849383006</v>
      </c>
      <c r="G41" s="37">
        <f t="shared" si="1"/>
        <v>0.30646682482153403</v>
      </c>
      <c r="H41" s="164">
        <f t="shared" ref="H41" si="24">AVERAGE(G41:G43)</f>
        <v>0.26593882538838071</v>
      </c>
      <c r="I41" s="164">
        <f t="shared" ref="I41" si="25">STDEV(G41:G43)/SQRT(3)</f>
        <v>2.1050690328540046E-2</v>
      </c>
    </row>
    <row r="42" spans="1:9" x14ac:dyDescent="0.35">
      <c r="A42" s="210"/>
      <c r="B42" s="165"/>
      <c r="C42" s="35" t="s">
        <v>75</v>
      </c>
      <c r="D42" s="1">
        <v>18.200367390438601</v>
      </c>
      <c r="E42" s="36">
        <v>16.232041047447598</v>
      </c>
      <c r="F42" s="34">
        <f t="shared" si="0"/>
        <v>1.9683263429910021</v>
      </c>
      <c r="G42" s="34">
        <f t="shared" si="1"/>
        <v>0.25554931990614171</v>
      </c>
      <c r="H42" s="165"/>
      <c r="I42" s="165"/>
    </row>
    <row r="43" spans="1:9" x14ac:dyDescent="0.35">
      <c r="A43" s="210"/>
      <c r="B43" s="166"/>
      <c r="C43" s="35" t="s">
        <v>76</v>
      </c>
      <c r="D43" s="1">
        <v>18.411446913521601</v>
      </c>
      <c r="E43" s="36">
        <v>16.327084564784201</v>
      </c>
      <c r="F43" s="34">
        <f t="shared" si="0"/>
        <v>2.0843623487374003</v>
      </c>
      <c r="G43" s="34">
        <f t="shared" si="1"/>
        <v>0.23580033143746643</v>
      </c>
      <c r="H43" s="166"/>
      <c r="I43" s="166"/>
    </row>
    <row r="44" spans="1:9" x14ac:dyDescent="0.35">
      <c r="A44" s="210"/>
      <c r="B44" s="164" t="s">
        <v>159</v>
      </c>
      <c r="C44" s="35" t="s">
        <v>74</v>
      </c>
      <c r="D44" s="1">
        <v>18.115849798008799</v>
      </c>
      <c r="E44" s="36">
        <v>14.9634144098773</v>
      </c>
      <c r="F44" s="37">
        <f t="shared" si="0"/>
        <v>3.152435388131499</v>
      </c>
      <c r="G44" s="37">
        <f t="shared" si="1"/>
        <v>0.11246629511763558</v>
      </c>
      <c r="H44" s="164">
        <f t="shared" ref="H44" si="26">AVERAGE(G44:G46)</f>
        <v>0.13859733428448995</v>
      </c>
      <c r="I44" s="164">
        <f t="shared" ref="I44" si="27">STDEV(G44:G46)/SQRT(3)</f>
        <v>1.6360645039542359E-2</v>
      </c>
    </row>
    <row r="45" spans="1:9" x14ac:dyDescent="0.35">
      <c r="A45" s="210"/>
      <c r="B45" s="165"/>
      <c r="C45" s="35" t="s">
        <v>75</v>
      </c>
      <c r="D45" s="1">
        <v>19.399934343490798</v>
      </c>
      <c r="E45" s="36">
        <v>16.8326228300953</v>
      </c>
      <c r="F45" s="34">
        <f t="shared" si="0"/>
        <v>2.5673115133954987</v>
      </c>
      <c r="G45" s="34">
        <f t="shared" si="1"/>
        <v>0.16871831376716798</v>
      </c>
      <c r="H45" s="165"/>
      <c r="I45" s="165"/>
    </row>
    <row r="46" spans="1:9" x14ac:dyDescent="0.35">
      <c r="A46" s="210"/>
      <c r="B46" s="166"/>
      <c r="C46" s="35" t="s">
        <v>76</v>
      </c>
      <c r="D46" s="1">
        <v>19.196851988265799</v>
      </c>
      <c r="E46" s="36">
        <v>16.303681552575899</v>
      </c>
      <c r="F46" s="34">
        <f t="shared" si="0"/>
        <v>2.8931704356898997</v>
      </c>
      <c r="G46" s="34">
        <f t="shared" si="1"/>
        <v>0.13460739396866625</v>
      </c>
      <c r="H46" s="166"/>
      <c r="I46" s="166"/>
    </row>
    <row r="47" spans="1:9" x14ac:dyDescent="0.35">
      <c r="A47" s="210"/>
      <c r="B47" s="164" t="s">
        <v>160</v>
      </c>
      <c r="C47" s="35" t="s">
        <v>74</v>
      </c>
      <c r="D47" s="1">
        <v>18.720872492674999</v>
      </c>
      <c r="E47" s="36">
        <v>16.038683308672301</v>
      </c>
      <c r="F47" s="37">
        <f t="shared" si="0"/>
        <v>2.6821891840026986</v>
      </c>
      <c r="G47" s="37">
        <f t="shared" si="1"/>
        <v>0.15580471690481604</v>
      </c>
      <c r="H47" s="164">
        <f t="shared" ref="H47" si="28">AVERAGE(G47:G49)</f>
        <v>0.17794347221874771</v>
      </c>
      <c r="I47" s="164">
        <f t="shared" ref="I47" si="29">STDEV(G47:G49)/SQRT(3)</f>
        <v>1.2186665322901739E-2</v>
      </c>
    </row>
    <row r="48" spans="1:9" x14ac:dyDescent="0.35">
      <c r="A48" s="210"/>
      <c r="B48" s="165"/>
      <c r="C48" s="35" t="s">
        <v>75</v>
      </c>
      <c r="D48" s="1">
        <v>19.1425019410974</v>
      </c>
      <c r="E48" s="36">
        <v>16.670043629996702</v>
      </c>
      <c r="F48" s="34">
        <f t="shared" si="0"/>
        <v>2.4724583111006986</v>
      </c>
      <c r="G48" s="34">
        <f t="shared" si="1"/>
        <v>0.18018385956313276</v>
      </c>
      <c r="H48" s="165"/>
      <c r="I48" s="165"/>
    </row>
    <row r="49" spans="1:9" x14ac:dyDescent="0.35">
      <c r="A49" s="210"/>
      <c r="B49" s="166"/>
      <c r="C49" s="35" t="s">
        <v>76</v>
      </c>
      <c r="D49" s="1">
        <v>18.6689994871384</v>
      </c>
      <c r="E49" s="36">
        <v>16.3314189561078</v>
      </c>
      <c r="F49" s="34">
        <f t="shared" si="0"/>
        <v>2.3375805310305999</v>
      </c>
      <c r="G49" s="34">
        <f t="shared" si="1"/>
        <v>0.19784184018829426</v>
      </c>
      <c r="H49" s="166"/>
      <c r="I49" s="166"/>
    </row>
    <row r="50" spans="1:9" x14ac:dyDescent="0.35">
      <c r="A50" s="210"/>
      <c r="B50" s="164" t="s">
        <v>161</v>
      </c>
      <c r="C50" s="35" t="s">
        <v>74</v>
      </c>
      <c r="D50" s="1">
        <v>19.317101912361501</v>
      </c>
      <c r="E50" s="36">
        <v>16.1433508187441</v>
      </c>
      <c r="F50" s="37">
        <f t="shared" si="0"/>
        <v>3.1737510936174012</v>
      </c>
      <c r="G50" s="37">
        <f t="shared" si="1"/>
        <v>0.1108168298400995</v>
      </c>
      <c r="H50" s="164">
        <f t="shared" ref="H50" si="30">AVERAGE(G50:G52)</f>
        <v>0.11672877514799952</v>
      </c>
      <c r="I50" s="164">
        <f t="shared" ref="I50" si="31">STDEV(G50:G52)/SQRT(3)</f>
        <v>3.4999989840566012E-3</v>
      </c>
    </row>
    <row r="51" spans="1:9" x14ac:dyDescent="0.35">
      <c r="A51" s="210"/>
      <c r="B51" s="165"/>
      <c r="C51" s="35" t="s">
        <v>75</v>
      </c>
      <c r="D51" s="1">
        <v>20.051388162247498</v>
      </c>
      <c r="E51" s="36">
        <v>16.9490310305112</v>
      </c>
      <c r="F51" s="34">
        <f t="shared" si="0"/>
        <v>3.1023571317362979</v>
      </c>
      <c r="G51" s="34">
        <f t="shared" si="1"/>
        <v>0.11643872628746589</v>
      </c>
      <c r="H51" s="165"/>
      <c r="I51" s="165"/>
    </row>
    <row r="52" spans="1:9" x14ac:dyDescent="0.35">
      <c r="A52" s="210"/>
      <c r="B52" s="166"/>
      <c r="C52" s="35" t="s">
        <v>76</v>
      </c>
      <c r="D52" s="1">
        <v>19.257392095984098</v>
      </c>
      <c r="E52" s="36">
        <v>16.2333100655812</v>
      </c>
      <c r="F52" s="34">
        <f t="shared" si="0"/>
        <v>3.0240820304028979</v>
      </c>
      <c r="G52" s="34">
        <f t="shared" si="1"/>
        <v>0.12293076931643321</v>
      </c>
      <c r="H52" s="166"/>
      <c r="I52" s="166"/>
    </row>
  </sheetData>
  <mergeCells count="52">
    <mergeCell ref="A5:A16"/>
    <mergeCell ref="A17:A34"/>
    <mergeCell ref="A35:A52"/>
    <mergeCell ref="B47:B49"/>
    <mergeCell ref="H47:H49"/>
    <mergeCell ref="I47:I49"/>
    <mergeCell ref="H50:H52"/>
    <mergeCell ref="I50:I52"/>
    <mergeCell ref="B50:B52"/>
    <mergeCell ref="B41:B43"/>
    <mergeCell ref="H41:H43"/>
    <mergeCell ref="I41:I43"/>
    <mergeCell ref="B44:B46"/>
    <mergeCell ref="H44:H46"/>
    <mergeCell ref="I44:I46"/>
    <mergeCell ref="B35:B37"/>
    <mergeCell ref="H35:H37"/>
    <mergeCell ref="I35:I37"/>
    <mergeCell ref="B38:B40"/>
    <mergeCell ref="H38:H40"/>
    <mergeCell ref="I38:I40"/>
    <mergeCell ref="B29:B31"/>
    <mergeCell ref="H29:H31"/>
    <mergeCell ref="I29:I31"/>
    <mergeCell ref="B32:B34"/>
    <mergeCell ref="H32:H34"/>
    <mergeCell ref="I32:I34"/>
    <mergeCell ref="B23:B25"/>
    <mergeCell ref="H23:H25"/>
    <mergeCell ref="I23:I25"/>
    <mergeCell ref="B26:B28"/>
    <mergeCell ref="H26:H28"/>
    <mergeCell ref="I26:I28"/>
    <mergeCell ref="B17:B19"/>
    <mergeCell ref="H17:H19"/>
    <mergeCell ref="I17:I19"/>
    <mergeCell ref="B20:B22"/>
    <mergeCell ref="H20:H22"/>
    <mergeCell ref="I20:I22"/>
    <mergeCell ref="B11:B13"/>
    <mergeCell ref="H11:H13"/>
    <mergeCell ref="I11:I13"/>
    <mergeCell ref="B14:B16"/>
    <mergeCell ref="H14:H16"/>
    <mergeCell ref="I14:I16"/>
    <mergeCell ref="B3:I3"/>
    <mergeCell ref="B5:B7"/>
    <mergeCell ref="H5:H7"/>
    <mergeCell ref="I5:I7"/>
    <mergeCell ref="B8:B10"/>
    <mergeCell ref="H8:H10"/>
    <mergeCell ref="I8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Fig. 1</vt:lpstr>
      <vt:lpstr>Fig. 2</vt:lpstr>
      <vt:lpstr>Fig. 4E</vt:lpstr>
      <vt:lpstr>Fig. 5A</vt:lpstr>
      <vt:lpstr>Fig. 6</vt:lpstr>
      <vt:lpstr>Fig. 7</vt:lpstr>
      <vt:lpstr>Fig. 8</vt:lpstr>
      <vt:lpstr>Supplementary Fig. 1</vt:lpstr>
      <vt:lpstr>Supplementary Fig. 3</vt:lpstr>
      <vt:lpstr>Supplementary Fig. 4</vt:lpstr>
      <vt:lpstr>Supplementary Fig. 5</vt:lpstr>
      <vt:lpstr>Supplementary Fig. 7</vt:lpstr>
      <vt:lpstr>Supplementary Fig. 8</vt:lpstr>
      <vt:lpstr>Supplementary Fig.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Gaddelapati, Sharath</dc:creator>
  <cp:lastModifiedBy>Gaddelapati, Sharath</cp:lastModifiedBy>
  <dcterms:created xsi:type="dcterms:W3CDTF">2018-02-09T01:39:04Z</dcterms:created>
  <dcterms:modified xsi:type="dcterms:W3CDTF">2024-03-20T20:54:09Z</dcterms:modified>
</cp:coreProperties>
</file>