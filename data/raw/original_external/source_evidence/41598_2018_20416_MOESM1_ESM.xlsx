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3.xml" ContentType="application/vnd.openxmlformats-officedocument.themeOverride+xml"/>
  <Override PartName="/xl/drawings/drawing4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4.xml" ContentType="application/vnd.openxmlformats-officedocument.themeOverride+xml"/>
  <Override PartName="/xl/drawings/drawing5.xml" ContentType="application/vnd.openxmlformats-officedocument.drawingml.chartshape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5.xml" ContentType="application/vnd.openxmlformats-officedocument.themeOverride+xml"/>
  <Override PartName="/xl/drawings/drawing6.xml" ContentType="application/vnd.openxmlformats-officedocument.drawingml.chartshape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6.xml" ContentType="application/vnd.openxmlformats-officedocument.themeOverride+xml"/>
  <Override PartName="/xl/drawings/drawing7.xml" ContentType="application/vnd.openxmlformats-officedocument.drawingml.chartshapes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heme/themeOverride7.xml" ContentType="application/vnd.openxmlformats-officedocument.themeOverride+xml"/>
  <Override PartName="/xl/drawings/drawing8.xml" ContentType="application/vnd.openxmlformats-officedocument.drawingml.chartshapes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heme/themeOverride8.xml" ContentType="application/vnd.openxmlformats-officedocument.themeOverride+xml"/>
  <Override PartName="/xl/drawings/drawing9.xml" ContentType="application/vnd.openxmlformats-officedocument.drawingml.chartshapes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heme/themeOverride9.xml" ContentType="application/vnd.openxmlformats-officedocument.themeOverride+xml"/>
  <Override PartName="/xl/drawings/drawing10.xml" ContentType="application/vnd.openxmlformats-officedocument.drawingml.chartshapes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heme/themeOverride10.xml" ContentType="application/vnd.openxmlformats-officedocument.themeOverride+xml"/>
  <Override PartName="/xl/drawings/drawing11.xml" ContentType="application/vnd.openxmlformats-officedocument.drawingml.chartshapes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theme/themeOverride11.xml" ContentType="application/vnd.openxmlformats-officedocument.themeOverride+xml"/>
  <Override PartName="/xl/drawings/drawing12.xml" ContentType="application/vnd.openxmlformats-officedocument.drawingml.chartshapes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theme/themeOverride12.xml" ContentType="application/vnd.openxmlformats-officedocument.themeOverride+xml"/>
  <Override PartName="/xl/drawings/drawing13.xml" ContentType="application/vnd.openxmlformats-officedocument.drawingml.chartshapes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theme/themeOverride13.xml" ContentType="application/vnd.openxmlformats-officedocument.themeOverride+xml"/>
  <Override PartName="/xl/drawings/drawing14.xml" ContentType="application/vnd.openxmlformats-officedocument.drawingml.chartshapes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theme/themeOverride14.xml" ContentType="application/vnd.openxmlformats-officedocument.themeOverride+xml"/>
  <Override PartName="/xl/drawings/drawing15.xml" ContentType="application/vnd.openxmlformats-officedocument.drawingml.chartshapes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theme/themeOverride15.xml" ContentType="application/vnd.openxmlformats-officedocument.themeOverride+xml"/>
  <Override PartName="/xl/drawings/drawing16.xml" ContentType="application/vnd.openxmlformats-officedocument.drawingml.chartshapes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theme/themeOverride16.xml" ContentType="application/vnd.openxmlformats-officedocument.themeOverride+xml"/>
  <Override PartName="/xl/drawings/drawing17.xml" ContentType="application/vnd.openxmlformats-officedocument.drawingml.chartshapes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theme/themeOverride17.xml" ContentType="application/vnd.openxmlformats-officedocument.themeOverride+xml"/>
  <Override PartName="/xl/drawings/drawing18.xml" ContentType="application/vnd.openxmlformats-officedocument.drawingml.chartshapes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theme/themeOverride18.xml" ContentType="application/vnd.openxmlformats-officedocument.themeOverride+xml"/>
  <Override PartName="/xl/drawings/drawing19.xml" ContentType="application/vnd.openxmlformats-officedocument.drawingml.chartshapes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theme/themeOverride19.xml" ContentType="application/vnd.openxmlformats-officedocument.themeOverride+xml"/>
  <Override PartName="/xl/drawings/drawing20.xml" ContentType="application/vnd.openxmlformats-officedocument.drawingml.chartshapes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theme/themeOverride20.xml" ContentType="application/vnd.openxmlformats-officedocument.themeOverride+xml"/>
  <Override PartName="/xl/drawings/drawing21.xml" ContentType="application/vnd.openxmlformats-officedocument.drawingml.chartshapes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theme/themeOverride21.xml" ContentType="application/vnd.openxmlformats-officedocument.themeOverride+xml"/>
  <Override PartName="/xl/drawings/drawing22.xml" ContentType="application/vnd.openxmlformats-officedocument.drawingml.chartshapes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theme/themeOverride22.xml" ContentType="application/vnd.openxmlformats-officedocument.themeOverride+xml"/>
  <Override PartName="/xl/drawings/drawing23.xml" ContentType="application/vnd.openxmlformats-officedocument.drawingml.chartshapes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theme/themeOverride23.xml" ContentType="application/vnd.openxmlformats-officedocument.themeOverride+xml"/>
  <Override PartName="/xl/drawings/drawing24.xml" ContentType="application/vnd.openxmlformats-officedocument.drawingml.chartshapes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theme/themeOverride24.xml" ContentType="application/vnd.openxmlformats-officedocument.themeOverride+xml"/>
  <Override PartName="/xl/drawings/drawing25.xml" ContentType="application/vnd.openxmlformats-officedocument.drawingml.chartshapes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theme/themeOverride25.xml" ContentType="application/vnd.openxmlformats-officedocument.themeOverride+xml"/>
  <Override PartName="/xl/drawings/drawing26.xml" ContentType="application/vnd.openxmlformats-officedocument.drawingml.chartshapes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theme/themeOverride26.xml" ContentType="application/vnd.openxmlformats-officedocument.themeOverride+xml"/>
  <Override PartName="/xl/drawings/drawing27.xml" ContentType="application/vnd.openxmlformats-officedocument.drawingml.chartshapes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theme/themeOverride27.xml" ContentType="application/vnd.openxmlformats-officedocument.themeOverride+xml"/>
  <Override PartName="/xl/drawings/drawing28.xml" ContentType="application/vnd.openxmlformats-officedocument.drawingml.chartshapes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theme/themeOverride28.xml" ContentType="application/vnd.openxmlformats-officedocument.themeOverride+xml"/>
  <Override PartName="/xl/drawings/drawing29.xml" ContentType="application/vnd.openxmlformats-officedocument.drawingml.chartshapes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theme/themeOverride29.xml" ContentType="application/vnd.openxmlformats-officedocument.themeOverride+xml"/>
  <Override PartName="/xl/drawings/drawing30.xml" ContentType="application/vnd.openxmlformats-officedocument.drawingml.chartshapes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theme/themeOverride30.xml" ContentType="application/vnd.openxmlformats-officedocument.themeOverride+xml"/>
  <Override PartName="/xl/drawings/drawing31.xml" ContentType="application/vnd.openxmlformats-officedocument.drawingml.chartshapes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theme/themeOverride31.xml" ContentType="application/vnd.openxmlformats-officedocument.themeOverride+xml"/>
  <Override PartName="/xl/drawings/drawing32.xml" ContentType="application/vnd.openxmlformats-officedocument.drawingml.chartshapes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theme/themeOverride32.xml" ContentType="application/vnd.openxmlformats-officedocument.themeOverride+xml"/>
  <Override PartName="/xl/drawings/drawing33.xml" ContentType="application/vnd.openxmlformats-officedocument.drawingml.chartshapes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theme/themeOverride33.xml" ContentType="application/vnd.openxmlformats-officedocument.themeOverride+xml"/>
  <Override PartName="/xl/drawings/drawing34.xml" ContentType="application/vnd.openxmlformats-officedocument.drawingml.chartshapes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theme/themeOverride34.xml" ContentType="application/vnd.openxmlformats-officedocument.themeOverride+xml"/>
  <Override PartName="/xl/drawings/drawing35.xml" ContentType="application/vnd.openxmlformats-officedocument.drawingml.chartshapes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theme/themeOverride35.xml" ContentType="application/vnd.openxmlformats-officedocument.themeOverride+xml"/>
  <Override PartName="/xl/drawings/drawing36.xml" ContentType="application/vnd.openxmlformats-officedocument.drawingml.chartshapes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theme/themeOverride36.xml" ContentType="application/vnd.openxmlformats-officedocument.themeOverride+xml"/>
  <Override PartName="/xl/drawings/drawing37.xml" ContentType="application/vnd.openxmlformats-officedocument.drawingml.chartshapes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theme/themeOverride37.xml" ContentType="application/vnd.openxmlformats-officedocument.themeOverride+xml"/>
  <Override PartName="/xl/drawings/drawing38.xml" ContentType="application/vnd.openxmlformats-officedocument.drawingml.chartshapes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theme/themeOverride38.xml" ContentType="application/vnd.openxmlformats-officedocument.themeOverride+xml"/>
  <Override PartName="/xl/drawings/drawing39.xml" ContentType="application/vnd.openxmlformats-officedocument.drawingml.chartshapes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theme/themeOverride39.xml" ContentType="application/vnd.openxmlformats-officedocument.themeOverride+xml"/>
  <Override PartName="/xl/drawings/drawing40.xml" ContentType="application/vnd.openxmlformats-officedocument.drawingml.chartshapes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theme/themeOverride40.xml" ContentType="application/vnd.openxmlformats-officedocument.themeOverride+xml"/>
  <Override PartName="/xl/drawings/drawing41.xml" ContentType="application/vnd.openxmlformats-officedocument.drawingml.chartshapes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theme/themeOverride41.xml" ContentType="application/vnd.openxmlformats-officedocument.themeOverride+xml"/>
  <Override PartName="/xl/drawings/drawing42.xml" ContentType="application/vnd.openxmlformats-officedocument.drawingml.chartshapes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theme/themeOverride42.xml" ContentType="application/vnd.openxmlformats-officedocument.themeOverride+xml"/>
  <Override PartName="/xl/drawings/drawing43.xml" ContentType="application/vnd.openxmlformats-officedocument.drawingml.chartshapes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theme/themeOverride43.xml" ContentType="application/vnd.openxmlformats-officedocument.themeOverride+xml"/>
  <Override PartName="/xl/drawings/drawing44.xml" ContentType="application/vnd.openxmlformats-officedocument.drawingml.chartshapes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theme/themeOverride44.xml" ContentType="application/vnd.openxmlformats-officedocument.themeOverride+xml"/>
  <Override PartName="/xl/drawings/drawing45.xml" ContentType="application/vnd.openxmlformats-officedocument.drawingml.chartshapes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theme/themeOverride45.xml" ContentType="application/vnd.openxmlformats-officedocument.themeOverride+xml"/>
  <Override PartName="/xl/drawings/drawing46.xml" ContentType="application/vnd.openxmlformats-officedocument.drawingml.chartshapes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theme/themeOverride46.xml" ContentType="application/vnd.openxmlformats-officedocument.themeOverride+xml"/>
  <Override PartName="/xl/drawings/drawing47.xml" ContentType="application/vnd.openxmlformats-officedocument.drawingml.chartshapes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theme/themeOverride47.xml" ContentType="application/vnd.openxmlformats-officedocument.themeOverride+xml"/>
  <Override PartName="/xl/drawings/drawing48.xml" ContentType="application/vnd.openxmlformats-officedocument.drawingml.chartshapes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theme/themeOverride48.xml" ContentType="application/vnd.openxmlformats-officedocument.themeOverride+xml"/>
  <Override PartName="/xl/drawings/drawing49.xml" ContentType="application/vnd.openxmlformats-officedocument.drawingml.chartshapes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theme/themeOverride49.xml" ContentType="application/vnd.openxmlformats-officedocument.themeOverride+xml"/>
  <Override PartName="/xl/drawings/drawing50.xml" ContentType="application/vnd.openxmlformats-officedocument.drawingml.chartshapes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theme/themeOverride50.xml" ContentType="application/vnd.openxmlformats-officedocument.themeOverride+xml"/>
  <Override PartName="/xl/drawings/drawing51.xml" ContentType="application/vnd.openxmlformats-officedocument.drawingml.chartshapes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theme/themeOverride51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783043\Documents\manuscripts\FIME P1 - Rop\"/>
    </mc:Choice>
  </mc:AlternateContent>
  <bookViews>
    <workbookView xWindow="0" yWindow="0" windowWidth="28800" windowHeight="12432" tabRatio="922" firstSheet="4" activeTab="9"/>
  </bookViews>
  <sheets>
    <sheet name="S Table 1 - Potential targets" sheetId="15" r:id="rId1"/>
    <sheet name="S Table 2 - Dvv dose-response " sheetId="12" r:id="rId2"/>
    <sheet name="S Table 3 - raw data - T. cas" sheetId="8" r:id="rId3"/>
    <sheet name=" S Table 4 - ANOVA" sheetId="16" r:id="rId4"/>
    <sheet name="S Table 5 - raw data - Dvv" sheetId="7" r:id="rId5"/>
    <sheet name="S Table 6 - plant data" sheetId="13" r:id="rId6"/>
    <sheet name="S Table 7 - raw data - M.ae" sheetId="6" r:id="rId7"/>
    <sheet name="S Table 8 - Fig.5 Sequences" sheetId="18" r:id="rId8"/>
    <sheet name="S Table 9 - Sequences targets" sheetId="17" r:id="rId9"/>
    <sheet name="S Table 10 PCR probes &amp; primers" sheetId="11" r:id="rId10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I44" i="16" l="1"/>
  <c r="AG45" i="16"/>
  <c r="AG44" i="16"/>
  <c r="AE47" i="16"/>
  <c r="AE46" i="16"/>
  <c r="AE45" i="16"/>
  <c r="AE44" i="16"/>
  <c r="AI47" i="16"/>
  <c r="AH47" i="16"/>
  <c r="AJ47" i="16" s="1"/>
  <c r="AG47" i="16"/>
  <c r="AF47" i="16"/>
  <c r="AJ46" i="16"/>
  <c r="AH46" i="16"/>
  <c r="AG46" i="16"/>
  <c r="AI46" i="16" s="1"/>
  <c r="AF46" i="16"/>
  <c r="AI45" i="16"/>
  <c r="AH45" i="16"/>
  <c r="AJ45" i="16" s="1"/>
  <c r="AF45" i="16"/>
  <c r="AJ44" i="16"/>
  <c r="AH44" i="16"/>
  <c r="AF44" i="16"/>
  <c r="AD6" i="8" l="1"/>
  <c r="AE6" i="8"/>
  <c r="AF6" i="8"/>
  <c r="BR6" i="8" s="1"/>
  <c r="BZ6" i="8" s="1"/>
  <c r="H6" i="8"/>
  <c r="AG6" i="8"/>
  <c r="AH6" i="8"/>
  <c r="AI6" i="8"/>
  <c r="BS6" i="8" s="1"/>
  <c r="CA6" i="8" s="1"/>
  <c r="AJ6" i="8"/>
  <c r="AK6" i="8"/>
  <c r="AL6" i="8"/>
  <c r="AM6" i="8"/>
  <c r="BU6" i="8" s="1"/>
  <c r="CC6" i="8" s="1"/>
  <c r="AN6" i="8"/>
  <c r="AO6" i="8"/>
  <c r="AP6" i="8"/>
  <c r="AQ6" i="8"/>
  <c r="BF6" i="8" s="1"/>
  <c r="BN6" i="8" s="1"/>
  <c r="AR6" i="8"/>
  <c r="AS6" i="8"/>
  <c r="AT6" i="8"/>
  <c r="AU6" i="8"/>
  <c r="BY6" i="8" s="1"/>
  <c r="CG6" i="8" s="1"/>
  <c r="AV6" i="8"/>
  <c r="AW6" i="8"/>
  <c r="AX6" i="8"/>
  <c r="AY6" i="8"/>
  <c r="BI6" i="8" s="1"/>
  <c r="BQ6" i="8" s="1"/>
  <c r="AZ6" i="8"/>
  <c r="BA6" i="8"/>
  <c r="AD7" i="8"/>
  <c r="AE7" i="8"/>
  <c r="BR7" i="8" s="1"/>
  <c r="BZ7" i="8" s="1"/>
  <c r="AF7" i="8"/>
  <c r="H7" i="8"/>
  <c r="AG7" i="8"/>
  <c r="AH7" i="8"/>
  <c r="BS7" i="8" s="1"/>
  <c r="CA7" i="8" s="1"/>
  <c r="AI7" i="8"/>
  <c r="AJ7" i="8"/>
  <c r="AK7" i="8"/>
  <c r="AL7" i="8"/>
  <c r="AM7" i="8"/>
  <c r="AN7" i="8"/>
  <c r="AO7" i="8"/>
  <c r="AP7" i="8"/>
  <c r="AQ7" i="8"/>
  <c r="AR7" i="8"/>
  <c r="AS7" i="8"/>
  <c r="AT7" i="8"/>
  <c r="AU7" i="8"/>
  <c r="AV7" i="8"/>
  <c r="AW7" i="8"/>
  <c r="AX7" i="8"/>
  <c r="BH7" i="8" s="1"/>
  <c r="BP7" i="8" s="1"/>
  <c r="AY7" i="8"/>
  <c r="AZ7" i="8"/>
  <c r="BA7" i="8"/>
  <c r="AD8" i="8"/>
  <c r="BB8" i="8" s="1"/>
  <c r="BJ8" i="8" s="1"/>
  <c r="AE8" i="8"/>
  <c r="AF8" i="8"/>
  <c r="H8" i="8"/>
  <c r="AG8" i="8"/>
  <c r="AH8" i="8"/>
  <c r="AI8" i="8"/>
  <c r="AJ8" i="8"/>
  <c r="AK8" i="8"/>
  <c r="AL8" i="8"/>
  <c r="AM8" i="8"/>
  <c r="AN8" i="8"/>
  <c r="AO8" i="8"/>
  <c r="BE8" i="8" s="1"/>
  <c r="BM8" i="8" s="1"/>
  <c r="AP8" i="8"/>
  <c r="AQ8" i="8"/>
  <c r="AR8" i="8"/>
  <c r="AS8" i="8"/>
  <c r="BG8" i="8" s="1"/>
  <c r="BO8" i="8" s="1"/>
  <c r="AT8" i="8"/>
  <c r="AU8" i="8"/>
  <c r="AV8" i="8"/>
  <c r="AW8" i="8"/>
  <c r="BX8" i="8" s="1"/>
  <c r="CF8" i="8" s="1"/>
  <c r="AX8" i="8"/>
  <c r="AY8" i="8"/>
  <c r="AZ8" i="8"/>
  <c r="BA8" i="8"/>
  <c r="BY8" i="8" s="1"/>
  <c r="CG8" i="8" s="1"/>
  <c r="AD9" i="8"/>
  <c r="AE9" i="8"/>
  <c r="AF9" i="8"/>
  <c r="H9" i="8"/>
  <c r="AG9" i="8"/>
  <c r="AH9" i="8"/>
  <c r="AI9" i="8"/>
  <c r="AJ9" i="8"/>
  <c r="AK9" i="8"/>
  <c r="AL9" i="8"/>
  <c r="AM9" i="8"/>
  <c r="AN9" i="8"/>
  <c r="BU9" i="8" s="1"/>
  <c r="CC9" i="8" s="1"/>
  <c r="AO9" i="8"/>
  <c r="AP9" i="8"/>
  <c r="AQ9" i="8"/>
  <c r="AR9" i="8"/>
  <c r="BF9" i="8" s="1"/>
  <c r="BN9" i="8" s="1"/>
  <c r="AS9" i="8"/>
  <c r="AT9" i="8"/>
  <c r="AU9" i="8"/>
  <c r="AV9" i="8"/>
  <c r="BX9" i="8" s="1"/>
  <c r="CF9" i="8" s="1"/>
  <c r="AW9" i="8"/>
  <c r="AX9" i="8"/>
  <c r="AY9" i="8"/>
  <c r="AZ9" i="8"/>
  <c r="BA9" i="8"/>
  <c r="AD10" i="8"/>
  <c r="AE10" i="8"/>
  <c r="AF10" i="8"/>
  <c r="BR10" i="8" s="1"/>
  <c r="BZ10" i="8" s="1"/>
  <c r="H10" i="8"/>
  <c r="AG10" i="8"/>
  <c r="AH10" i="8"/>
  <c r="AI10" i="8"/>
  <c r="BS10" i="8" s="1"/>
  <c r="CA10" i="8" s="1"/>
  <c r="AJ10" i="8"/>
  <c r="AK10" i="8"/>
  <c r="AL10" i="8"/>
  <c r="AM10" i="8"/>
  <c r="BU10" i="8" s="1"/>
  <c r="CC10" i="8" s="1"/>
  <c r="AN10" i="8"/>
  <c r="AO10" i="8"/>
  <c r="AP10" i="8"/>
  <c r="AQ10" i="8"/>
  <c r="AR10" i="8"/>
  <c r="AS10" i="8"/>
  <c r="AT10" i="8"/>
  <c r="AU10" i="8"/>
  <c r="BW10" i="8" s="1"/>
  <c r="CE10" i="8" s="1"/>
  <c r="AV10" i="8"/>
  <c r="AW10" i="8"/>
  <c r="AX10" i="8"/>
  <c r="AY10" i="8"/>
  <c r="BI10" i="8" s="1"/>
  <c r="BQ10" i="8" s="1"/>
  <c r="AZ10" i="8"/>
  <c r="BA10" i="8"/>
  <c r="AD11" i="8"/>
  <c r="AE11" i="8"/>
  <c r="AF11" i="8"/>
  <c r="H11" i="8"/>
  <c r="AG11" i="8"/>
  <c r="AH11" i="8"/>
  <c r="BS11" i="8" s="1"/>
  <c r="CA11" i="8" s="1"/>
  <c r="AI11" i="8"/>
  <c r="AJ11" i="8"/>
  <c r="AK11" i="8"/>
  <c r="AL11" i="8"/>
  <c r="BT11" i="8" s="1"/>
  <c r="CB11" i="8" s="1"/>
  <c r="AM11" i="8"/>
  <c r="AN11" i="8"/>
  <c r="AO11" i="8"/>
  <c r="AP11" i="8"/>
  <c r="AQ11" i="8"/>
  <c r="AR11" i="8"/>
  <c r="AS11" i="8"/>
  <c r="AT11" i="8"/>
  <c r="AU11" i="8"/>
  <c r="AV11" i="8"/>
  <c r="AW11" i="8"/>
  <c r="AX11" i="8"/>
  <c r="BX11" i="8" s="1"/>
  <c r="CF11" i="8" s="1"/>
  <c r="AY11" i="8"/>
  <c r="AZ11" i="8"/>
  <c r="BA11" i="8"/>
  <c r="AD12" i="8"/>
  <c r="BR12" i="8" s="1"/>
  <c r="BZ12" i="8" s="1"/>
  <c r="AE12" i="8"/>
  <c r="AF12" i="8"/>
  <c r="H12" i="8"/>
  <c r="AG12" i="8"/>
  <c r="AH12" i="8"/>
  <c r="AI12" i="8"/>
  <c r="AJ12" i="8"/>
  <c r="AK12" i="8"/>
  <c r="BD12" i="8" s="1"/>
  <c r="BL12" i="8" s="1"/>
  <c r="AL12" i="8"/>
  <c r="AM12" i="8"/>
  <c r="AN12" i="8"/>
  <c r="AO12" i="8"/>
  <c r="AP12" i="8"/>
  <c r="AQ12" i="8"/>
  <c r="AR12" i="8"/>
  <c r="AS12" i="8"/>
  <c r="BW12" i="8" s="1"/>
  <c r="CE12" i="8" s="1"/>
  <c r="AT12" i="8"/>
  <c r="AU12" i="8"/>
  <c r="AV12" i="8"/>
  <c r="AW12" i="8"/>
  <c r="AX12" i="8"/>
  <c r="AY12" i="8"/>
  <c r="AZ12" i="8"/>
  <c r="BA12" i="8"/>
  <c r="BY12" i="8" s="1"/>
  <c r="CG12" i="8" s="1"/>
  <c r="AD13" i="8"/>
  <c r="AE13" i="8"/>
  <c r="AF13" i="8"/>
  <c r="H13" i="8"/>
  <c r="AG13" i="8"/>
  <c r="AH13" i="8"/>
  <c r="AI13" i="8"/>
  <c r="AJ13" i="8"/>
  <c r="AK13" i="8"/>
  <c r="AL13" i="8"/>
  <c r="AM13" i="8"/>
  <c r="AN13" i="8"/>
  <c r="BU13" i="8" s="1"/>
  <c r="CC13" i="8" s="1"/>
  <c r="AO13" i="8"/>
  <c r="AP13" i="8"/>
  <c r="AQ13" i="8"/>
  <c r="AR13" i="8"/>
  <c r="AS13" i="8"/>
  <c r="AT13" i="8"/>
  <c r="AU13" i="8"/>
  <c r="AV13" i="8"/>
  <c r="AW13" i="8"/>
  <c r="AX13" i="8"/>
  <c r="AY13" i="8"/>
  <c r="AZ13" i="8"/>
  <c r="BA13" i="8"/>
  <c r="AD14" i="8"/>
  <c r="AE14" i="8"/>
  <c r="AF14" i="8"/>
  <c r="BR14" i="8" s="1"/>
  <c r="BZ14" i="8" s="1"/>
  <c r="H14" i="8"/>
  <c r="AG14" i="8"/>
  <c r="AH14" i="8"/>
  <c r="AI14" i="8"/>
  <c r="AJ14" i="8"/>
  <c r="AK14" i="8"/>
  <c r="AL14" i="8"/>
  <c r="AM14" i="8"/>
  <c r="BU14" i="8" s="1"/>
  <c r="CC14" i="8" s="1"/>
  <c r="AN14" i="8"/>
  <c r="AO14" i="8"/>
  <c r="AP14" i="8"/>
  <c r="AQ14" i="8"/>
  <c r="AR14" i="8"/>
  <c r="AS14" i="8"/>
  <c r="AT14" i="8"/>
  <c r="AU14" i="8"/>
  <c r="AV14" i="8"/>
  <c r="AW14" i="8"/>
  <c r="AX14" i="8"/>
  <c r="AY14" i="8"/>
  <c r="BI14" i="8" s="1"/>
  <c r="BQ14" i="8" s="1"/>
  <c r="AZ14" i="8"/>
  <c r="BA14" i="8"/>
  <c r="AD15" i="8"/>
  <c r="AE15" i="8"/>
  <c r="AF15" i="8"/>
  <c r="H15" i="8"/>
  <c r="AG15" i="8"/>
  <c r="AH15" i="8"/>
  <c r="BS15" i="8" s="1"/>
  <c r="CA15" i="8" s="1"/>
  <c r="AI15" i="8"/>
  <c r="AJ15" i="8"/>
  <c r="AK15" i="8"/>
  <c r="AL15" i="8"/>
  <c r="BT15" i="8" s="1"/>
  <c r="CB15" i="8" s="1"/>
  <c r="AM15" i="8"/>
  <c r="AN15" i="8"/>
  <c r="AO15" i="8"/>
  <c r="AP15" i="8"/>
  <c r="BV15" i="8" s="1"/>
  <c r="CD15" i="8" s="1"/>
  <c r="AQ15" i="8"/>
  <c r="AR15" i="8"/>
  <c r="AS15" i="8"/>
  <c r="AT15" i="8"/>
  <c r="AU15" i="8"/>
  <c r="AV15" i="8"/>
  <c r="AW15" i="8"/>
  <c r="AX15" i="8"/>
  <c r="AY15" i="8"/>
  <c r="AZ15" i="8"/>
  <c r="BA15" i="8"/>
  <c r="AD16" i="8"/>
  <c r="AE16" i="8"/>
  <c r="AF16" i="8"/>
  <c r="H16" i="8"/>
  <c r="AG16" i="8"/>
  <c r="BS16" i="8" s="1"/>
  <c r="CA16" i="8" s="1"/>
  <c r="AH16" i="8"/>
  <c r="AI16" i="8"/>
  <c r="AJ16" i="8"/>
  <c r="AK16" i="8"/>
  <c r="AL16" i="8"/>
  <c r="AM16" i="8"/>
  <c r="AN16" i="8"/>
  <c r="AO16" i="8"/>
  <c r="BU16" i="8" s="1"/>
  <c r="CC16" i="8" s="1"/>
  <c r="AP16" i="8"/>
  <c r="AQ16" i="8"/>
  <c r="AR16" i="8"/>
  <c r="AS16" i="8"/>
  <c r="BW16" i="8" s="1"/>
  <c r="CE16" i="8" s="1"/>
  <c r="AT16" i="8"/>
  <c r="AU16" i="8"/>
  <c r="AV16" i="8"/>
  <c r="AW16" i="8"/>
  <c r="AX16" i="8"/>
  <c r="AY16" i="8"/>
  <c r="AZ16" i="8"/>
  <c r="BA16" i="8"/>
  <c r="BY16" i="8" s="1"/>
  <c r="CG16" i="8" s="1"/>
  <c r="AD17" i="8"/>
  <c r="AE17" i="8"/>
  <c r="AF17" i="8"/>
  <c r="H17" i="8"/>
  <c r="AG17" i="8"/>
  <c r="AH17" i="8"/>
  <c r="AI17" i="8"/>
  <c r="AJ17" i="8"/>
  <c r="AK17" i="8"/>
  <c r="AL17" i="8"/>
  <c r="AM17" i="8"/>
  <c r="AN17" i="8"/>
  <c r="BU17" i="8" s="1"/>
  <c r="CC17" i="8" s="1"/>
  <c r="AO17" i="8"/>
  <c r="AP17" i="8"/>
  <c r="AQ17" i="8"/>
  <c r="AR17" i="8"/>
  <c r="BV17" i="8" s="1"/>
  <c r="CD17" i="8" s="1"/>
  <c r="AS17" i="8"/>
  <c r="AT17" i="8"/>
  <c r="AU17" i="8"/>
  <c r="AV17" i="8"/>
  <c r="BX17" i="8" s="1"/>
  <c r="CF17" i="8" s="1"/>
  <c r="AW17" i="8"/>
  <c r="AX17" i="8"/>
  <c r="AY17" i="8"/>
  <c r="AZ17" i="8"/>
  <c r="BY17" i="8" s="1"/>
  <c r="CG17" i="8" s="1"/>
  <c r="BA17" i="8"/>
  <c r="AD18" i="8"/>
  <c r="AE18" i="8"/>
  <c r="AF18" i="8"/>
  <c r="BR18" i="8" s="1"/>
  <c r="BZ18" i="8" s="1"/>
  <c r="H18" i="8"/>
  <c r="AG18" i="8"/>
  <c r="AH18" i="8"/>
  <c r="AI18" i="8"/>
  <c r="AJ18" i="8"/>
  <c r="AK18" i="8"/>
  <c r="AL18" i="8"/>
  <c r="AM18" i="8"/>
  <c r="BU18" i="8" s="1"/>
  <c r="CC18" i="8" s="1"/>
  <c r="AN18" i="8"/>
  <c r="AO18" i="8"/>
  <c r="AP18" i="8"/>
  <c r="AQ18" i="8"/>
  <c r="AR18" i="8"/>
  <c r="AS18" i="8"/>
  <c r="AT18" i="8"/>
  <c r="AU18" i="8"/>
  <c r="AV18" i="8"/>
  <c r="AW18" i="8"/>
  <c r="AX18" i="8"/>
  <c r="AY18" i="8"/>
  <c r="BI18" i="8" s="1"/>
  <c r="BQ18" i="8" s="1"/>
  <c r="AZ18" i="8"/>
  <c r="BA18" i="8"/>
  <c r="AD19" i="8"/>
  <c r="AE19" i="8"/>
  <c r="BR19" i="8" s="1"/>
  <c r="BZ19" i="8" s="1"/>
  <c r="AF19" i="8"/>
  <c r="H19" i="8"/>
  <c r="AG19" i="8"/>
  <c r="AH19" i="8"/>
  <c r="BS19" i="8" s="1"/>
  <c r="CA19" i="8" s="1"/>
  <c r="AI19" i="8"/>
  <c r="AJ19" i="8"/>
  <c r="AK19" i="8"/>
  <c r="AL19" i="8"/>
  <c r="AM19" i="8"/>
  <c r="AN19" i="8"/>
  <c r="AO19" i="8"/>
  <c r="AP19" i="8"/>
  <c r="BV19" i="8" s="1"/>
  <c r="CD19" i="8" s="1"/>
  <c r="AQ19" i="8"/>
  <c r="AR19" i="8"/>
  <c r="AS19" i="8"/>
  <c r="AT19" i="8"/>
  <c r="AU19" i="8"/>
  <c r="AV19" i="8"/>
  <c r="AW19" i="8"/>
  <c r="AX19" i="8"/>
  <c r="BX19" i="8" s="1"/>
  <c r="CF19" i="8" s="1"/>
  <c r="AY19" i="8"/>
  <c r="AZ19" i="8"/>
  <c r="BA19" i="8"/>
  <c r="AD20" i="8"/>
  <c r="AE20" i="8"/>
  <c r="AF20" i="8"/>
  <c r="H20" i="8"/>
  <c r="AG20" i="8"/>
  <c r="AH20" i="8"/>
  <c r="AI20" i="8"/>
  <c r="AJ20" i="8"/>
  <c r="AK20" i="8"/>
  <c r="AL20" i="8"/>
  <c r="AM20" i="8"/>
  <c r="AN20" i="8"/>
  <c r="AO20" i="8"/>
  <c r="AP20" i="8"/>
  <c r="AQ20" i="8"/>
  <c r="AR20" i="8"/>
  <c r="AS20" i="8"/>
  <c r="BW20" i="8" s="1"/>
  <c r="CE20" i="8" s="1"/>
  <c r="AT20" i="8"/>
  <c r="AU20" i="8"/>
  <c r="AV20" i="8"/>
  <c r="AW20" i="8"/>
  <c r="AX20" i="8"/>
  <c r="AY20" i="8"/>
  <c r="AZ20" i="8"/>
  <c r="BA20" i="8"/>
  <c r="AD21" i="8"/>
  <c r="AE21" i="8"/>
  <c r="AF21" i="8"/>
  <c r="H21" i="8"/>
  <c r="AG21" i="8"/>
  <c r="AH21" i="8"/>
  <c r="AI21" i="8"/>
  <c r="AJ21" i="8"/>
  <c r="AK21" i="8"/>
  <c r="AL21" i="8"/>
  <c r="AM21" i="8"/>
  <c r="AN21" i="8"/>
  <c r="BU21" i="8" s="1"/>
  <c r="CC21" i="8" s="1"/>
  <c r="AO21" i="8"/>
  <c r="AP21" i="8"/>
  <c r="AQ21" i="8"/>
  <c r="AR21" i="8"/>
  <c r="AS21" i="8"/>
  <c r="AT21" i="8"/>
  <c r="AU21" i="8"/>
  <c r="AV21" i="8"/>
  <c r="BX21" i="8" s="1"/>
  <c r="CF21" i="8" s="1"/>
  <c r="AW21" i="8"/>
  <c r="AX21" i="8"/>
  <c r="AY21" i="8"/>
  <c r="AZ21" i="8"/>
  <c r="BA21" i="8"/>
  <c r="AD22" i="8"/>
  <c r="AE22" i="8"/>
  <c r="AF22" i="8"/>
  <c r="BR22" i="8" s="1"/>
  <c r="BZ22" i="8" s="1"/>
  <c r="H22" i="8"/>
  <c r="AG22" i="8"/>
  <c r="AH22" i="8"/>
  <c r="AI22" i="8"/>
  <c r="AJ22" i="8"/>
  <c r="AK22" i="8"/>
  <c r="AL22" i="8"/>
  <c r="AM22" i="8"/>
  <c r="BU22" i="8" s="1"/>
  <c r="CC22" i="8" s="1"/>
  <c r="AN22" i="8"/>
  <c r="AO22" i="8"/>
  <c r="AP22" i="8"/>
  <c r="AQ22" i="8"/>
  <c r="BF22" i="8" s="1"/>
  <c r="BN22" i="8" s="1"/>
  <c r="AR22" i="8"/>
  <c r="AS22" i="8"/>
  <c r="AT22" i="8"/>
  <c r="AU22" i="8"/>
  <c r="BY22" i="8" s="1"/>
  <c r="CG22" i="8" s="1"/>
  <c r="AV22" i="8"/>
  <c r="AW22" i="8"/>
  <c r="AX22" i="8"/>
  <c r="AY22" i="8"/>
  <c r="BI22" i="8" s="1"/>
  <c r="BQ22" i="8" s="1"/>
  <c r="AZ22" i="8"/>
  <c r="BA22" i="8"/>
  <c r="AD23" i="8"/>
  <c r="AE23" i="8"/>
  <c r="AF23" i="8"/>
  <c r="H23" i="8"/>
  <c r="AG23" i="8"/>
  <c r="AH23" i="8"/>
  <c r="BS23" i="8" s="1"/>
  <c r="CA23" i="8" s="1"/>
  <c r="AI23" i="8"/>
  <c r="AJ23" i="8"/>
  <c r="AK23" i="8"/>
  <c r="AL23" i="8"/>
  <c r="AM23" i="8"/>
  <c r="AN23" i="8"/>
  <c r="AO23" i="8"/>
  <c r="AP23" i="8"/>
  <c r="BV23" i="8" s="1"/>
  <c r="CD23" i="8" s="1"/>
  <c r="AQ23" i="8"/>
  <c r="AR23" i="8"/>
  <c r="AS23" i="8"/>
  <c r="AT23" i="8"/>
  <c r="AU23" i="8"/>
  <c r="AV23" i="8"/>
  <c r="AW23" i="8"/>
  <c r="AX23" i="8"/>
  <c r="BX23" i="8" s="1"/>
  <c r="CF23" i="8" s="1"/>
  <c r="AY23" i="8"/>
  <c r="AZ23" i="8"/>
  <c r="BA23" i="8"/>
  <c r="AD24" i="8"/>
  <c r="AE24" i="8"/>
  <c r="AF24" i="8"/>
  <c r="H24" i="8"/>
  <c r="AG24" i="8"/>
  <c r="AH24" i="8"/>
  <c r="AI24" i="8"/>
  <c r="AJ24" i="8"/>
  <c r="AK24" i="8"/>
  <c r="AL24" i="8"/>
  <c r="AM24" i="8"/>
  <c r="AN24" i="8"/>
  <c r="AO24" i="8"/>
  <c r="AP24" i="8"/>
  <c r="AQ24" i="8"/>
  <c r="AR24" i="8"/>
  <c r="AS24" i="8"/>
  <c r="BG24" i="8" s="1"/>
  <c r="BO24" i="8" s="1"/>
  <c r="AT24" i="8"/>
  <c r="AU24" i="8"/>
  <c r="AV24" i="8"/>
  <c r="AW24" i="8"/>
  <c r="BX24" i="8" s="1"/>
  <c r="CF24" i="8" s="1"/>
  <c r="AX24" i="8"/>
  <c r="AY24" i="8"/>
  <c r="AZ24" i="8"/>
  <c r="BA24" i="8"/>
  <c r="AD25" i="8"/>
  <c r="AE25" i="8"/>
  <c r="AF25" i="8"/>
  <c r="H25" i="8"/>
  <c r="AG25" i="8"/>
  <c r="AH25" i="8"/>
  <c r="AI25" i="8"/>
  <c r="AJ25" i="8"/>
  <c r="BT25" i="8" s="1"/>
  <c r="CB25" i="8" s="1"/>
  <c r="AK25" i="8"/>
  <c r="AL25" i="8"/>
  <c r="AM25" i="8"/>
  <c r="AN25" i="8"/>
  <c r="AO25" i="8"/>
  <c r="AP25" i="8"/>
  <c r="AQ25" i="8"/>
  <c r="AR25" i="8"/>
  <c r="AS25" i="8"/>
  <c r="AT25" i="8"/>
  <c r="AU25" i="8"/>
  <c r="AV25" i="8"/>
  <c r="BX25" i="8" s="1"/>
  <c r="CF25" i="8" s="1"/>
  <c r="AW25" i="8"/>
  <c r="AX25" i="8"/>
  <c r="AY25" i="8"/>
  <c r="AZ25" i="8"/>
  <c r="BY25" i="8" s="1"/>
  <c r="CG25" i="8" s="1"/>
  <c r="BA25" i="8"/>
  <c r="AD26" i="8"/>
  <c r="AE26" i="8"/>
  <c r="AF26" i="8"/>
  <c r="BR26" i="8" s="1"/>
  <c r="BZ26" i="8" s="1"/>
  <c r="H26" i="8"/>
  <c r="AG26" i="8"/>
  <c r="AH26" i="8"/>
  <c r="AI26" i="8"/>
  <c r="BS26" i="8" s="1"/>
  <c r="CA26" i="8" s="1"/>
  <c r="AJ26" i="8"/>
  <c r="AK26" i="8"/>
  <c r="AL26" i="8"/>
  <c r="AM26" i="8"/>
  <c r="AN26" i="8"/>
  <c r="AO26" i="8"/>
  <c r="AP26" i="8"/>
  <c r="AQ26" i="8"/>
  <c r="BV26" i="8" s="1"/>
  <c r="CD26" i="8" s="1"/>
  <c r="AR26" i="8"/>
  <c r="AS26" i="8"/>
  <c r="AT26" i="8"/>
  <c r="AU26" i="8"/>
  <c r="BW26" i="8" s="1"/>
  <c r="CE26" i="8" s="1"/>
  <c r="AV26" i="8"/>
  <c r="AW26" i="8"/>
  <c r="AX26" i="8"/>
  <c r="AY26" i="8"/>
  <c r="BY26" i="8" s="1"/>
  <c r="CG26" i="8" s="1"/>
  <c r="AZ26" i="8"/>
  <c r="BA26" i="8"/>
  <c r="AD27" i="8"/>
  <c r="AE27" i="8"/>
  <c r="AF27" i="8"/>
  <c r="H27" i="8"/>
  <c r="AG27" i="8"/>
  <c r="AH27" i="8"/>
  <c r="AI27" i="8"/>
  <c r="AJ27" i="8"/>
  <c r="AK27" i="8"/>
  <c r="AL27" i="8"/>
  <c r="AM27" i="8"/>
  <c r="AN27" i="8"/>
  <c r="AO27" i="8"/>
  <c r="AP27" i="8"/>
  <c r="AQ27" i="8"/>
  <c r="AR27" i="8"/>
  <c r="AS27" i="8"/>
  <c r="AT27" i="8"/>
  <c r="AU27" i="8"/>
  <c r="AV27" i="8"/>
  <c r="AW27" i="8"/>
  <c r="AX27" i="8"/>
  <c r="AY27" i="8"/>
  <c r="AZ27" i="8"/>
  <c r="BA27" i="8"/>
  <c r="AD28" i="8"/>
  <c r="AE28" i="8"/>
  <c r="AF28" i="8"/>
  <c r="H28" i="8"/>
  <c r="AG28" i="8"/>
  <c r="BS28" i="8" s="1"/>
  <c r="CA28" i="8" s="1"/>
  <c r="AH28" i="8"/>
  <c r="AI28" i="8"/>
  <c r="AJ28" i="8"/>
  <c r="AK28" i="8"/>
  <c r="AL28" i="8"/>
  <c r="AM28" i="8"/>
  <c r="AN28" i="8"/>
  <c r="AO28" i="8"/>
  <c r="AP28" i="8"/>
  <c r="AQ28" i="8"/>
  <c r="AR28" i="8"/>
  <c r="AS28" i="8"/>
  <c r="AT28" i="8"/>
  <c r="AU28" i="8"/>
  <c r="AV28" i="8"/>
  <c r="AW28" i="8"/>
  <c r="AX28" i="8"/>
  <c r="AY28" i="8"/>
  <c r="AZ28" i="8"/>
  <c r="BA28" i="8"/>
  <c r="AD29" i="8"/>
  <c r="AE29" i="8"/>
  <c r="AF29" i="8"/>
  <c r="H29" i="8"/>
  <c r="AG29" i="8"/>
  <c r="AH29" i="8"/>
  <c r="AI29" i="8"/>
  <c r="AJ29" i="8"/>
  <c r="BT29" i="8" s="1"/>
  <c r="CB29" i="8" s="1"/>
  <c r="AK29" i="8"/>
  <c r="AL29" i="8"/>
  <c r="AM29" i="8"/>
  <c r="AN29" i="8"/>
  <c r="BU29" i="8" s="1"/>
  <c r="CC29" i="8" s="1"/>
  <c r="AO29" i="8"/>
  <c r="AP29" i="8"/>
  <c r="AQ29" i="8"/>
  <c r="AR29" i="8"/>
  <c r="AS29" i="8"/>
  <c r="AT29" i="8"/>
  <c r="AU29" i="8"/>
  <c r="AV29" i="8"/>
  <c r="BX29" i="8" s="1"/>
  <c r="CF29" i="8" s="1"/>
  <c r="AW29" i="8"/>
  <c r="AX29" i="8"/>
  <c r="AY29" i="8"/>
  <c r="AZ29" i="8"/>
  <c r="BY29" i="8" s="1"/>
  <c r="CG29" i="8" s="1"/>
  <c r="BA29" i="8"/>
  <c r="AD30" i="8"/>
  <c r="AE30" i="8"/>
  <c r="AF30" i="8"/>
  <c r="BR30" i="8" s="1"/>
  <c r="BZ30" i="8" s="1"/>
  <c r="H30" i="8"/>
  <c r="AG30" i="8"/>
  <c r="AH30" i="8"/>
  <c r="AI30" i="8"/>
  <c r="AJ30" i="8"/>
  <c r="AK30" i="8"/>
  <c r="AL30" i="8"/>
  <c r="AM30" i="8"/>
  <c r="BU30" i="8" s="1"/>
  <c r="CC30" i="8" s="1"/>
  <c r="AN30" i="8"/>
  <c r="AO30" i="8"/>
  <c r="AP30" i="8"/>
  <c r="AQ30" i="8"/>
  <c r="BV30" i="8" s="1"/>
  <c r="CD30" i="8" s="1"/>
  <c r="AR30" i="8"/>
  <c r="AS30" i="8"/>
  <c r="AT30" i="8"/>
  <c r="AU30" i="8"/>
  <c r="BW30" i="8" s="1"/>
  <c r="CE30" i="8" s="1"/>
  <c r="AV30" i="8"/>
  <c r="AW30" i="8"/>
  <c r="AX30" i="8"/>
  <c r="AY30" i="8"/>
  <c r="AZ30" i="8"/>
  <c r="BA30" i="8"/>
  <c r="AD31" i="8"/>
  <c r="AE31" i="8"/>
  <c r="BR31" i="8" s="1"/>
  <c r="BZ31" i="8" s="1"/>
  <c r="AF31" i="8"/>
  <c r="H31" i="8"/>
  <c r="AG31" i="8"/>
  <c r="AH31" i="8"/>
  <c r="AI31" i="8"/>
  <c r="AJ31" i="8"/>
  <c r="AK31" i="8"/>
  <c r="AL31" i="8"/>
  <c r="AM31" i="8"/>
  <c r="AN31" i="8"/>
  <c r="AO31" i="8"/>
  <c r="AP31" i="8"/>
  <c r="AQ31" i="8"/>
  <c r="AR31" i="8"/>
  <c r="AS31" i="8"/>
  <c r="AT31" i="8"/>
  <c r="BW31" i="8" s="1"/>
  <c r="CE31" i="8" s="1"/>
  <c r="AU31" i="8"/>
  <c r="AV31" i="8"/>
  <c r="AW31" i="8"/>
  <c r="AX31" i="8"/>
  <c r="AY31" i="8"/>
  <c r="AZ31" i="8"/>
  <c r="BA31" i="8"/>
  <c r="AD32" i="8"/>
  <c r="AE32" i="8"/>
  <c r="AF32" i="8"/>
  <c r="H32" i="8"/>
  <c r="AG32" i="8"/>
  <c r="AH32" i="8"/>
  <c r="AI32" i="8"/>
  <c r="AJ32" i="8"/>
  <c r="AK32" i="8"/>
  <c r="AL32" i="8"/>
  <c r="AM32" i="8"/>
  <c r="AN32" i="8"/>
  <c r="AO32" i="8"/>
  <c r="AP32" i="8"/>
  <c r="AQ32" i="8"/>
  <c r="AR32" i="8"/>
  <c r="AS32" i="8"/>
  <c r="AT32" i="8"/>
  <c r="AU32" i="8"/>
  <c r="AV32" i="8"/>
  <c r="AW32" i="8"/>
  <c r="AX32" i="8"/>
  <c r="AY32" i="8"/>
  <c r="AZ32" i="8"/>
  <c r="BA32" i="8"/>
  <c r="AD33" i="8"/>
  <c r="AE33" i="8"/>
  <c r="AF33" i="8"/>
  <c r="H33" i="8"/>
  <c r="AG33" i="8"/>
  <c r="AH33" i="8"/>
  <c r="AI33" i="8"/>
  <c r="AJ33" i="8"/>
  <c r="BT33" i="8" s="1"/>
  <c r="CB33" i="8" s="1"/>
  <c r="AK33" i="8"/>
  <c r="AL33" i="8"/>
  <c r="AM33" i="8"/>
  <c r="AN33" i="8"/>
  <c r="AO33" i="8"/>
  <c r="AP33" i="8"/>
  <c r="AQ33" i="8"/>
  <c r="AR33" i="8"/>
  <c r="BV33" i="8" s="1"/>
  <c r="CD33" i="8" s="1"/>
  <c r="AS33" i="8"/>
  <c r="AT33" i="8"/>
  <c r="AU33" i="8"/>
  <c r="AV33" i="8"/>
  <c r="AW33" i="8"/>
  <c r="AX33" i="8"/>
  <c r="AY33" i="8"/>
  <c r="AZ33" i="8"/>
  <c r="BY33" i="8" s="1"/>
  <c r="CG33" i="8" s="1"/>
  <c r="BA33" i="8"/>
  <c r="AD34" i="8"/>
  <c r="AE34" i="8"/>
  <c r="AF34" i="8"/>
  <c r="BR34" i="8" s="1"/>
  <c r="BZ34" i="8" s="1"/>
  <c r="H34" i="8"/>
  <c r="AG34" i="8"/>
  <c r="AH34" i="8"/>
  <c r="AI34" i="8"/>
  <c r="BS34" i="8" s="1"/>
  <c r="CA34" i="8" s="1"/>
  <c r="AJ34" i="8"/>
  <c r="AK34" i="8"/>
  <c r="AL34" i="8"/>
  <c r="AM34" i="8"/>
  <c r="BU34" i="8" s="1"/>
  <c r="CC34" i="8" s="1"/>
  <c r="AN34" i="8"/>
  <c r="AO34" i="8"/>
  <c r="AP34" i="8"/>
  <c r="AQ34" i="8"/>
  <c r="BV34" i="8" s="1"/>
  <c r="CD34" i="8" s="1"/>
  <c r="AR34" i="8"/>
  <c r="AS34" i="8"/>
  <c r="AT34" i="8"/>
  <c r="AU34" i="8"/>
  <c r="BW34" i="8" s="1"/>
  <c r="CE34" i="8" s="1"/>
  <c r="AV34" i="8"/>
  <c r="AW34" i="8"/>
  <c r="AX34" i="8"/>
  <c r="AY34" i="8"/>
  <c r="BY34" i="8" s="1"/>
  <c r="CG34" i="8" s="1"/>
  <c r="AZ34" i="8"/>
  <c r="BA34" i="8"/>
  <c r="AD35" i="8"/>
  <c r="AE35" i="8"/>
  <c r="BR35" i="8" s="1"/>
  <c r="BZ35" i="8" s="1"/>
  <c r="AF35" i="8"/>
  <c r="H35" i="8"/>
  <c r="AG35" i="8"/>
  <c r="AH35" i="8"/>
  <c r="BS35" i="8" s="1"/>
  <c r="CA35" i="8" s="1"/>
  <c r="AI35" i="8"/>
  <c r="AJ35" i="8"/>
  <c r="AK35" i="8"/>
  <c r="AL35" i="8"/>
  <c r="AM35" i="8"/>
  <c r="AN35" i="8"/>
  <c r="AO35" i="8"/>
  <c r="AP35" i="8"/>
  <c r="AQ35" i="8"/>
  <c r="AR35" i="8"/>
  <c r="AS35" i="8"/>
  <c r="AT35" i="8"/>
  <c r="AU35" i="8"/>
  <c r="AV35" i="8"/>
  <c r="AW35" i="8"/>
  <c r="AX35" i="8"/>
  <c r="AY35" i="8"/>
  <c r="AZ35" i="8"/>
  <c r="BA35" i="8"/>
  <c r="AD36" i="8"/>
  <c r="AE36" i="8"/>
  <c r="AF36" i="8"/>
  <c r="H36" i="8"/>
  <c r="AG36" i="8"/>
  <c r="BS36" i="8" s="1"/>
  <c r="CA36" i="8" s="1"/>
  <c r="AH36" i="8"/>
  <c r="AI36" i="8"/>
  <c r="AJ36" i="8"/>
  <c r="AK36" i="8"/>
  <c r="AL36" i="8"/>
  <c r="AM36" i="8"/>
  <c r="AN36" i="8"/>
  <c r="AO36" i="8"/>
  <c r="AP36" i="8"/>
  <c r="AQ36" i="8"/>
  <c r="AR36" i="8"/>
  <c r="AS36" i="8"/>
  <c r="AT36" i="8"/>
  <c r="AU36" i="8"/>
  <c r="AV36" i="8"/>
  <c r="AW36" i="8"/>
  <c r="AX36" i="8"/>
  <c r="AY36" i="8"/>
  <c r="AZ36" i="8"/>
  <c r="BA36" i="8"/>
  <c r="AD37" i="8"/>
  <c r="AE37" i="8"/>
  <c r="AF37" i="8"/>
  <c r="H37" i="8"/>
  <c r="AG37" i="8"/>
  <c r="AH37" i="8"/>
  <c r="AI37" i="8"/>
  <c r="AJ37" i="8"/>
  <c r="AK37" i="8"/>
  <c r="AL37" i="8"/>
  <c r="AM37" i="8"/>
  <c r="AN37" i="8"/>
  <c r="BU37" i="8" s="1"/>
  <c r="CC37" i="8" s="1"/>
  <c r="AO37" i="8"/>
  <c r="AP37" i="8"/>
  <c r="AQ37" i="8"/>
  <c r="AR37" i="8"/>
  <c r="BV37" i="8" s="1"/>
  <c r="CD37" i="8" s="1"/>
  <c r="AS37" i="8"/>
  <c r="AT37" i="8"/>
  <c r="AU37" i="8"/>
  <c r="AV37" i="8"/>
  <c r="BX37" i="8" s="1"/>
  <c r="CF37" i="8" s="1"/>
  <c r="AW37" i="8"/>
  <c r="AX37" i="8"/>
  <c r="AY37" i="8"/>
  <c r="AZ37" i="8"/>
  <c r="BY37" i="8" s="1"/>
  <c r="CG37" i="8" s="1"/>
  <c r="BA37" i="8"/>
  <c r="AD38" i="8"/>
  <c r="AE38" i="8"/>
  <c r="AF38" i="8"/>
  <c r="BB38" i="8" s="1"/>
  <c r="BJ38" i="8" s="1"/>
  <c r="H38" i="8"/>
  <c r="AG38" i="8"/>
  <c r="AH38" i="8"/>
  <c r="AI38" i="8"/>
  <c r="BC38" i="8" s="1"/>
  <c r="BK38" i="8" s="1"/>
  <c r="AJ38" i="8"/>
  <c r="AK38" i="8"/>
  <c r="AL38" i="8"/>
  <c r="BD38" i="8" s="1"/>
  <c r="BL38" i="8" s="1"/>
  <c r="AM38" i="8"/>
  <c r="AN38" i="8"/>
  <c r="AO38" i="8"/>
  <c r="AP38" i="8"/>
  <c r="AQ38" i="8"/>
  <c r="BV38" i="8" s="1"/>
  <c r="CD38" i="8" s="1"/>
  <c r="AR38" i="8"/>
  <c r="AS38" i="8"/>
  <c r="AT38" i="8"/>
  <c r="AU38" i="8"/>
  <c r="BG38" i="8" s="1"/>
  <c r="BO38" i="8" s="1"/>
  <c r="AV38" i="8"/>
  <c r="AW38" i="8"/>
  <c r="AX38" i="8"/>
  <c r="AY38" i="8"/>
  <c r="BI38" i="8" s="1"/>
  <c r="BQ38" i="8" s="1"/>
  <c r="AZ38" i="8"/>
  <c r="BA38" i="8"/>
  <c r="AD39" i="8"/>
  <c r="AE39" i="8"/>
  <c r="AF39" i="8"/>
  <c r="H39" i="8"/>
  <c r="AG39" i="8"/>
  <c r="AH39" i="8"/>
  <c r="AI39" i="8"/>
  <c r="AJ39" i="8"/>
  <c r="AK39" i="8"/>
  <c r="AL39" i="8"/>
  <c r="AM39" i="8"/>
  <c r="AN39" i="8"/>
  <c r="AO39" i="8"/>
  <c r="BU39" i="8" s="1"/>
  <c r="CC39" i="8" s="1"/>
  <c r="AP39" i="8"/>
  <c r="AQ39" i="8"/>
  <c r="AR39" i="8"/>
  <c r="AS39" i="8"/>
  <c r="AT39" i="8"/>
  <c r="BW39" i="8" s="1"/>
  <c r="CE39" i="8" s="1"/>
  <c r="AU39" i="8"/>
  <c r="AV39" i="8"/>
  <c r="AW39" i="8"/>
  <c r="AX39" i="8"/>
  <c r="AY39" i="8"/>
  <c r="AZ39" i="8"/>
  <c r="BA39" i="8"/>
  <c r="AD40" i="8"/>
  <c r="AE40" i="8"/>
  <c r="AF40" i="8"/>
  <c r="H40" i="8"/>
  <c r="AG40" i="8"/>
  <c r="AH40" i="8"/>
  <c r="AI40" i="8"/>
  <c r="AJ40" i="8"/>
  <c r="AK40" i="8"/>
  <c r="AL40" i="8"/>
  <c r="AM40" i="8"/>
  <c r="AN40" i="8"/>
  <c r="AO40" i="8"/>
  <c r="AP40" i="8"/>
  <c r="AQ40" i="8"/>
  <c r="AR40" i="8"/>
  <c r="AS40" i="8"/>
  <c r="BW40" i="8" s="1"/>
  <c r="CE40" i="8" s="1"/>
  <c r="AT40" i="8"/>
  <c r="AU40" i="8"/>
  <c r="AV40" i="8"/>
  <c r="AW40" i="8"/>
  <c r="BH40" i="8" s="1"/>
  <c r="BP40" i="8" s="1"/>
  <c r="AX40" i="8"/>
  <c r="AY40" i="8"/>
  <c r="AZ40" i="8"/>
  <c r="BA40" i="8"/>
  <c r="BY40" i="8" s="1"/>
  <c r="CG40" i="8" s="1"/>
  <c r="AD41" i="8"/>
  <c r="AE41" i="8"/>
  <c r="AF41" i="8"/>
  <c r="H41" i="8"/>
  <c r="AG41" i="8"/>
  <c r="AH41" i="8"/>
  <c r="AI41" i="8"/>
  <c r="BC41" i="8" s="1"/>
  <c r="AJ41" i="8"/>
  <c r="BT41" i="8" s="1"/>
  <c r="CB41" i="8" s="1"/>
  <c r="AK41" i="8"/>
  <c r="AL41" i="8"/>
  <c r="AM41" i="8"/>
  <c r="AN41" i="8"/>
  <c r="BU41" i="8" s="1"/>
  <c r="CC41" i="8" s="1"/>
  <c r="AO41" i="8"/>
  <c r="AP41" i="8"/>
  <c r="AQ41" i="8"/>
  <c r="AR41" i="8"/>
  <c r="AS41" i="8"/>
  <c r="AT41" i="8"/>
  <c r="AU41" i="8"/>
  <c r="BG41" i="8" s="1"/>
  <c r="AV41" i="8"/>
  <c r="BX41" i="8" s="1"/>
  <c r="CF41" i="8" s="1"/>
  <c r="AW41" i="8"/>
  <c r="AX41" i="8"/>
  <c r="AY41" i="8"/>
  <c r="AZ41" i="8"/>
  <c r="BA41" i="8"/>
  <c r="AD42" i="8"/>
  <c r="AE42" i="8"/>
  <c r="AF42" i="8"/>
  <c r="BB42" i="8" s="1"/>
  <c r="BJ42" i="8" s="1"/>
  <c r="H42" i="8"/>
  <c r="AG42" i="8"/>
  <c r="AH42" i="8"/>
  <c r="AI42" i="8"/>
  <c r="BS42" i="8" s="1"/>
  <c r="CA42" i="8" s="1"/>
  <c r="AJ42" i="8"/>
  <c r="AK42" i="8"/>
  <c r="AL42" i="8"/>
  <c r="AM42" i="8"/>
  <c r="BU42" i="8" s="1"/>
  <c r="CC42" i="8" s="1"/>
  <c r="AN42" i="8"/>
  <c r="AO42" i="8"/>
  <c r="AP42" i="8"/>
  <c r="AQ42" i="8"/>
  <c r="BV42" i="8" s="1"/>
  <c r="CD42" i="8" s="1"/>
  <c r="AR42" i="8"/>
  <c r="AS42" i="8"/>
  <c r="AT42" i="8"/>
  <c r="AU42" i="8"/>
  <c r="BG42" i="8" s="1"/>
  <c r="BO42" i="8" s="1"/>
  <c r="AV42" i="8"/>
  <c r="AW42" i="8"/>
  <c r="AX42" i="8"/>
  <c r="AY42" i="8"/>
  <c r="AZ42" i="8"/>
  <c r="BA42" i="8"/>
  <c r="AD43" i="8"/>
  <c r="AE43" i="8"/>
  <c r="BR43" i="8" s="1"/>
  <c r="BZ43" i="8" s="1"/>
  <c r="AF43" i="8"/>
  <c r="H43" i="8"/>
  <c r="AG43" i="8"/>
  <c r="AH43" i="8"/>
  <c r="BS43" i="8" s="1"/>
  <c r="CA43" i="8" s="1"/>
  <c r="AI43" i="8"/>
  <c r="AJ43" i="8"/>
  <c r="AK43" i="8"/>
  <c r="AL43" i="8"/>
  <c r="BT43" i="8" s="1"/>
  <c r="CB43" i="8" s="1"/>
  <c r="AM43" i="8"/>
  <c r="AN43" i="8"/>
  <c r="AO43" i="8"/>
  <c r="AP43" i="8"/>
  <c r="AQ43" i="8"/>
  <c r="AR43" i="8"/>
  <c r="AS43" i="8"/>
  <c r="AT43" i="8"/>
  <c r="AU43" i="8"/>
  <c r="AV43" i="8"/>
  <c r="AW43" i="8"/>
  <c r="AX43" i="8"/>
  <c r="AY43" i="8"/>
  <c r="AZ43" i="8"/>
  <c r="BA43" i="8"/>
  <c r="AD44" i="8"/>
  <c r="BR44" i="8" s="1"/>
  <c r="BZ44" i="8" s="1"/>
  <c r="AE44" i="8"/>
  <c r="AF44" i="8"/>
  <c r="H44" i="8"/>
  <c r="AG44" i="8"/>
  <c r="BC44" i="8" s="1"/>
  <c r="BK44" i="8" s="1"/>
  <c r="AH44" i="8"/>
  <c r="AI44" i="8"/>
  <c r="AJ44" i="8"/>
  <c r="AK44" i="8"/>
  <c r="BT44" i="8" s="1"/>
  <c r="CB44" i="8" s="1"/>
  <c r="AL44" i="8"/>
  <c r="AM44" i="8"/>
  <c r="AN44" i="8"/>
  <c r="AO44" i="8"/>
  <c r="AP44" i="8"/>
  <c r="AQ44" i="8"/>
  <c r="AR44" i="8"/>
  <c r="AS44" i="8"/>
  <c r="AT44" i="8"/>
  <c r="AU44" i="8"/>
  <c r="AV44" i="8"/>
  <c r="AW44" i="8"/>
  <c r="AX44" i="8"/>
  <c r="AY44" i="8"/>
  <c r="AZ44" i="8"/>
  <c r="BA44" i="8"/>
  <c r="AD45" i="8"/>
  <c r="AE45" i="8"/>
  <c r="AF45" i="8"/>
  <c r="H45" i="8"/>
  <c r="AG45" i="8"/>
  <c r="AH45" i="8"/>
  <c r="AI45" i="8"/>
  <c r="AJ45" i="8"/>
  <c r="AK45" i="8"/>
  <c r="AL45" i="8"/>
  <c r="AM45" i="8"/>
  <c r="AN45" i="8"/>
  <c r="AO45" i="8"/>
  <c r="AP45" i="8"/>
  <c r="AQ45" i="8"/>
  <c r="AR45" i="8"/>
  <c r="BV45" i="8" s="1"/>
  <c r="CD45" i="8" s="1"/>
  <c r="AS45" i="8"/>
  <c r="AT45" i="8"/>
  <c r="AU45" i="8"/>
  <c r="AV45" i="8"/>
  <c r="BX45" i="8" s="1"/>
  <c r="CF45" i="8" s="1"/>
  <c r="AW45" i="8"/>
  <c r="AX45" i="8"/>
  <c r="AY45" i="8"/>
  <c r="AZ45" i="8"/>
  <c r="BA45" i="8"/>
  <c r="AD46" i="8"/>
  <c r="AE46" i="8"/>
  <c r="AF46" i="8"/>
  <c r="BB46" i="8" s="1"/>
  <c r="BJ46" i="8" s="1"/>
  <c r="H46" i="8"/>
  <c r="AG46" i="8"/>
  <c r="AH46" i="8"/>
  <c r="AI46" i="8"/>
  <c r="BS46" i="8" s="1"/>
  <c r="CA46" i="8" s="1"/>
  <c r="AJ46" i="8"/>
  <c r="AK46" i="8"/>
  <c r="AL46" i="8"/>
  <c r="AM46" i="8"/>
  <c r="BU46" i="8" s="1"/>
  <c r="CC46" i="8" s="1"/>
  <c r="AN46" i="8"/>
  <c r="AO46" i="8"/>
  <c r="AP46" i="8"/>
  <c r="AQ46" i="8"/>
  <c r="AR46" i="8"/>
  <c r="AS46" i="8"/>
  <c r="AT46" i="8"/>
  <c r="AU46" i="8"/>
  <c r="BG46" i="8" s="1"/>
  <c r="BO46" i="8" s="1"/>
  <c r="AV46" i="8"/>
  <c r="AW46" i="8"/>
  <c r="AX46" i="8"/>
  <c r="AY46" i="8"/>
  <c r="AZ46" i="8"/>
  <c r="BA46" i="8"/>
  <c r="AD47" i="8"/>
  <c r="AE47" i="8"/>
  <c r="AF47" i="8"/>
  <c r="H47" i="8"/>
  <c r="AG47" i="8"/>
  <c r="AH47" i="8"/>
  <c r="AI47" i="8"/>
  <c r="AJ47" i="8"/>
  <c r="AK47" i="8"/>
  <c r="AL47" i="8"/>
  <c r="AM47" i="8"/>
  <c r="AN47" i="8"/>
  <c r="AO47" i="8"/>
  <c r="AP47" i="8"/>
  <c r="AQ47" i="8"/>
  <c r="AR47" i="8"/>
  <c r="AS47" i="8"/>
  <c r="AT47" i="8"/>
  <c r="AU47" i="8"/>
  <c r="AV47" i="8"/>
  <c r="AW47" i="8"/>
  <c r="AX47" i="8"/>
  <c r="AY47" i="8"/>
  <c r="AZ47" i="8"/>
  <c r="BA47" i="8"/>
  <c r="AD48" i="8"/>
  <c r="BR48" i="8" s="1"/>
  <c r="BZ48" i="8" s="1"/>
  <c r="AE48" i="8"/>
  <c r="AF48" i="8"/>
  <c r="H48" i="8"/>
  <c r="AG48" i="8"/>
  <c r="AH48" i="8"/>
  <c r="AI48" i="8"/>
  <c r="AJ48" i="8"/>
  <c r="AK48" i="8"/>
  <c r="BT48" i="8" s="1"/>
  <c r="CB48" i="8" s="1"/>
  <c r="AL48" i="8"/>
  <c r="AM48" i="8"/>
  <c r="AN48" i="8"/>
  <c r="AO48" i="8"/>
  <c r="AP48" i="8"/>
  <c r="AQ48" i="8"/>
  <c r="AR48" i="8"/>
  <c r="AS48" i="8"/>
  <c r="BW48" i="8" s="1"/>
  <c r="CE48" i="8" s="1"/>
  <c r="AT48" i="8"/>
  <c r="AU48" i="8"/>
  <c r="AV48" i="8"/>
  <c r="AW48" i="8"/>
  <c r="AX48" i="8"/>
  <c r="AY48" i="8"/>
  <c r="AZ48" i="8"/>
  <c r="BA48" i="8"/>
  <c r="AD49" i="8"/>
  <c r="AE49" i="8"/>
  <c r="AF49" i="8"/>
  <c r="H49" i="8"/>
  <c r="AG49" i="8"/>
  <c r="AH49" i="8"/>
  <c r="AI49" i="8"/>
  <c r="AJ49" i="8"/>
  <c r="AK49" i="8"/>
  <c r="AL49" i="8"/>
  <c r="AM49" i="8"/>
  <c r="AN49" i="8"/>
  <c r="AO49" i="8"/>
  <c r="AP49" i="8"/>
  <c r="AQ49" i="8"/>
  <c r="AR49" i="8"/>
  <c r="BV49" i="8" s="1"/>
  <c r="CD49" i="8" s="1"/>
  <c r="AS49" i="8"/>
  <c r="AT49" i="8"/>
  <c r="AU49" i="8"/>
  <c r="AV49" i="8"/>
  <c r="BX49" i="8" s="1"/>
  <c r="CF49" i="8" s="1"/>
  <c r="AW49" i="8"/>
  <c r="AX49" i="8"/>
  <c r="AY49" i="8"/>
  <c r="AZ49" i="8"/>
  <c r="BA49" i="8"/>
  <c r="AD50" i="8"/>
  <c r="AE50" i="8"/>
  <c r="AF50" i="8"/>
  <c r="BR50" i="8" s="1"/>
  <c r="BZ50" i="8" s="1"/>
  <c r="H50" i="8"/>
  <c r="AG50" i="8"/>
  <c r="AH50" i="8"/>
  <c r="AI50" i="8"/>
  <c r="AJ50" i="8"/>
  <c r="AK50" i="8"/>
  <c r="AL50" i="8"/>
  <c r="AM50" i="8"/>
  <c r="AN50" i="8"/>
  <c r="AO50" i="8"/>
  <c r="AP50" i="8"/>
  <c r="AQ50" i="8"/>
  <c r="AR50" i="8"/>
  <c r="AS50" i="8"/>
  <c r="AT50" i="8"/>
  <c r="AU50" i="8"/>
  <c r="BW50" i="8" s="1"/>
  <c r="CE50" i="8" s="1"/>
  <c r="AV50" i="8"/>
  <c r="AW50" i="8"/>
  <c r="AX50" i="8"/>
  <c r="AY50" i="8"/>
  <c r="BY50" i="8" s="1"/>
  <c r="CG50" i="8" s="1"/>
  <c r="AZ50" i="8"/>
  <c r="BA50" i="8"/>
  <c r="AD51" i="8"/>
  <c r="AE51" i="8"/>
  <c r="AF51" i="8"/>
  <c r="H51" i="8"/>
  <c r="AG51" i="8"/>
  <c r="AH51" i="8"/>
  <c r="AI51" i="8"/>
  <c r="AJ51" i="8"/>
  <c r="AK51" i="8"/>
  <c r="AL51" i="8"/>
  <c r="AM51" i="8"/>
  <c r="AN51" i="8"/>
  <c r="AO51" i="8"/>
  <c r="AP51" i="8"/>
  <c r="BV51" i="8" s="1"/>
  <c r="CD51" i="8" s="1"/>
  <c r="AQ51" i="8"/>
  <c r="AR51" i="8"/>
  <c r="AS51" i="8"/>
  <c r="AT51" i="8"/>
  <c r="AU51" i="8"/>
  <c r="AV51" i="8"/>
  <c r="AW51" i="8"/>
  <c r="AX51" i="8"/>
  <c r="BX51" i="8" s="1"/>
  <c r="CF51" i="8" s="1"/>
  <c r="AY51" i="8"/>
  <c r="AZ51" i="8"/>
  <c r="BA51" i="8"/>
  <c r="AD52" i="8"/>
  <c r="AE52" i="8"/>
  <c r="AF52" i="8"/>
  <c r="H52" i="8"/>
  <c r="AG52" i="8"/>
  <c r="BS52" i="8" s="1"/>
  <c r="CA52" i="8" s="1"/>
  <c r="AH52" i="8"/>
  <c r="AI52" i="8"/>
  <c r="AJ52" i="8"/>
  <c r="AK52" i="8"/>
  <c r="AL52" i="8"/>
  <c r="AM52" i="8"/>
  <c r="AN52" i="8"/>
  <c r="AO52" i="8"/>
  <c r="BU52" i="8" s="1"/>
  <c r="CC52" i="8" s="1"/>
  <c r="AP52" i="8"/>
  <c r="AQ52" i="8"/>
  <c r="AR52" i="8"/>
  <c r="AS52" i="8"/>
  <c r="BW52" i="8" s="1"/>
  <c r="CE52" i="8" s="1"/>
  <c r="AT52" i="8"/>
  <c r="AU52" i="8"/>
  <c r="AV52" i="8"/>
  <c r="AW52" i="8"/>
  <c r="AX52" i="8"/>
  <c r="AY52" i="8"/>
  <c r="AZ52" i="8"/>
  <c r="BA52" i="8"/>
  <c r="AD53" i="8"/>
  <c r="AE53" i="8"/>
  <c r="AF53" i="8"/>
  <c r="H53" i="8"/>
  <c r="BO53" i="8" s="1"/>
  <c r="AG53" i="8"/>
  <c r="AH53" i="8"/>
  <c r="AI53" i="8"/>
  <c r="AJ53" i="8"/>
  <c r="AK53" i="8"/>
  <c r="AL53" i="8"/>
  <c r="AM53" i="8"/>
  <c r="AN53" i="8"/>
  <c r="BU53" i="8" s="1"/>
  <c r="CC53" i="8" s="1"/>
  <c r="AO53" i="8"/>
  <c r="AP53" i="8"/>
  <c r="AQ53" i="8"/>
  <c r="AR53" i="8"/>
  <c r="BV53" i="8" s="1"/>
  <c r="CD53" i="8" s="1"/>
  <c r="AS53" i="8"/>
  <c r="AT53" i="8"/>
  <c r="AU53" i="8"/>
  <c r="AV53" i="8"/>
  <c r="BX53" i="8" s="1"/>
  <c r="CF53" i="8" s="1"/>
  <c r="AW53" i="8"/>
  <c r="AX53" i="8"/>
  <c r="AY53" i="8"/>
  <c r="AZ53" i="8"/>
  <c r="BA53" i="8"/>
  <c r="AD54" i="8"/>
  <c r="AE54" i="8"/>
  <c r="AF54" i="8"/>
  <c r="BR54" i="8" s="1"/>
  <c r="BZ54" i="8" s="1"/>
  <c r="H54" i="8"/>
  <c r="AG54" i="8"/>
  <c r="AH54" i="8"/>
  <c r="AI54" i="8"/>
  <c r="AJ54" i="8"/>
  <c r="AK54" i="8"/>
  <c r="AL54" i="8"/>
  <c r="AM54" i="8"/>
  <c r="BE54" i="8" s="1"/>
  <c r="BM54" i="8" s="1"/>
  <c r="AN54" i="8"/>
  <c r="AO54" i="8"/>
  <c r="AP54" i="8"/>
  <c r="AQ54" i="8"/>
  <c r="AR54" i="8"/>
  <c r="AS54" i="8"/>
  <c r="AT54" i="8"/>
  <c r="AU54" i="8"/>
  <c r="BW54" i="8" s="1"/>
  <c r="CE54" i="8" s="1"/>
  <c r="AV54" i="8"/>
  <c r="AW54" i="8"/>
  <c r="AX54" i="8"/>
  <c r="AY54" i="8"/>
  <c r="AZ54" i="8"/>
  <c r="BA54" i="8"/>
  <c r="AD55" i="8"/>
  <c r="AE55" i="8"/>
  <c r="AF55" i="8"/>
  <c r="H55" i="8"/>
  <c r="AG55" i="8"/>
  <c r="AH55" i="8"/>
  <c r="AI55" i="8"/>
  <c r="AJ55" i="8"/>
  <c r="AK55" i="8"/>
  <c r="AL55" i="8"/>
  <c r="AM55" i="8"/>
  <c r="AN55" i="8"/>
  <c r="AO55" i="8"/>
  <c r="AP55" i="8"/>
  <c r="AQ55" i="8"/>
  <c r="AR55" i="8"/>
  <c r="AS55" i="8"/>
  <c r="AT55" i="8"/>
  <c r="AU55" i="8"/>
  <c r="AV55" i="8"/>
  <c r="AW55" i="8"/>
  <c r="AX55" i="8"/>
  <c r="BX55" i="8" s="1"/>
  <c r="CF55" i="8" s="1"/>
  <c r="AY55" i="8"/>
  <c r="AZ55" i="8"/>
  <c r="BA55" i="8"/>
  <c r="AD56" i="8"/>
  <c r="AE56" i="8"/>
  <c r="AF56" i="8"/>
  <c r="H56" i="8"/>
  <c r="AG56" i="8"/>
  <c r="BS56" i="8" s="1"/>
  <c r="CA56" i="8" s="1"/>
  <c r="AH56" i="8"/>
  <c r="AI56" i="8"/>
  <c r="AJ56" i="8"/>
  <c r="AK56" i="8"/>
  <c r="BT56" i="8" s="1"/>
  <c r="CB56" i="8" s="1"/>
  <c r="AL56" i="8"/>
  <c r="AM56" i="8"/>
  <c r="AN56" i="8"/>
  <c r="AO56" i="8"/>
  <c r="BU56" i="8" s="1"/>
  <c r="CC56" i="8" s="1"/>
  <c r="AP56" i="8"/>
  <c r="AQ56" i="8"/>
  <c r="AR56" i="8"/>
  <c r="AS56" i="8"/>
  <c r="AT56" i="8"/>
  <c r="AU56" i="8"/>
  <c r="AV56" i="8"/>
  <c r="AW56" i="8"/>
  <c r="AX56" i="8"/>
  <c r="AY56" i="8"/>
  <c r="AZ56" i="8"/>
  <c r="BA56" i="8"/>
  <c r="BY56" i="8" s="1"/>
  <c r="CG56" i="8" s="1"/>
  <c r="AD57" i="8"/>
  <c r="AE57" i="8"/>
  <c r="AF57" i="8"/>
  <c r="H57" i="8"/>
  <c r="AG57" i="8"/>
  <c r="AH57" i="8"/>
  <c r="AI57" i="8"/>
  <c r="AJ57" i="8"/>
  <c r="BT57" i="8" s="1"/>
  <c r="CB57" i="8" s="1"/>
  <c r="AK57" i="8"/>
  <c r="AL57" i="8"/>
  <c r="AM57" i="8"/>
  <c r="AN57" i="8"/>
  <c r="BU57" i="8" s="1"/>
  <c r="CC57" i="8" s="1"/>
  <c r="AO57" i="8"/>
  <c r="AP57" i="8"/>
  <c r="AQ57" i="8"/>
  <c r="AR57" i="8"/>
  <c r="BV57" i="8" s="1"/>
  <c r="CD57" i="8" s="1"/>
  <c r="AS57" i="8"/>
  <c r="AT57" i="8"/>
  <c r="AU57" i="8"/>
  <c r="AV57" i="8"/>
  <c r="BX57" i="8" s="1"/>
  <c r="CF57" i="8" s="1"/>
  <c r="AW57" i="8"/>
  <c r="AX57" i="8"/>
  <c r="AY57" i="8"/>
  <c r="AZ57" i="8"/>
  <c r="BA57" i="8"/>
  <c r="AD58" i="8"/>
  <c r="AE58" i="8"/>
  <c r="AF58" i="8"/>
  <c r="BR58" i="8" s="1"/>
  <c r="BZ58" i="8" s="1"/>
  <c r="H58" i="8"/>
  <c r="AG58" i="8"/>
  <c r="AH58" i="8"/>
  <c r="AI58" i="8"/>
  <c r="BC58" i="8" s="1"/>
  <c r="BK58" i="8" s="1"/>
  <c r="AJ58" i="8"/>
  <c r="AK58" i="8"/>
  <c r="AL58" i="8"/>
  <c r="AM58" i="8"/>
  <c r="BE58" i="8" s="1"/>
  <c r="BM58" i="8" s="1"/>
  <c r="AN58" i="8"/>
  <c r="AO58" i="8"/>
  <c r="AP58" i="8"/>
  <c r="AQ58" i="8"/>
  <c r="BV58" i="8" s="1"/>
  <c r="CD58" i="8" s="1"/>
  <c r="AR58" i="8"/>
  <c r="AS58" i="8"/>
  <c r="AT58" i="8"/>
  <c r="AU58" i="8"/>
  <c r="AV58" i="8"/>
  <c r="AW58" i="8"/>
  <c r="AX58" i="8"/>
  <c r="AY58" i="8"/>
  <c r="BI58" i="8" s="1"/>
  <c r="BQ58" i="8" s="1"/>
  <c r="AZ58" i="8"/>
  <c r="BA58" i="8"/>
  <c r="AD59" i="8"/>
  <c r="AE59" i="8"/>
  <c r="BR59" i="8" s="1"/>
  <c r="BZ59" i="8" s="1"/>
  <c r="AF59" i="8"/>
  <c r="H59" i="8"/>
  <c r="AG59" i="8"/>
  <c r="AH59" i="8"/>
  <c r="AI59" i="8"/>
  <c r="AJ59" i="8"/>
  <c r="AK59" i="8"/>
  <c r="AL59" i="8"/>
  <c r="AM59" i="8"/>
  <c r="AN59" i="8"/>
  <c r="AO59" i="8"/>
  <c r="AP59" i="8"/>
  <c r="BF59" i="8" s="1"/>
  <c r="BN59" i="8" s="1"/>
  <c r="AQ59" i="8"/>
  <c r="AR59" i="8"/>
  <c r="AS59" i="8"/>
  <c r="AT59" i="8"/>
  <c r="AU59" i="8"/>
  <c r="AV59" i="8"/>
  <c r="AW59" i="8"/>
  <c r="AX59" i="8"/>
  <c r="AY59" i="8"/>
  <c r="AZ59" i="8"/>
  <c r="BA59" i="8"/>
  <c r="AD60" i="8"/>
  <c r="BB60" i="8" s="1"/>
  <c r="BJ60" i="8" s="1"/>
  <c r="AE60" i="8"/>
  <c r="AF60" i="8"/>
  <c r="H60" i="8"/>
  <c r="AG60" i="8"/>
  <c r="AH60" i="8"/>
  <c r="AI60" i="8"/>
  <c r="AJ60" i="8"/>
  <c r="AK60" i="8"/>
  <c r="BT60" i="8" s="1"/>
  <c r="CB60" i="8" s="1"/>
  <c r="AL60" i="8"/>
  <c r="AM60" i="8"/>
  <c r="AN60" i="8"/>
  <c r="AO60" i="8"/>
  <c r="BU60" i="8" s="1"/>
  <c r="CC60" i="8" s="1"/>
  <c r="AP60" i="8"/>
  <c r="AQ60" i="8"/>
  <c r="AR60" i="8"/>
  <c r="AS60" i="8"/>
  <c r="AT60" i="8"/>
  <c r="AU60" i="8"/>
  <c r="AV60" i="8"/>
  <c r="AW60" i="8"/>
  <c r="BH60" i="8" s="1"/>
  <c r="BP60" i="8" s="1"/>
  <c r="AX60" i="8"/>
  <c r="AY60" i="8"/>
  <c r="AZ60" i="8"/>
  <c r="BA60" i="8"/>
  <c r="AD61" i="8"/>
  <c r="AE61" i="8"/>
  <c r="AF61" i="8"/>
  <c r="H61" i="8"/>
  <c r="AG61" i="8"/>
  <c r="AH61" i="8"/>
  <c r="AI61" i="8"/>
  <c r="AJ61" i="8"/>
  <c r="BT61" i="8" s="1"/>
  <c r="CB61" i="8" s="1"/>
  <c r="AK61" i="8"/>
  <c r="AL61" i="8"/>
  <c r="AM61" i="8"/>
  <c r="AN61" i="8"/>
  <c r="BU61" i="8" s="1"/>
  <c r="CC61" i="8" s="1"/>
  <c r="AO61" i="8"/>
  <c r="AP61" i="8"/>
  <c r="AQ61" i="8"/>
  <c r="AR61" i="8"/>
  <c r="BF61" i="8" s="1"/>
  <c r="BN61" i="8" s="1"/>
  <c r="AS61" i="8"/>
  <c r="AT61" i="8"/>
  <c r="AU61" i="8"/>
  <c r="AV61" i="8"/>
  <c r="BY61" i="8" s="1"/>
  <c r="CG61" i="8" s="1"/>
  <c r="AW61" i="8"/>
  <c r="AX61" i="8"/>
  <c r="AY61" i="8"/>
  <c r="AZ61" i="8"/>
  <c r="BI61" i="8" s="1"/>
  <c r="BQ61" i="8" s="1"/>
  <c r="BA61" i="8"/>
  <c r="AD62" i="8"/>
  <c r="AE62" i="8"/>
  <c r="AF62" i="8"/>
  <c r="BB62" i="8" s="1"/>
  <c r="BJ62" i="8" s="1"/>
  <c r="H62" i="8"/>
  <c r="AG62" i="8"/>
  <c r="AH62" i="8"/>
  <c r="AI62" i="8"/>
  <c r="BC62" i="8" s="1"/>
  <c r="BK62" i="8" s="1"/>
  <c r="AJ62" i="8"/>
  <c r="AK62" i="8"/>
  <c r="AL62" i="8"/>
  <c r="AM62" i="8"/>
  <c r="BU62" i="8" s="1"/>
  <c r="CC62" i="8" s="1"/>
  <c r="AN62" i="8"/>
  <c r="AO62" i="8"/>
  <c r="AP62" i="8"/>
  <c r="AQ62" i="8"/>
  <c r="BV62" i="8" s="1"/>
  <c r="CD62" i="8" s="1"/>
  <c r="AR62" i="8"/>
  <c r="AS62" i="8"/>
  <c r="AT62" i="8"/>
  <c r="AU62" i="8"/>
  <c r="AV62" i="8"/>
  <c r="AW62" i="8"/>
  <c r="AX62" i="8"/>
  <c r="AY62" i="8"/>
  <c r="BI62" i="8" s="1"/>
  <c r="BQ62" i="8" s="1"/>
  <c r="AZ62" i="8"/>
  <c r="BA62" i="8"/>
  <c r="AD63" i="8"/>
  <c r="AE63" i="8"/>
  <c r="AF63" i="8"/>
  <c r="H63" i="8"/>
  <c r="AG63" i="8"/>
  <c r="AH63" i="8"/>
  <c r="BS63" i="8" s="1"/>
  <c r="CA63" i="8" s="1"/>
  <c r="AI63" i="8"/>
  <c r="AJ63" i="8"/>
  <c r="AK63" i="8"/>
  <c r="AL63" i="8"/>
  <c r="AM63" i="8"/>
  <c r="AN63" i="8"/>
  <c r="AO63" i="8"/>
  <c r="AP63" i="8"/>
  <c r="AQ63" i="8"/>
  <c r="AR63" i="8"/>
  <c r="AS63" i="8"/>
  <c r="AT63" i="8"/>
  <c r="AU63" i="8"/>
  <c r="AV63" i="8"/>
  <c r="AW63" i="8"/>
  <c r="AX63" i="8"/>
  <c r="BH63" i="8" s="1"/>
  <c r="BP63" i="8" s="1"/>
  <c r="AY63" i="8"/>
  <c r="AZ63" i="8"/>
  <c r="BA63" i="8"/>
  <c r="AD64" i="8"/>
  <c r="BR64" i="8" s="1"/>
  <c r="BZ64" i="8" s="1"/>
  <c r="AE64" i="8"/>
  <c r="AF64" i="8"/>
  <c r="H64" i="8"/>
  <c r="AG64" i="8"/>
  <c r="BS64" i="8" s="1"/>
  <c r="CA64" i="8" s="1"/>
  <c r="AH64" i="8"/>
  <c r="AI64" i="8"/>
  <c r="AJ64" i="8"/>
  <c r="AK64" i="8"/>
  <c r="AL64" i="8"/>
  <c r="AM64" i="8"/>
  <c r="AN64" i="8"/>
  <c r="AO64" i="8"/>
  <c r="AP64" i="8"/>
  <c r="AQ64" i="8"/>
  <c r="AR64" i="8"/>
  <c r="AS64" i="8"/>
  <c r="AT64" i="8"/>
  <c r="AU64" i="8"/>
  <c r="AV64" i="8"/>
  <c r="AW64" i="8"/>
  <c r="AX64" i="8"/>
  <c r="AY64" i="8"/>
  <c r="AZ64" i="8"/>
  <c r="BA64" i="8"/>
  <c r="AD65" i="8"/>
  <c r="AE65" i="8"/>
  <c r="AF65" i="8"/>
  <c r="H65" i="8"/>
  <c r="AG65" i="8"/>
  <c r="AH65" i="8"/>
  <c r="AI65" i="8"/>
  <c r="AJ65" i="8"/>
  <c r="BT65" i="8" s="1"/>
  <c r="CB65" i="8" s="1"/>
  <c r="AK65" i="8"/>
  <c r="AL65" i="8"/>
  <c r="AM65" i="8"/>
  <c r="AN65" i="8"/>
  <c r="AO65" i="8"/>
  <c r="AP65" i="8"/>
  <c r="AQ65" i="8"/>
  <c r="AR65" i="8"/>
  <c r="BV65" i="8" s="1"/>
  <c r="CD65" i="8" s="1"/>
  <c r="AS65" i="8"/>
  <c r="AT65" i="8"/>
  <c r="AU65" i="8"/>
  <c r="AV65" i="8"/>
  <c r="AW65" i="8"/>
  <c r="AX65" i="8"/>
  <c r="AY65" i="8"/>
  <c r="AZ65" i="8"/>
  <c r="BI65" i="8" s="1"/>
  <c r="BQ65" i="8" s="1"/>
  <c r="BA65" i="8"/>
  <c r="AD66" i="8"/>
  <c r="AE66" i="8"/>
  <c r="AF66" i="8"/>
  <c r="BR66" i="8" s="1"/>
  <c r="BZ66" i="8" s="1"/>
  <c r="H66" i="8"/>
  <c r="AG66" i="8"/>
  <c r="AH66" i="8"/>
  <c r="AI66" i="8"/>
  <c r="BS66" i="8" s="1"/>
  <c r="CA66" i="8" s="1"/>
  <c r="AJ66" i="8"/>
  <c r="AK66" i="8"/>
  <c r="AL66" i="8"/>
  <c r="AM66" i="8"/>
  <c r="AN66" i="8"/>
  <c r="AO66" i="8"/>
  <c r="AP66" i="8"/>
  <c r="AQ66" i="8"/>
  <c r="BV66" i="8" s="1"/>
  <c r="CD66" i="8" s="1"/>
  <c r="AR66" i="8"/>
  <c r="AS66" i="8"/>
  <c r="AT66" i="8"/>
  <c r="AU66" i="8"/>
  <c r="AV66" i="8"/>
  <c r="AW66" i="8"/>
  <c r="AX66" i="8"/>
  <c r="AY66" i="8"/>
  <c r="BI66" i="8" s="1"/>
  <c r="BQ66" i="8" s="1"/>
  <c r="AZ66" i="8"/>
  <c r="BA66" i="8"/>
  <c r="AD67" i="8"/>
  <c r="AE67" i="8"/>
  <c r="BR67" i="8" s="1"/>
  <c r="BZ67" i="8" s="1"/>
  <c r="AF67" i="8"/>
  <c r="H67" i="8"/>
  <c r="AG67" i="8"/>
  <c r="AH67" i="8"/>
  <c r="AI67" i="8"/>
  <c r="AJ67" i="8"/>
  <c r="AK67" i="8"/>
  <c r="AL67" i="8"/>
  <c r="BT67" i="8" s="1"/>
  <c r="CB67" i="8" s="1"/>
  <c r="AM67" i="8"/>
  <c r="AN67" i="8"/>
  <c r="AO67" i="8"/>
  <c r="AP67" i="8"/>
  <c r="AQ67" i="8"/>
  <c r="AR67" i="8"/>
  <c r="AS67" i="8"/>
  <c r="AT67" i="8"/>
  <c r="AU67" i="8"/>
  <c r="AV67" i="8"/>
  <c r="AW67" i="8"/>
  <c r="AX67" i="8"/>
  <c r="BH67" i="8" s="1"/>
  <c r="BP67" i="8" s="1"/>
  <c r="AY67" i="8"/>
  <c r="AZ67" i="8"/>
  <c r="BA67" i="8"/>
  <c r="AD68" i="8"/>
  <c r="BR68" i="8" s="1"/>
  <c r="BZ68" i="8" s="1"/>
  <c r="AE68" i="8"/>
  <c r="AF68" i="8"/>
  <c r="H68" i="8"/>
  <c r="AG68" i="8"/>
  <c r="BS68" i="8" s="1"/>
  <c r="CA68" i="8" s="1"/>
  <c r="AH68" i="8"/>
  <c r="AI68" i="8"/>
  <c r="AJ68" i="8"/>
  <c r="AK68" i="8"/>
  <c r="BT68" i="8" s="1"/>
  <c r="CB68" i="8" s="1"/>
  <c r="AL68" i="8"/>
  <c r="AM68" i="8"/>
  <c r="AN68" i="8"/>
  <c r="AO68" i="8"/>
  <c r="BE68" i="8" s="1"/>
  <c r="BM68" i="8" s="1"/>
  <c r="AP68" i="8"/>
  <c r="AQ68" i="8"/>
  <c r="AR68" i="8"/>
  <c r="AS68" i="8"/>
  <c r="AT68" i="8"/>
  <c r="AU68" i="8"/>
  <c r="AV68" i="8"/>
  <c r="AW68" i="8"/>
  <c r="BY68" i="8" s="1"/>
  <c r="CG68" i="8" s="1"/>
  <c r="AX68" i="8"/>
  <c r="AY68" i="8"/>
  <c r="AZ68" i="8"/>
  <c r="BA68" i="8"/>
  <c r="BI68" i="8" s="1"/>
  <c r="BQ68" i="8" s="1"/>
  <c r="AD69" i="8"/>
  <c r="AE69" i="8"/>
  <c r="AF69" i="8"/>
  <c r="BR69" i="8" s="1"/>
  <c r="H69" i="8"/>
  <c r="AG69" i="8"/>
  <c r="AH69" i="8"/>
  <c r="AI69" i="8"/>
  <c r="BS69" i="8" s="1"/>
  <c r="CA69" i="8" s="1"/>
  <c r="AJ69" i="8"/>
  <c r="BT69" i="8" s="1"/>
  <c r="CB69" i="8" s="1"/>
  <c r="AK69" i="8"/>
  <c r="AL69" i="8"/>
  <c r="AM69" i="8"/>
  <c r="AN69" i="8"/>
  <c r="AO69" i="8"/>
  <c r="AP69" i="8"/>
  <c r="AQ69" i="8"/>
  <c r="AR69" i="8"/>
  <c r="BV69" i="8" s="1"/>
  <c r="CD69" i="8" s="1"/>
  <c r="AS69" i="8"/>
  <c r="AT69" i="8"/>
  <c r="AU69" i="8"/>
  <c r="AV69" i="8"/>
  <c r="BY69" i="8" s="1"/>
  <c r="CG69" i="8" s="1"/>
  <c r="AW69" i="8"/>
  <c r="AX69" i="8"/>
  <c r="AY69" i="8"/>
  <c r="AZ69" i="8"/>
  <c r="BA69" i="8"/>
  <c r="AD70" i="8"/>
  <c r="AE70" i="8"/>
  <c r="AF70" i="8"/>
  <c r="BB70" i="8" s="1"/>
  <c r="BJ70" i="8" s="1"/>
  <c r="H70" i="8"/>
  <c r="AG70" i="8"/>
  <c r="AH70" i="8"/>
  <c r="AI70" i="8"/>
  <c r="BS70" i="8" s="1"/>
  <c r="CA70" i="8" s="1"/>
  <c r="AJ70" i="8"/>
  <c r="AK70" i="8"/>
  <c r="AL70" i="8"/>
  <c r="AM70" i="8"/>
  <c r="BU70" i="8" s="1"/>
  <c r="CC70" i="8" s="1"/>
  <c r="AN70" i="8"/>
  <c r="AO70" i="8"/>
  <c r="AP70" i="8"/>
  <c r="AQ70" i="8"/>
  <c r="BV70" i="8" s="1"/>
  <c r="CD70" i="8" s="1"/>
  <c r="AR70" i="8"/>
  <c r="AS70" i="8"/>
  <c r="AT70" i="8"/>
  <c r="AU70" i="8"/>
  <c r="AV70" i="8"/>
  <c r="AW70" i="8"/>
  <c r="AX70" i="8"/>
  <c r="AY70" i="8"/>
  <c r="BI70" i="8" s="1"/>
  <c r="BQ70" i="8" s="1"/>
  <c r="AZ70" i="8"/>
  <c r="BA70" i="8"/>
  <c r="AD71" i="8"/>
  <c r="AE71" i="8"/>
  <c r="BR71" i="8" s="1"/>
  <c r="BZ71" i="8" s="1"/>
  <c r="AF71" i="8"/>
  <c r="H71" i="8"/>
  <c r="AG71" i="8"/>
  <c r="AH71" i="8"/>
  <c r="AI71" i="8"/>
  <c r="AJ71" i="8"/>
  <c r="AK71" i="8"/>
  <c r="AL71" i="8"/>
  <c r="BD71" i="8" s="1"/>
  <c r="BL71" i="8" s="1"/>
  <c r="AM71" i="8"/>
  <c r="AN71" i="8"/>
  <c r="AO71" i="8"/>
  <c r="AP71" i="8"/>
  <c r="BV71" i="8" s="1"/>
  <c r="CD71" i="8" s="1"/>
  <c r="AQ71" i="8"/>
  <c r="AR71" i="8"/>
  <c r="AS71" i="8"/>
  <c r="AT71" i="8"/>
  <c r="BG71" i="8" s="1"/>
  <c r="BO71" i="8" s="1"/>
  <c r="AU71" i="8"/>
  <c r="AV71" i="8"/>
  <c r="AW71" i="8"/>
  <c r="AX71" i="8"/>
  <c r="AY71" i="8"/>
  <c r="AZ71" i="8"/>
  <c r="BA71" i="8"/>
  <c r="AD72" i="8"/>
  <c r="AE72" i="8"/>
  <c r="AF72" i="8"/>
  <c r="H72" i="8"/>
  <c r="AG72" i="8"/>
  <c r="AH72" i="8"/>
  <c r="AI72" i="8"/>
  <c r="AJ72" i="8"/>
  <c r="AK72" i="8"/>
  <c r="BT72" i="8" s="1"/>
  <c r="CB72" i="8" s="1"/>
  <c r="AL72" i="8"/>
  <c r="AM72" i="8"/>
  <c r="AN72" i="8"/>
  <c r="AO72" i="8"/>
  <c r="AP72" i="8"/>
  <c r="AQ72" i="8"/>
  <c r="AR72" i="8"/>
  <c r="AS72" i="8"/>
  <c r="AT72" i="8"/>
  <c r="AU72" i="8"/>
  <c r="AV72" i="8"/>
  <c r="AW72" i="8"/>
  <c r="AX72" i="8"/>
  <c r="AY72" i="8"/>
  <c r="AZ72" i="8"/>
  <c r="BA72" i="8"/>
  <c r="BI72" i="8" s="1"/>
  <c r="BQ72" i="8" s="1"/>
  <c r="AD73" i="8"/>
  <c r="AE73" i="8"/>
  <c r="AF73" i="8"/>
  <c r="H73" i="8"/>
  <c r="AG73" i="8"/>
  <c r="AH73" i="8"/>
  <c r="AI73" i="8"/>
  <c r="AJ73" i="8"/>
  <c r="AK73" i="8"/>
  <c r="AL73" i="8"/>
  <c r="AM73" i="8"/>
  <c r="AN73" i="8"/>
  <c r="AO73" i="8"/>
  <c r="AP73" i="8"/>
  <c r="AQ73" i="8"/>
  <c r="AR73" i="8"/>
  <c r="AS73" i="8"/>
  <c r="AT73" i="8"/>
  <c r="AU73" i="8"/>
  <c r="AV73" i="8"/>
  <c r="AW73" i="8"/>
  <c r="AX73" i="8"/>
  <c r="AY73" i="8"/>
  <c r="AZ73" i="8"/>
  <c r="BA73" i="8"/>
  <c r="AD74" i="8"/>
  <c r="AE74" i="8"/>
  <c r="AF74" i="8"/>
  <c r="BB74" i="8" s="1"/>
  <c r="BJ74" i="8" s="1"/>
  <c r="H74" i="8"/>
  <c r="AG74" i="8"/>
  <c r="AH74" i="8"/>
  <c r="AI74" i="8"/>
  <c r="BS74" i="8" s="1"/>
  <c r="CA74" i="8" s="1"/>
  <c r="AJ74" i="8"/>
  <c r="AK74" i="8"/>
  <c r="AL74" i="8"/>
  <c r="AM74" i="8"/>
  <c r="BU74" i="8" s="1"/>
  <c r="CC74" i="8" s="1"/>
  <c r="AN74" i="8"/>
  <c r="AO74" i="8"/>
  <c r="AP74" i="8"/>
  <c r="AQ74" i="8"/>
  <c r="BV74" i="8" s="1"/>
  <c r="CD74" i="8" s="1"/>
  <c r="AR74" i="8"/>
  <c r="AS74" i="8"/>
  <c r="AT74" i="8"/>
  <c r="AU74" i="8"/>
  <c r="AV74" i="8"/>
  <c r="AW74" i="8"/>
  <c r="AX74" i="8"/>
  <c r="AY74" i="8"/>
  <c r="BI74" i="8" s="1"/>
  <c r="BQ74" i="8" s="1"/>
  <c r="AZ74" i="8"/>
  <c r="BA74" i="8"/>
  <c r="AD75" i="8"/>
  <c r="AE75" i="8"/>
  <c r="BR75" i="8" s="1"/>
  <c r="BZ75" i="8" s="1"/>
  <c r="AF75" i="8"/>
  <c r="H75" i="8"/>
  <c r="AG75" i="8"/>
  <c r="AH75" i="8"/>
  <c r="AI75" i="8"/>
  <c r="AJ75" i="8"/>
  <c r="AK75" i="8"/>
  <c r="AL75" i="8"/>
  <c r="BT75" i="8" s="1"/>
  <c r="CB75" i="8" s="1"/>
  <c r="AM75" i="8"/>
  <c r="AN75" i="8"/>
  <c r="AO75" i="8"/>
  <c r="AP75" i="8"/>
  <c r="BV75" i="8" s="1"/>
  <c r="CD75" i="8" s="1"/>
  <c r="AQ75" i="8"/>
  <c r="AR75" i="8"/>
  <c r="AS75" i="8"/>
  <c r="AT75" i="8"/>
  <c r="BG75" i="8" s="1"/>
  <c r="BO75" i="8" s="1"/>
  <c r="AU75" i="8"/>
  <c r="AV75" i="8"/>
  <c r="AW75" i="8"/>
  <c r="AX75" i="8"/>
  <c r="AY75" i="8"/>
  <c r="AZ75" i="8"/>
  <c r="BA75" i="8"/>
  <c r="AD76" i="8"/>
  <c r="AE76" i="8"/>
  <c r="AF76" i="8"/>
  <c r="H76" i="8"/>
  <c r="AG76" i="8"/>
  <c r="AH76" i="8"/>
  <c r="AI76" i="8"/>
  <c r="AJ76" i="8"/>
  <c r="AK76" i="8"/>
  <c r="BT76" i="8" s="1"/>
  <c r="CB76" i="8" s="1"/>
  <c r="AL76" i="8"/>
  <c r="AM76" i="8"/>
  <c r="AN76" i="8"/>
  <c r="AO76" i="8"/>
  <c r="AP76" i="8"/>
  <c r="AQ76" i="8"/>
  <c r="AR76" i="8"/>
  <c r="AS76" i="8"/>
  <c r="AT76" i="8"/>
  <c r="AU76" i="8"/>
  <c r="AV76" i="8"/>
  <c r="AW76" i="8"/>
  <c r="AX76" i="8"/>
  <c r="AY76" i="8"/>
  <c r="AZ76" i="8"/>
  <c r="BA76" i="8"/>
  <c r="BI76" i="8" s="1"/>
  <c r="BQ76" i="8" s="1"/>
  <c r="AD77" i="8"/>
  <c r="AE77" i="8"/>
  <c r="AF77" i="8"/>
  <c r="H77" i="8"/>
  <c r="AG77" i="8"/>
  <c r="AH77" i="8"/>
  <c r="AI77" i="8"/>
  <c r="AJ77" i="8"/>
  <c r="BT77" i="8" s="1"/>
  <c r="CB77" i="8" s="1"/>
  <c r="AK77" i="8"/>
  <c r="AL77" i="8"/>
  <c r="AM77" i="8"/>
  <c r="AN77" i="8"/>
  <c r="AO77" i="8"/>
  <c r="AP77" i="8"/>
  <c r="AQ77" i="8"/>
  <c r="AR77" i="8"/>
  <c r="AS77" i="8"/>
  <c r="AT77" i="8"/>
  <c r="AU77" i="8"/>
  <c r="AV77" i="8"/>
  <c r="AW77" i="8"/>
  <c r="AX77" i="8"/>
  <c r="AY77" i="8"/>
  <c r="AZ77" i="8"/>
  <c r="BA77" i="8"/>
  <c r="AD78" i="8"/>
  <c r="AE78" i="8"/>
  <c r="AF78" i="8"/>
  <c r="H78" i="8"/>
  <c r="AG78" i="8"/>
  <c r="AH78" i="8"/>
  <c r="AI78" i="8"/>
  <c r="BS78" i="8" s="1"/>
  <c r="CA78" i="8" s="1"/>
  <c r="AJ78" i="8"/>
  <c r="AK78" i="8"/>
  <c r="AL78" i="8"/>
  <c r="AM78" i="8"/>
  <c r="BU78" i="8" s="1"/>
  <c r="CC78" i="8" s="1"/>
  <c r="AN78" i="8"/>
  <c r="AO78" i="8"/>
  <c r="AP78" i="8"/>
  <c r="AQ78" i="8"/>
  <c r="BV78" i="8" s="1"/>
  <c r="CD78" i="8" s="1"/>
  <c r="AR78" i="8"/>
  <c r="AS78" i="8"/>
  <c r="AT78" i="8"/>
  <c r="AU78" i="8"/>
  <c r="AV78" i="8"/>
  <c r="AW78" i="8"/>
  <c r="AX78" i="8"/>
  <c r="AY78" i="8"/>
  <c r="BI78" i="8" s="1"/>
  <c r="BQ78" i="8" s="1"/>
  <c r="AZ78" i="8"/>
  <c r="BA78" i="8"/>
  <c r="AD79" i="8"/>
  <c r="AE79" i="8"/>
  <c r="BR79" i="8" s="1"/>
  <c r="BZ79" i="8" s="1"/>
  <c r="AF79" i="8"/>
  <c r="H79" i="8"/>
  <c r="AG79" i="8"/>
  <c r="AH79" i="8"/>
  <c r="AI79" i="8"/>
  <c r="AJ79" i="8"/>
  <c r="AK79" i="8"/>
  <c r="AL79" i="8"/>
  <c r="BD79" i="8" s="1"/>
  <c r="BL79" i="8" s="1"/>
  <c r="AM79" i="8"/>
  <c r="AN79" i="8"/>
  <c r="AO79" i="8"/>
  <c r="AP79" i="8"/>
  <c r="AQ79" i="8"/>
  <c r="AR79" i="8"/>
  <c r="AS79" i="8"/>
  <c r="AT79" i="8"/>
  <c r="AU79" i="8"/>
  <c r="AV79" i="8"/>
  <c r="AW79" i="8"/>
  <c r="AX79" i="8"/>
  <c r="AY79" i="8"/>
  <c r="AZ79" i="8"/>
  <c r="BA79" i="8"/>
  <c r="AD80" i="8"/>
  <c r="AE80" i="8"/>
  <c r="AF80" i="8"/>
  <c r="H80" i="8"/>
  <c r="AG80" i="8"/>
  <c r="AH80" i="8"/>
  <c r="AI80" i="8"/>
  <c r="AJ80" i="8"/>
  <c r="AK80" i="8"/>
  <c r="BT80" i="8" s="1"/>
  <c r="CB80" i="8" s="1"/>
  <c r="AL80" i="8"/>
  <c r="AM80" i="8"/>
  <c r="AN80" i="8"/>
  <c r="AO80" i="8"/>
  <c r="AP80" i="8"/>
  <c r="AQ80" i="8"/>
  <c r="AR80" i="8"/>
  <c r="AS80" i="8"/>
  <c r="AT80" i="8"/>
  <c r="AU80" i="8"/>
  <c r="AV80" i="8"/>
  <c r="AW80" i="8"/>
  <c r="BH80" i="8" s="1"/>
  <c r="BP80" i="8" s="1"/>
  <c r="AX80" i="8"/>
  <c r="AY80" i="8"/>
  <c r="AZ80" i="8"/>
  <c r="BA80" i="8"/>
  <c r="BI80" i="8" s="1"/>
  <c r="BQ80" i="8" s="1"/>
  <c r="AD81" i="8"/>
  <c r="AE81" i="8"/>
  <c r="AF81" i="8"/>
  <c r="H81" i="8"/>
  <c r="AG81" i="8"/>
  <c r="AH81" i="8"/>
  <c r="AI81" i="8"/>
  <c r="AJ81" i="8"/>
  <c r="BT81" i="8" s="1"/>
  <c r="CB81" i="8" s="1"/>
  <c r="AK81" i="8"/>
  <c r="AL81" i="8"/>
  <c r="AM81" i="8"/>
  <c r="AN81" i="8"/>
  <c r="AO81" i="8"/>
  <c r="AP81" i="8"/>
  <c r="AQ81" i="8"/>
  <c r="AR81" i="8"/>
  <c r="AS81" i="8"/>
  <c r="AT81" i="8"/>
  <c r="AU81" i="8"/>
  <c r="AV81" i="8"/>
  <c r="BY81" i="8" s="1"/>
  <c r="CG81" i="8" s="1"/>
  <c r="AW81" i="8"/>
  <c r="AX81" i="8"/>
  <c r="AY81" i="8"/>
  <c r="AZ81" i="8"/>
  <c r="BA81" i="8"/>
  <c r="AD82" i="8"/>
  <c r="AE82" i="8"/>
  <c r="AF82" i="8"/>
  <c r="H82" i="8"/>
  <c r="AG82" i="8"/>
  <c r="AH82" i="8"/>
  <c r="AI82" i="8"/>
  <c r="AJ82" i="8"/>
  <c r="AK82" i="8"/>
  <c r="AL82" i="8"/>
  <c r="AM82" i="8"/>
  <c r="AN82" i="8"/>
  <c r="AO82" i="8"/>
  <c r="AP82" i="8"/>
  <c r="AQ82" i="8"/>
  <c r="BV82" i="8" s="1"/>
  <c r="CD82" i="8" s="1"/>
  <c r="AR82" i="8"/>
  <c r="AS82" i="8"/>
  <c r="AT82" i="8"/>
  <c r="AU82" i="8"/>
  <c r="AV82" i="8"/>
  <c r="AW82" i="8"/>
  <c r="AX82" i="8"/>
  <c r="AY82" i="8"/>
  <c r="BI82" i="8" s="1"/>
  <c r="BQ82" i="8" s="1"/>
  <c r="AZ82" i="8"/>
  <c r="BA82" i="8"/>
  <c r="AD83" i="8"/>
  <c r="AE83" i="8"/>
  <c r="BR83" i="8" s="1"/>
  <c r="BZ83" i="8" s="1"/>
  <c r="AF83" i="8"/>
  <c r="H83" i="8"/>
  <c r="AG83" i="8"/>
  <c r="AH83" i="8"/>
  <c r="BS83" i="8" s="1"/>
  <c r="CA83" i="8" s="1"/>
  <c r="AI83" i="8"/>
  <c r="AJ83" i="8"/>
  <c r="AK83" i="8"/>
  <c r="AL83" i="8"/>
  <c r="AM83" i="8"/>
  <c r="AN83" i="8"/>
  <c r="AO83" i="8"/>
  <c r="AP83" i="8"/>
  <c r="BV83" i="8" s="1"/>
  <c r="CD83" i="8" s="1"/>
  <c r="AQ83" i="8"/>
  <c r="AR83" i="8"/>
  <c r="AS83" i="8"/>
  <c r="AT83" i="8"/>
  <c r="BG83" i="8" s="1"/>
  <c r="BO83" i="8" s="1"/>
  <c r="AU83" i="8"/>
  <c r="AV83" i="8"/>
  <c r="AW83" i="8"/>
  <c r="AX83" i="8"/>
  <c r="AY83" i="8"/>
  <c r="AZ83" i="8"/>
  <c r="BA83" i="8"/>
  <c r="AD84" i="8"/>
  <c r="AE84" i="8"/>
  <c r="AF84" i="8"/>
  <c r="H84" i="8"/>
  <c r="AG84" i="8"/>
  <c r="AH84" i="8"/>
  <c r="AI84" i="8"/>
  <c r="AJ84" i="8"/>
  <c r="AK84" i="8"/>
  <c r="BT84" i="8" s="1"/>
  <c r="CB84" i="8" s="1"/>
  <c r="AL84" i="8"/>
  <c r="AM84" i="8"/>
  <c r="AN84" i="8"/>
  <c r="AO84" i="8"/>
  <c r="BE84" i="8" s="1"/>
  <c r="BM84" i="8" s="1"/>
  <c r="AP84" i="8"/>
  <c r="AQ84" i="8"/>
  <c r="AR84" i="8"/>
  <c r="AS84" i="8"/>
  <c r="BG84" i="8" s="1"/>
  <c r="BO84" i="8" s="1"/>
  <c r="AT84" i="8"/>
  <c r="AU84" i="8"/>
  <c r="AV84" i="8"/>
  <c r="AW84" i="8"/>
  <c r="BH84" i="8" s="1"/>
  <c r="BP84" i="8" s="1"/>
  <c r="AX84" i="8"/>
  <c r="AY84" i="8"/>
  <c r="AZ84" i="8"/>
  <c r="BA84" i="8"/>
  <c r="BI84" i="8" s="1"/>
  <c r="BQ84" i="8" s="1"/>
  <c r="AD85" i="8"/>
  <c r="AE85" i="8"/>
  <c r="AF85" i="8"/>
  <c r="H85" i="8"/>
  <c r="AG85" i="8"/>
  <c r="AH85" i="8"/>
  <c r="AI85" i="8"/>
  <c r="AJ85" i="8"/>
  <c r="AK85" i="8"/>
  <c r="AL85" i="8"/>
  <c r="AM85" i="8"/>
  <c r="AN85" i="8"/>
  <c r="AO85" i="8"/>
  <c r="AP85" i="8"/>
  <c r="AQ85" i="8"/>
  <c r="AR85" i="8"/>
  <c r="AS85" i="8"/>
  <c r="AT85" i="8"/>
  <c r="AU85" i="8"/>
  <c r="AV85" i="8"/>
  <c r="AW85" i="8"/>
  <c r="AX85" i="8"/>
  <c r="AY85" i="8"/>
  <c r="AZ85" i="8"/>
  <c r="BA85" i="8"/>
  <c r="AD86" i="8"/>
  <c r="AE86" i="8"/>
  <c r="AF86" i="8"/>
  <c r="H86" i="8"/>
  <c r="AG86" i="8"/>
  <c r="AH86" i="8"/>
  <c r="AI86" i="8"/>
  <c r="BS86" i="8" s="1"/>
  <c r="CA86" i="8" s="1"/>
  <c r="AJ86" i="8"/>
  <c r="AK86" i="8"/>
  <c r="AL86" i="8"/>
  <c r="AM86" i="8"/>
  <c r="AN86" i="8"/>
  <c r="AO86" i="8"/>
  <c r="AP86" i="8"/>
  <c r="AQ86" i="8"/>
  <c r="BV86" i="8" s="1"/>
  <c r="CD86" i="8" s="1"/>
  <c r="AR86" i="8"/>
  <c r="AS86" i="8"/>
  <c r="AT86" i="8"/>
  <c r="AU86" i="8"/>
  <c r="AV86" i="8"/>
  <c r="AW86" i="8"/>
  <c r="AX86" i="8"/>
  <c r="AY86" i="8"/>
  <c r="BI86" i="8" s="1"/>
  <c r="BQ86" i="8" s="1"/>
  <c r="AZ86" i="8"/>
  <c r="BA86" i="8"/>
  <c r="AD87" i="8"/>
  <c r="AE87" i="8"/>
  <c r="BR87" i="8" s="1"/>
  <c r="BZ87" i="8" s="1"/>
  <c r="AF87" i="8"/>
  <c r="H87" i="8"/>
  <c r="AG87" i="8"/>
  <c r="AH87" i="8"/>
  <c r="AI87" i="8"/>
  <c r="AJ87" i="8"/>
  <c r="AK87" i="8"/>
  <c r="AL87" i="8"/>
  <c r="BT87" i="8" s="1"/>
  <c r="CB87" i="8" s="1"/>
  <c r="AM87" i="8"/>
  <c r="AN87" i="8"/>
  <c r="AO87" i="8"/>
  <c r="AP87" i="8"/>
  <c r="BF87" i="8" s="1"/>
  <c r="BN87" i="8" s="1"/>
  <c r="AQ87" i="8"/>
  <c r="AR87" i="8"/>
  <c r="AS87" i="8"/>
  <c r="AT87" i="8"/>
  <c r="AU87" i="8"/>
  <c r="AV87" i="8"/>
  <c r="AW87" i="8"/>
  <c r="AX87" i="8"/>
  <c r="BH87" i="8" s="1"/>
  <c r="BP87" i="8" s="1"/>
  <c r="AY87" i="8"/>
  <c r="AZ87" i="8"/>
  <c r="BA87" i="8"/>
  <c r="AD88" i="8"/>
  <c r="AE88" i="8"/>
  <c r="AF88" i="8"/>
  <c r="H88" i="8"/>
  <c r="AG88" i="8"/>
  <c r="AH88" i="8"/>
  <c r="AI88" i="8"/>
  <c r="AJ88" i="8"/>
  <c r="AK88" i="8"/>
  <c r="BT88" i="8" s="1"/>
  <c r="CB88" i="8" s="1"/>
  <c r="AL88" i="8"/>
  <c r="AM88" i="8"/>
  <c r="AN88" i="8"/>
  <c r="AO88" i="8"/>
  <c r="AP88" i="8"/>
  <c r="AQ88" i="8"/>
  <c r="AR88" i="8"/>
  <c r="AS88" i="8"/>
  <c r="AT88" i="8"/>
  <c r="AU88" i="8"/>
  <c r="AV88" i="8"/>
  <c r="AW88" i="8"/>
  <c r="BY88" i="8" s="1"/>
  <c r="CG88" i="8" s="1"/>
  <c r="AX88" i="8"/>
  <c r="AY88" i="8"/>
  <c r="AZ88" i="8"/>
  <c r="BA88" i="8"/>
  <c r="BI88" i="8" s="1"/>
  <c r="BQ88" i="8" s="1"/>
  <c r="AD89" i="8"/>
  <c r="AE89" i="8"/>
  <c r="AF89" i="8"/>
  <c r="H89" i="8"/>
  <c r="AG89" i="8"/>
  <c r="AH89" i="8"/>
  <c r="AI89" i="8"/>
  <c r="AJ89" i="8"/>
  <c r="AK89" i="8"/>
  <c r="AL89" i="8"/>
  <c r="AM89" i="8"/>
  <c r="AN89" i="8"/>
  <c r="AO89" i="8"/>
  <c r="AP89" i="8"/>
  <c r="AQ89" i="8"/>
  <c r="AR89" i="8"/>
  <c r="BV89" i="8" s="1"/>
  <c r="CD89" i="8" s="1"/>
  <c r="AS89" i="8"/>
  <c r="AT89" i="8"/>
  <c r="AU89" i="8"/>
  <c r="AV89" i="8"/>
  <c r="AW89" i="8"/>
  <c r="AX89" i="8"/>
  <c r="AY89" i="8"/>
  <c r="AZ89" i="8"/>
  <c r="BA89" i="8"/>
  <c r="AD90" i="8"/>
  <c r="AE90" i="8"/>
  <c r="AF90" i="8"/>
  <c r="H90" i="8"/>
  <c r="AG90" i="8"/>
  <c r="AH90" i="8"/>
  <c r="AI90" i="8"/>
  <c r="BS90" i="8" s="1"/>
  <c r="CA90" i="8" s="1"/>
  <c r="AJ90" i="8"/>
  <c r="AK90" i="8"/>
  <c r="AL90" i="8"/>
  <c r="AM90" i="8"/>
  <c r="BU90" i="8" s="1"/>
  <c r="CC90" i="8" s="1"/>
  <c r="AN90" i="8"/>
  <c r="AO90" i="8"/>
  <c r="AP90" i="8"/>
  <c r="AQ90" i="8"/>
  <c r="BV90" i="8" s="1"/>
  <c r="CD90" i="8" s="1"/>
  <c r="AR90" i="8"/>
  <c r="AS90" i="8"/>
  <c r="AT90" i="8"/>
  <c r="AU90" i="8"/>
  <c r="AV90" i="8"/>
  <c r="AW90" i="8"/>
  <c r="AX90" i="8"/>
  <c r="AY90" i="8"/>
  <c r="BI90" i="8" s="1"/>
  <c r="BQ90" i="8" s="1"/>
  <c r="AZ90" i="8"/>
  <c r="BA90" i="8"/>
  <c r="AD91" i="8"/>
  <c r="AE91" i="8"/>
  <c r="BR91" i="8" s="1"/>
  <c r="BZ91" i="8" s="1"/>
  <c r="AF91" i="8"/>
  <c r="H91" i="8"/>
  <c r="AG91" i="8"/>
  <c r="AH91" i="8"/>
  <c r="AI91" i="8"/>
  <c r="AJ91" i="8"/>
  <c r="AK91" i="8"/>
  <c r="AL91" i="8"/>
  <c r="BT91" i="8" s="1"/>
  <c r="CB91" i="8" s="1"/>
  <c r="AM91" i="8"/>
  <c r="AN91" i="8"/>
  <c r="AO91" i="8"/>
  <c r="AP91" i="8"/>
  <c r="BV91" i="8" s="1"/>
  <c r="CD91" i="8" s="1"/>
  <c r="AQ91" i="8"/>
  <c r="AR91" i="8"/>
  <c r="AS91" i="8"/>
  <c r="AT91" i="8"/>
  <c r="AU91" i="8"/>
  <c r="AV91" i="8"/>
  <c r="AW91" i="8"/>
  <c r="AX91" i="8"/>
  <c r="BH91" i="8" s="1"/>
  <c r="BP91" i="8" s="1"/>
  <c r="AY91" i="8"/>
  <c r="AZ91" i="8"/>
  <c r="BA91" i="8"/>
  <c r="AD92" i="8"/>
  <c r="AE92" i="8"/>
  <c r="AF92" i="8"/>
  <c r="H92" i="8"/>
  <c r="AG92" i="8"/>
  <c r="AH92" i="8"/>
  <c r="AI92" i="8"/>
  <c r="AJ92" i="8"/>
  <c r="AK92" i="8"/>
  <c r="BT92" i="8" s="1"/>
  <c r="CB92" i="8" s="1"/>
  <c r="AL92" i="8"/>
  <c r="AM92" i="8"/>
  <c r="AN92" i="8"/>
  <c r="AO92" i="8"/>
  <c r="AP92" i="8"/>
  <c r="AQ92" i="8"/>
  <c r="AR92" i="8"/>
  <c r="AS92" i="8"/>
  <c r="AT92" i="8"/>
  <c r="AU92" i="8"/>
  <c r="AV92" i="8"/>
  <c r="AW92" i="8"/>
  <c r="AX92" i="8"/>
  <c r="AY92" i="8"/>
  <c r="AZ92" i="8"/>
  <c r="BA92" i="8"/>
  <c r="BI92" i="8" s="1"/>
  <c r="BQ92" i="8" s="1"/>
  <c r="AD93" i="8"/>
  <c r="AE93" i="8"/>
  <c r="AF93" i="8"/>
  <c r="H93" i="8"/>
  <c r="AG93" i="8"/>
  <c r="AH93" i="8"/>
  <c r="AI93" i="8"/>
  <c r="AJ93" i="8"/>
  <c r="BT93" i="8" s="1"/>
  <c r="CB93" i="8" s="1"/>
  <c r="AK93" i="8"/>
  <c r="AL93" i="8"/>
  <c r="AM93" i="8"/>
  <c r="AN93" i="8"/>
  <c r="AO93" i="8"/>
  <c r="AP93" i="8"/>
  <c r="AQ93" i="8"/>
  <c r="AR93" i="8"/>
  <c r="AS93" i="8"/>
  <c r="AT93" i="8"/>
  <c r="AU93" i="8"/>
  <c r="AV93" i="8"/>
  <c r="BY93" i="8" s="1"/>
  <c r="CG93" i="8" s="1"/>
  <c r="AW93" i="8"/>
  <c r="AX93" i="8"/>
  <c r="AY93" i="8"/>
  <c r="AZ93" i="8"/>
  <c r="BI93" i="8" s="1"/>
  <c r="BQ93" i="8" s="1"/>
  <c r="BA93" i="8"/>
  <c r="AD94" i="8"/>
  <c r="AE94" i="8"/>
  <c r="AF94" i="8"/>
  <c r="H94" i="8"/>
  <c r="AG94" i="8"/>
  <c r="AH94" i="8"/>
  <c r="AI94" i="8"/>
  <c r="BS94" i="8" s="1"/>
  <c r="CA94" i="8" s="1"/>
  <c r="AJ94" i="8"/>
  <c r="AK94" i="8"/>
  <c r="AL94" i="8"/>
  <c r="AM94" i="8"/>
  <c r="AN94" i="8"/>
  <c r="AO94" i="8"/>
  <c r="AP94" i="8"/>
  <c r="AQ94" i="8"/>
  <c r="BV94" i="8" s="1"/>
  <c r="CD94" i="8" s="1"/>
  <c r="AR94" i="8"/>
  <c r="AS94" i="8"/>
  <c r="AT94" i="8"/>
  <c r="AU94" i="8"/>
  <c r="AV94" i="8"/>
  <c r="AW94" i="8"/>
  <c r="AX94" i="8"/>
  <c r="AY94" i="8"/>
  <c r="BI94" i="8" s="1"/>
  <c r="BQ94" i="8" s="1"/>
  <c r="AZ94" i="8"/>
  <c r="BA94" i="8"/>
  <c r="AD95" i="8"/>
  <c r="AE95" i="8"/>
  <c r="BR95" i="8" s="1"/>
  <c r="BZ95" i="8" s="1"/>
  <c r="AF95" i="8"/>
  <c r="H95" i="8"/>
  <c r="AG95" i="8"/>
  <c r="AH95" i="8"/>
  <c r="AI95" i="8"/>
  <c r="AJ95" i="8"/>
  <c r="AK95" i="8"/>
  <c r="AL95" i="8"/>
  <c r="BT95" i="8" s="1"/>
  <c r="CB95" i="8" s="1"/>
  <c r="AM95" i="8"/>
  <c r="AN95" i="8"/>
  <c r="AO95" i="8"/>
  <c r="AP95" i="8"/>
  <c r="AQ95" i="8"/>
  <c r="AR95" i="8"/>
  <c r="AS95" i="8"/>
  <c r="AT95" i="8"/>
  <c r="BG95" i="8" s="1"/>
  <c r="BO95" i="8" s="1"/>
  <c r="AU95" i="8"/>
  <c r="AV95" i="8"/>
  <c r="AW95" i="8"/>
  <c r="AX95" i="8"/>
  <c r="BH95" i="8" s="1"/>
  <c r="BP95" i="8" s="1"/>
  <c r="AY95" i="8"/>
  <c r="AZ95" i="8"/>
  <c r="BA95" i="8"/>
  <c r="AD96" i="8"/>
  <c r="BR96" i="8" s="1"/>
  <c r="BZ96" i="8" s="1"/>
  <c r="AE96" i="8"/>
  <c r="AF96" i="8"/>
  <c r="H96" i="8"/>
  <c r="AG96" i="8"/>
  <c r="BS96" i="8" s="1"/>
  <c r="CA96" i="8" s="1"/>
  <c r="AH96" i="8"/>
  <c r="AI96" i="8"/>
  <c r="AJ96" i="8"/>
  <c r="AK96" i="8"/>
  <c r="BT96" i="8" s="1"/>
  <c r="CB96" i="8" s="1"/>
  <c r="AL96" i="8"/>
  <c r="AM96" i="8"/>
  <c r="AN96" i="8"/>
  <c r="AO96" i="8"/>
  <c r="AP96" i="8"/>
  <c r="AQ96" i="8"/>
  <c r="AR96" i="8"/>
  <c r="AS96" i="8"/>
  <c r="AT96" i="8"/>
  <c r="AU96" i="8"/>
  <c r="AV96" i="8"/>
  <c r="AW96" i="8"/>
  <c r="BY96" i="8" s="1"/>
  <c r="CG96" i="8" s="1"/>
  <c r="AX96" i="8"/>
  <c r="AY96" i="8"/>
  <c r="AZ96" i="8"/>
  <c r="BA96" i="8"/>
  <c r="BI96" i="8" s="1"/>
  <c r="BQ96" i="8" s="1"/>
  <c r="AD97" i="8"/>
  <c r="AE97" i="8"/>
  <c r="AF97" i="8"/>
  <c r="H97" i="8"/>
  <c r="AG97" i="8"/>
  <c r="AH97" i="8"/>
  <c r="AI97" i="8"/>
  <c r="AJ97" i="8"/>
  <c r="BT97" i="8" s="1"/>
  <c r="CB97" i="8" s="1"/>
  <c r="AK97" i="8"/>
  <c r="AL97" i="8"/>
  <c r="AM97" i="8"/>
  <c r="AN97" i="8"/>
  <c r="AO97" i="8"/>
  <c r="AP97" i="8"/>
  <c r="AQ97" i="8"/>
  <c r="AR97" i="8"/>
  <c r="AS97" i="8"/>
  <c r="AT97" i="8"/>
  <c r="AU97" i="8"/>
  <c r="BG97" i="8"/>
  <c r="BO97" i="8" s="1"/>
  <c r="AV97" i="8"/>
  <c r="AW97" i="8"/>
  <c r="AX97" i="8"/>
  <c r="AY97" i="8"/>
  <c r="BI97" i="8" s="1"/>
  <c r="BQ97" i="8" s="1"/>
  <c r="AZ97" i="8"/>
  <c r="BA97" i="8"/>
  <c r="AD98" i="8"/>
  <c r="AE98" i="8"/>
  <c r="AF98" i="8"/>
  <c r="H98" i="8"/>
  <c r="AG98" i="8"/>
  <c r="AH98" i="8"/>
  <c r="BS98" i="8" s="1"/>
  <c r="CA98" i="8" s="1"/>
  <c r="AI98" i="8"/>
  <c r="AJ98" i="8"/>
  <c r="AK98" i="8"/>
  <c r="AL98" i="8"/>
  <c r="AM98" i="8"/>
  <c r="AN98" i="8"/>
  <c r="AO98" i="8"/>
  <c r="AP98" i="8"/>
  <c r="AQ98" i="8"/>
  <c r="AR98" i="8"/>
  <c r="AS98" i="8"/>
  <c r="AT98" i="8"/>
  <c r="AU98" i="8"/>
  <c r="AV98" i="8"/>
  <c r="AW98" i="8"/>
  <c r="AX98" i="8"/>
  <c r="BH98" i="8" s="1"/>
  <c r="BP98" i="8" s="1"/>
  <c r="AY98" i="8"/>
  <c r="AZ98" i="8"/>
  <c r="BA98" i="8"/>
  <c r="AD99" i="8"/>
  <c r="AE99" i="8"/>
  <c r="AF99" i="8"/>
  <c r="H99" i="8"/>
  <c r="AG99" i="8"/>
  <c r="AH99" i="8"/>
  <c r="AI99" i="8"/>
  <c r="AJ99" i="8"/>
  <c r="AK99" i="8"/>
  <c r="AL99" i="8"/>
  <c r="AM99" i="8"/>
  <c r="AN99" i="8"/>
  <c r="AO99" i="8"/>
  <c r="AP99" i="8"/>
  <c r="AQ99" i="8"/>
  <c r="AR99" i="8"/>
  <c r="AS99" i="8"/>
  <c r="AT99" i="8"/>
  <c r="AU99" i="8"/>
  <c r="AV99" i="8"/>
  <c r="AW99" i="8"/>
  <c r="BY99" i="8" s="1"/>
  <c r="CG99" i="8" s="1"/>
  <c r="AX99" i="8"/>
  <c r="AY99" i="8"/>
  <c r="AZ99" i="8"/>
  <c r="BA99" i="8"/>
  <c r="BI99" i="8" s="1"/>
  <c r="BQ99" i="8" s="1"/>
  <c r="AD100" i="8"/>
  <c r="AE100" i="8"/>
  <c r="AF100" i="8"/>
  <c r="H100" i="8"/>
  <c r="AG100" i="8"/>
  <c r="AH100" i="8"/>
  <c r="AI100" i="8"/>
  <c r="AJ100" i="8"/>
  <c r="BT100" i="8" s="1"/>
  <c r="CB100" i="8" s="1"/>
  <c r="AK100" i="8"/>
  <c r="AL100" i="8"/>
  <c r="AM100" i="8"/>
  <c r="AN100" i="8"/>
  <c r="BU100" i="8" s="1"/>
  <c r="CC100" i="8" s="1"/>
  <c r="AO100" i="8"/>
  <c r="AP100" i="8"/>
  <c r="AQ100" i="8"/>
  <c r="AR100" i="8"/>
  <c r="AS100" i="8"/>
  <c r="AT100" i="8"/>
  <c r="AU100" i="8"/>
  <c r="AV100" i="8"/>
  <c r="BY100" i="8" s="1"/>
  <c r="CG100" i="8" s="1"/>
  <c r="AW100" i="8"/>
  <c r="AX100" i="8"/>
  <c r="AY100" i="8"/>
  <c r="AZ100" i="8"/>
  <c r="BI100" i="8" s="1"/>
  <c r="BQ100" i="8" s="1"/>
  <c r="BA100" i="8"/>
  <c r="AD101" i="8"/>
  <c r="AE101" i="8"/>
  <c r="AF101" i="8"/>
  <c r="BB101" i="8" s="1"/>
  <c r="BJ101" i="8" s="1"/>
  <c r="H101" i="8"/>
  <c r="AG101" i="8"/>
  <c r="AH101" i="8"/>
  <c r="AI101" i="8"/>
  <c r="BS101" i="8" s="1"/>
  <c r="CA101" i="8" s="1"/>
  <c r="AJ101" i="8"/>
  <c r="AK101" i="8"/>
  <c r="AL101" i="8"/>
  <c r="AM101" i="8"/>
  <c r="BU101" i="8" s="1"/>
  <c r="CC101" i="8" s="1"/>
  <c r="AN101" i="8"/>
  <c r="AO101" i="8"/>
  <c r="AP101" i="8"/>
  <c r="AQ101" i="8"/>
  <c r="BV101" i="8" s="1"/>
  <c r="CD101" i="8" s="1"/>
  <c r="AR101" i="8"/>
  <c r="AS101" i="8"/>
  <c r="AT101" i="8"/>
  <c r="AU101" i="8"/>
  <c r="AV101" i="8"/>
  <c r="AW101" i="8"/>
  <c r="AX101" i="8"/>
  <c r="AY101" i="8"/>
  <c r="BI101" i="8" s="1"/>
  <c r="BQ101" i="8" s="1"/>
  <c r="AZ101" i="8"/>
  <c r="BA101" i="8"/>
  <c r="AD102" i="8"/>
  <c r="AE102" i="8"/>
  <c r="BR102" i="8" s="1"/>
  <c r="BZ102" i="8" s="1"/>
  <c r="AF102" i="8"/>
  <c r="H102" i="8"/>
  <c r="AG102" i="8"/>
  <c r="AH102" i="8"/>
  <c r="BS102" i="8" s="1"/>
  <c r="CA102" i="8" s="1"/>
  <c r="AI102" i="8"/>
  <c r="AJ102" i="8"/>
  <c r="AK102" i="8"/>
  <c r="AL102" i="8"/>
  <c r="BT102" i="8" s="1"/>
  <c r="CB102" i="8" s="1"/>
  <c r="AM102" i="8"/>
  <c r="AN102" i="8"/>
  <c r="AO102" i="8"/>
  <c r="AP102" i="8"/>
  <c r="AQ102" i="8"/>
  <c r="AR102" i="8"/>
  <c r="AS102" i="8"/>
  <c r="AT102" i="8"/>
  <c r="AU102" i="8"/>
  <c r="AV102" i="8"/>
  <c r="AW102" i="8"/>
  <c r="AX102" i="8"/>
  <c r="BH102" i="8" s="1"/>
  <c r="BP102" i="8" s="1"/>
  <c r="AY102" i="8"/>
  <c r="AZ102" i="8"/>
  <c r="BA102" i="8"/>
  <c r="AD103" i="8"/>
  <c r="BR103" i="8" s="1"/>
  <c r="BZ103" i="8" s="1"/>
  <c r="AE103" i="8"/>
  <c r="AF103" i="8"/>
  <c r="H103" i="8"/>
  <c r="AG103" i="8"/>
  <c r="BS103" i="8" s="1"/>
  <c r="CA103" i="8" s="1"/>
  <c r="AH103" i="8"/>
  <c r="AI103" i="8"/>
  <c r="AJ103" i="8"/>
  <c r="AK103" i="8"/>
  <c r="AL103" i="8"/>
  <c r="AM103" i="8"/>
  <c r="AN103" i="8"/>
  <c r="AO103" i="8"/>
  <c r="AP103" i="8"/>
  <c r="AQ103" i="8"/>
  <c r="AR103" i="8"/>
  <c r="AS103" i="8"/>
  <c r="AT103" i="8"/>
  <c r="AU103" i="8"/>
  <c r="AV103" i="8"/>
  <c r="AW103" i="8"/>
  <c r="BY103" i="8" s="1"/>
  <c r="CG103" i="8" s="1"/>
  <c r="AX103" i="8"/>
  <c r="AY103" i="8"/>
  <c r="AZ103" i="8"/>
  <c r="BA103" i="8"/>
  <c r="BI103" i="8" s="1"/>
  <c r="BQ103" i="8" s="1"/>
  <c r="AD104" i="8"/>
  <c r="AE104" i="8"/>
  <c r="AF104" i="8"/>
  <c r="H104" i="8"/>
  <c r="AG104" i="8"/>
  <c r="AH104" i="8"/>
  <c r="AI104" i="8"/>
  <c r="AJ104" i="8"/>
  <c r="BT104" i="8" s="1"/>
  <c r="CB104" i="8" s="1"/>
  <c r="AK104" i="8"/>
  <c r="AL104" i="8"/>
  <c r="AM104" i="8"/>
  <c r="AN104" i="8"/>
  <c r="BU104" i="8" s="1"/>
  <c r="CC104" i="8" s="1"/>
  <c r="AO104" i="8"/>
  <c r="AP104" i="8"/>
  <c r="AQ104" i="8"/>
  <c r="AR104" i="8"/>
  <c r="AS104" i="8"/>
  <c r="AT104" i="8"/>
  <c r="AU104" i="8"/>
  <c r="BG104" i="8"/>
  <c r="BO104" i="8" s="1"/>
  <c r="AV104" i="8"/>
  <c r="AW104" i="8"/>
  <c r="AX104" i="8"/>
  <c r="AY104" i="8"/>
  <c r="BI104" i="8" s="1"/>
  <c r="BQ104" i="8" s="1"/>
  <c r="AZ104" i="8"/>
  <c r="BA104" i="8"/>
  <c r="AD105" i="8"/>
  <c r="AE105" i="8"/>
  <c r="AF105" i="8"/>
  <c r="H105" i="8"/>
  <c r="AG105" i="8"/>
  <c r="AH105" i="8"/>
  <c r="AI105" i="8"/>
  <c r="AJ105" i="8"/>
  <c r="AK105" i="8"/>
  <c r="AL105" i="8"/>
  <c r="BT105" i="8" s="1"/>
  <c r="CB105" i="8" s="1"/>
  <c r="AM105" i="8"/>
  <c r="AN105" i="8"/>
  <c r="AO105" i="8"/>
  <c r="AP105" i="8"/>
  <c r="AQ105" i="8"/>
  <c r="AR105" i="8"/>
  <c r="AS105" i="8"/>
  <c r="AT105" i="8"/>
  <c r="BG105" i="8" s="1"/>
  <c r="BO105" i="8" s="1"/>
  <c r="AU105" i="8"/>
  <c r="AV105" i="8"/>
  <c r="AW105" i="8"/>
  <c r="AX105" i="8"/>
  <c r="BH105" i="8" s="1"/>
  <c r="BP105" i="8" s="1"/>
  <c r="AY105" i="8"/>
  <c r="AZ105" i="8"/>
  <c r="BA105" i="8"/>
  <c r="AD106" i="8"/>
  <c r="AE106" i="8"/>
  <c r="AF106" i="8"/>
  <c r="H106" i="8"/>
  <c r="AG106" i="8"/>
  <c r="BS106" i="8" s="1"/>
  <c r="CA106" i="8" s="1"/>
  <c r="AH106" i="8"/>
  <c r="AI106" i="8"/>
  <c r="AJ106" i="8"/>
  <c r="AK106" i="8"/>
  <c r="AL106" i="8"/>
  <c r="AM106" i="8"/>
  <c r="AN106" i="8"/>
  <c r="AO106" i="8"/>
  <c r="AP106" i="8"/>
  <c r="AQ106" i="8"/>
  <c r="AR106" i="8"/>
  <c r="AS106" i="8"/>
  <c r="AT106" i="8"/>
  <c r="AU106" i="8"/>
  <c r="AV106" i="8"/>
  <c r="AW106" i="8"/>
  <c r="AX106" i="8"/>
  <c r="AY106" i="8"/>
  <c r="AZ106" i="8"/>
  <c r="BA106" i="8"/>
  <c r="AD107" i="8"/>
  <c r="AE107" i="8"/>
  <c r="AF107" i="8"/>
  <c r="H107" i="8"/>
  <c r="AG107" i="8"/>
  <c r="AH107" i="8"/>
  <c r="AI107" i="8"/>
  <c r="BC107" i="8"/>
  <c r="BK107" i="8" s="1"/>
  <c r="AJ107" i="8"/>
  <c r="AK107" i="8"/>
  <c r="AL107" i="8"/>
  <c r="AM107" i="8"/>
  <c r="AN107" i="8"/>
  <c r="AO107" i="8"/>
  <c r="AP107" i="8"/>
  <c r="AQ107" i="8"/>
  <c r="BV107" i="8" s="1"/>
  <c r="CD107" i="8" s="1"/>
  <c r="AR107" i="8"/>
  <c r="AS107" i="8"/>
  <c r="AT107" i="8"/>
  <c r="AU107" i="8"/>
  <c r="BX107" i="8" s="1"/>
  <c r="CF107" i="8" s="1"/>
  <c r="AV107" i="8"/>
  <c r="AW107" i="8"/>
  <c r="AX107" i="8"/>
  <c r="AY107" i="8"/>
  <c r="BI107" i="8" s="1"/>
  <c r="BQ107" i="8" s="1"/>
  <c r="AZ107" i="8"/>
  <c r="BA107" i="8"/>
  <c r="AD108" i="8"/>
  <c r="AE108" i="8"/>
  <c r="BR108" i="8" s="1"/>
  <c r="BZ108" i="8" s="1"/>
  <c r="AF108" i="8"/>
  <c r="H108" i="8"/>
  <c r="AG108" i="8"/>
  <c r="AH108" i="8"/>
  <c r="AI108" i="8"/>
  <c r="AJ108" i="8"/>
  <c r="AK108" i="8"/>
  <c r="AL108" i="8"/>
  <c r="BT108" i="8" s="1"/>
  <c r="CB108" i="8" s="1"/>
  <c r="AM108" i="8"/>
  <c r="AN108" i="8"/>
  <c r="AO108" i="8"/>
  <c r="AP108" i="8"/>
  <c r="AQ108" i="8"/>
  <c r="AR108" i="8"/>
  <c r="AS108" i="8"/>
  <c r="AT108" i="8"/>
  <c r="BW108" i="8" s="1"/>
  <c r="CE108" i="8" s="1"/>
  <c r="AU108" i="8"/>
  <c r="AV108" i="8"/>
  <c r="AW108" i="8"/>
  <c r="AX108" i="8"/>
  <c r="AY108" i="8"/>
  <c r="AZ108" i="8"/>
  <c r="BA108" i="8"/>
  <c r="AD109" i="8"/>
  <c r="AE109" i="8"/>
  <c r="AF109" i="8"/>
  <c r="H109" i="8"/>
  <c r="AG109" i="8"/>
  <c r="AH109" i="8"/>
  <c r="AI109" i="8"/>
  <c r="AJ109" i="8"/>
  <c r="AK109" i="8"/>
  <c r="BT109" i="8" s="1"/>
  <c r="CB109" i="8" s="1"/>
  <c r="AL109" i="8"/>
  <c r="AM109" i="8"/>
  <c r="AN109" i="8"/>
  <c r="AO109" i="8"/>
  <c r="BU109" i="8" s="1"/>
  <c r="CC109" i="8" s="1"/>
  <c r="AP109" i="8"/>
  <c r="AQ109" i="8"/>
  <c r="AR109" i="8"/>
  <c r="AS109" i="8"/>
  <c r="AT109" i="8"/>
  <c r="AU109" i="8"/>
  <c r="AV109" i="8"/>
  <c r="AW109" i="8"/>
  <c r="BY109" i="8" s="1"/>
  <c r="CG109" i="8" s="1"/>
  <c r="AX109" i="8"/>
  <c r="AY109" i="8"/>
  <c r="AZ109" i="8"/>
  <c r="BA109" i="8"/>
  <c r="BI109" i="8" s="1"/>
  <c r="BQ109" i="8" s="1"/>
  <c r="AD110" i="8"/>
  <c r="AE110" i="8"/>
  <c r="AF110" i="8"/>
  <c r="H110" i="8"/>
  <c r="AG110" i="8"/>
  <c r="AH110" i="8"/>
  <c r="AI110" i="8"/>
  <c r="AJ110" i="8"/>
  <c r="BT110" i="8" s="1"/>
  <c r="CB110" i="8" s="1"/>
  <c r="AK110" i="8"/>
  <c r="AL110" i="8"/>
  <c r="AM110" i="8"/>
  <c r="AN110" i="8"/>
  <c r="AO110" i="8"/>
  <c r="AP110" i="8"/>
  <c r="AQ110" i="8"/>
  <c r="AR110" i="8"/>
  <c r="BV110" i="8" s="1"/>
  <c r="CD110" i="8" s="1"/>
  <c r="AS110" i="8"/>
  <c r="AT110" i="8"/>
  <c r="AU110" i="8"/>
  <c r="AV110" i="8"/>
  <c r="AW110" i="8"/>
  <c r="AX110" i="8"/>
  <c r="AY110" i="8"/>
  <c r="AZ110" i="8"/>
  <c r="BA110" i="8"/>
  <c r="AD111" i="8"/>
  <c r="AE111" i="8"/>
  <c r="AF111" i="8"/>
  <c r="BR111" i="8" s="1"/>
  <c r="BZ111" i="8" s="1"/>
  <c r="H111" i="8"/>
  <c r="AG111" i="8"/>
  <c r="AH111" i="8"/>
  <c r="AI111" i="8"/>
  <c r="BS111" i="8" s="1"/>
  <c r="CA111" i="8" s="1"/>
  <c r="AJ111" i="8"/>
  <c r="AK111" i="8"/>
  <c r="AL111" i="8"/>
  <c r="AM111" i="8"/>
  <c r="AN111" i="8"/>
  <c r="AO111" i="8"/>
  <c r="AP111" i="8"/>
  <c r="AQ111" i="8"/>
  <c r="BV111" i="8" s="1"/>
  <c r="CD111" i="8" s="1"/>
  <c r="AR111" i="8"/>
  <c r="AS111" i="8"/>
  <c r="AT111" i="8"/>
  <c r="AU111" i="8"/>
  <c r="AV111" i="8"/>
  <c r="AW111" i="8"/>
  <c r="AX111" i="8"/>
  <c r="AY111" i="8"/>
  <c r="BI111" i="8" s="1"/>
  <c r="BQ111" i="8" s="1"/>
  <c r="AZ111" i="8"/>
  <c r="BA111" i="8"/>
  <c r="AD112" i="8"/>
  <c r="AE112" i="8"/>
  <c r="BR112" i="8" s="1"/>
  <c r="BZ112" i="8" s="1"/>
  <c r="AF112" i="8"/>
  <c r="H112" i="8"/>
  <c r="AG112" i="8"/>
  <c r="AH112" i="8"/>
  <c r="AI112" i="8"/>
  <c r="AJ112" i="8"/>
  <c r="AK112" i="8"/>
  <c r="AL112" i="8"/>
  <c r="BT112" i="8" s="1"/>
  <c r="CB112" i="8" s="1"/>
  <c r="AM112" i="8"/>
  <c r="AN112" i="8"/>
  <c r="AO112" i="8"/>
  <c r="AP112" i="8"/>
  <c r="AQ112" i="8"/>
  <c r="AR112" i="8"/>
  <c r="AS112" i="8"/>
  <c r="AT112" i="8"/>
  <c r="AU112" i="8"/>
  <c r="AV112" i="8"/>
  <c r="AW112" i="8"/>
  <c r="AX112" i="8"/>
  <c r="AY112" i="8"/>
  <c r="AZ112" i="8"/>
  <c r="BA112" i="8"/>
  <c r="AD113" i="8"/>
  <c r="AE113" i="8"/>
  <c r="AF113" i="8"/>
  <c r="H113" i="8"/>
  <c r="AG113" i="8"/>
  <c r="BS113" i="8" s="1"/>
  <c r="CA113" i="8" s="1"/>
  <c r="AH113" i="8"/>
  <c r="AI113" i="8"/>
  <c r="AJ113" i="8"/>
  <c r="AK113" i="8"/>
  <c r="BT113" i="8" s="1"/>
  <c r="CB113" i="8" s="1"/>
  <c r="AL113" i="8"/>
  <c r="AM113" i="8"/>
  <c r="AN113" i="8"/>
  <c r="AO113" i="8"/>
  <c r="BU113" i="8" s="1"/>
  <c r="CC113" i="8" s="1"/>
  <c r="AP113" i="8"/>
  <c r="AQ113" i="8"/>
  <c r="AR113" i="8"/>
  <c r="AS113" i="8"/>
  <c r="AT113" i="8"/>
  <c r="AU113" i="8"/>
  <c r="AV113" i="8"/>
  <c r="AW113" i="8"/>
  <c r="BY113" i="8" s="1"/>
  <c r="CG113" i="8" s="1"/>
  <c r="AX113" i="8"/>
  <c r="AY113" i="8"/>
  <c r="AZ113" i="8"/>
  <c r="BA113" i="8"/>
  <c r="BI113" i="8" s="1"/>
  <c r="BQ113" i="8" s="1"/>
  <c r="AD114" i="8"/>
  <c r="AE114" i="8"/>
  <c r="AF114" i="8"/>
  <c r="H114" i="8"/>
  <c r="AG114" i="8"/>
  <c r="AH114" i="8"/>
  <c r="AI114" i="8"/>
  <c r="AJ114" i="8"/>
  <c r="BT114" i="8" s="1"/>
  <c r="CB114" i="8" s="1"/>
  <c r="AK114" i="8"/>
  <c r="AL114" i="8"/>
  <c r="AM114" i="8"/>
  <c r="AN114" i="8"/>
  <c r="AO114" i="8"/>
  <c r="AP114" i="8"/>
  <c r="AQ114" i="8"/>
  <c r="AR114" i="8"/>
  <c r="BV114" i="8" s="1"/>
  <c r="CD114" i="8" s="1"/>
  <c r="AS114" i="8"/>
  <c r="AT114" i="8"/>
  <c r="AU114" i="8"/>
  <c r="AV114" i="8"/>
  <c r="BH114" i="8" s="1"/>
  <c r="BP114" i="8" s="1"/>
  <c r="AW114" i="8"/>
  <c r="AX114" i="8"/>
  <c r="AY114" i="8"/>
  <c r="AZ114" i="8"/>
  <c r="BA114" i="8"/>
  <c r="AD115" i="8"/>
  <c r="AE115" i="8"/>
  <c r="AF115" i="8"/>
  <c r="BR115" i="8" s="1"/>
  <c r="BZ115" i="8" s="1"/>
  <c r="H115" i="8"/>
  <c r="AG115" i="8"/>
  <c r="AH115" i="8"/>
  <c r="AI115" i="8"/>
  <c r="BS115" i="8" s="1"/>
  <c r="CA115" i="8" s="1"/>
  <c r="AJ115" i="8"/>
  <c r="AK115" i="8"/>
  <c r="AL115" i="8"/>
  <c r="AM115" i="8"/>
  <c r="AN115" i="8"/>
  <c r="AO115" i="8"/>
  <c r="AP115" i="8"/>
  <c r="AQ115" i="8"/>
  <c r="BV115" i="8" s="1"/>
  <c r="CD115" i="8" s="1"/>
  <c r="AR115" i="8"/>
  <c r="AS115" i="8"/>
  <c r="AT115" i="8"/>
  <c r="AU115" i="8"/>
  <c r="AV115" i="8"/>
  <c r="AW115" i="8"/>
  <c r="AX115" i="8"/>
  <c r="AY115" i="8"/>
  <c r="BI115" i="8" s="1"/>
  <c r="BQ115" i="8" s="1"/>
  <c r="AZ115" i="8"/>
  <c r="BA115" i="8"/>
  <c r="AD116" i="8"/>
  <c r="AE116" i="8"/>
  <c r="BR116" i="8" s="1"/>
  <c r="BZ116" i="8" s="1"/>
  <c r="AF116" i="8"/>
  <c r="H116" i="8"/>
  <c r="AG116" i="8"/>
  <c r="AH116" i="8"/>
  <c r="AI116" i="8"/>
  <c r="AJ116" i="8"/>
  <c r="AK116" i="8"/>
  <c r="AL116" i="8"/>
  <c r="BT116" i="8" s="1"/>
  <c r="CB116" i="8" s="1"/>
  <c r="AM116" i="8"/>
  <c r="AN116" i="8"/>
  <c r="AO116" i="8"/>
  <c r="AP116" i="8"/>
  <c r="AQ116" i="8"/>
  <c r="AR116" i="8"/>
  <c r="AS116" i="8"/>
  <c r="AT116" i="8"/>
  <c r="BW116" i="8" s="1"/>
  <c r="CE116" i="8" s="1"/>
  <c r="AU116" i="8"/>
  <c r="AV116" i="8"/>
  <c r="AW116" i="8"/>
  <c r="AX116" i="8"/>
  <c r="AY116" i="8"/>
  <c r="AZ116" i="8"/>
  <c r="BA116" i="8"/>
  <c r="AD117" i="8"/>
  <c r="AE117" i="8"/>
  <c r="AF117" i="8"/>
  <c r="H117" i="8"/>
  <c r="AG117" i="8"/>
  <c r="BC117" i="8" s="1"/>
  <c r="BK117" i="8" s="1"/>
  <c r="AH117" i="8"/>
  <c r="AI117" i="8"/>
  <c r="AJ117" i="8"/>
  <c r="AK117" i="8"/>
  <c r="BT117" i="8" s="1"/>
  <c r="CB117" i="8" s="1"/>
  <c r="AL117" i="8"/>
  <c r="AM117" i="8"/>
  <c r="AN117" i="8"/>
  <c r="AO117" i="8"/>
  <c r="BU117" i="8" s="1"/>
  <c r="CC117" i="8" s="1"/>
  <c r="AP117" i="8"/>
  <c r="AQ117" i="8"/>
  <c r="AR117" i="8"/>
  <c r="AS117" i="8"/>
  <c r="BW117" i="8" s="1"/>
  <c r="CE117" i="8" s="1"/>
  <c r="AT117" i="8"/>
  <c r="AU117" i="8"/>
  <c r="AV117" i="8"/>
  <c r="AW117" i="8"/>
  <c r="BH117" i="8" s="1"/>
  <c r="BP117" i="8" s="1"/>
  <c r="AX117" i="8"/>
  <c r="AY117" i="8"/>
  <c r="AZ117" i="8"/>
  <c r="BA117" i="8"/>
  <c r="BI117" i="8" s="1"/>
  <c r="BQ117" i="8" s="1"/>
  <c r="AD118" i="8"/>
  <c r="AE118" i="8"/>
  <c r="AF118" i="8"/>
  <c r="H118" i="8"/>
  <c r="BO118" i="8" s="1"/>
  <c r="AG118" i="8"/>
  <c r="AH118" i="8"/>
  <c r="AI118" i="8"/>
  <c r="AJ118" i="8"/>
  <c r="BT118" i="8" s="1"/>
  <c r="CB118" i="8" s="1"/>
  <c r="AK118" i="8"/>
  <c r="AL118" i="8"/>
  <c r="AM118" i="8"/>
  <c r="AN118" i="8"/>
  <c r="BU118" i="8" s="1"/>
  <c r="CC118" i="8" s="1"/>
  <c r="AO118" i="8"/>
  <c r="AP118" i="8"/>
  <c r="AQ118" i="8"/>
  <c r="AR118" i="8"/>
  <c r="AS118" i="8"/>
  <c r="AT118" i="8"/>
  <c r="AU118" i="8"/>
  <c r="AV118" i="8"/>
  <c r="AW118" i="8"/>
  <c r="AX118" i="8"/>
  <c r="AY118" i="8"/>
  <c r="AZ118" i="8"/>
  <c r="BA118" i="8"/>
  <c r="AD119" i="8"/>
  <c r="AE119" i="8"/>
  <c r="AF119" i="8"/>
  <c r="BR119" i="8" s="1"/>
  <c r="BZ119" i="8" s="1"/>
  <c r="H119" i="8"/>
  <c r="AG119" i="8"/>
  <c r="AH119" i="8"/>
  <c r="AI119" i="8"/>
  <c r="BS119" i="8" s="1"/>
  <c r="CA119" i="8" s="1"/>
  <c r="AJ119" i="8"/>
  <c r="AK119" i="8"/>
  <c r="AL119" i="8"/>
  <c r="AM119" i="8"/>
  <c r="BU119" i="8" s="1"/>
  <c r="CC119" i="8" s="1"/>
  <c r="AN119" i="8"/>
  <c r="AO119" i="8"/>
  <c r="AP119" i="8"/>
  <c r="AQ119" i="8"/>
  <c r="BV119" i="8" s="1"/>
  <c r="CD119" i="8" s="1"/>
  <c r="AR119" i="8"/>
  <c r="AS119" i="8"/>
  <c r="AT119" i="8"/>
  <c r="AU119" i="8"/>
  <c r="AV119" i="8"/>
  <c r="AW119" i="8"/>
  <c r="AX119" i="8"/>
  <c r="AY119" i="8"/>
  <c r="BI119" i="8" s="1"/>
  <c r="BQ119" i="8" s="1"/>
  <c r="AZ119" i="8"/>
  <c r="BA119" i="8"/>
  <c r="AD120" i="8"/>
  <c r="AE120" i="8"/>
  <c r="BR120" i="8" s="1"/>
  <c r="BZ120" i="8" s="1"/>
  <c r="AF120" i="8"/>
  <c r="H120" i="8"/>
  <c r="AG120" i="8"/>
  <c r="AH120" i="8"/>
  <c r="AI120" i="8"/>
  <c r="AJ120" i="8"/>
  <c r="AK120" i="8"/>
  <c r="AL120" i="8"/>
  <c r="BD120" i="8" s="1"/>
  <c r="BL120" i="8" s="1"/>
  <c r="AM120" i="8"/>
  <c r="AN120" i="8"/>
  <c r="AO120" i="8"/>
  <c r="AP120" i="8"/>
  <c r="AQ120" i="8"/>
  <c r="AR120" i="8"/>
  <c r="AS120" i="8"/>
  <c r="AT120" i="8"/>
  <c r="AU120" i="8"/>
  <c r="AV120" i="8"/>
  <c r="AW120" i="8"/>
  <c r="AX120" i="8"/>
  <c r="AY120" i="8"/>
  <c r="AZ120" i="8"/>
  <c r="BA120" i="8"/>
  <c r="AD121" i="8"/>
  <c r="AE121" i="8"/>
  <c r="AF121" i="8"/>
  <c r="H121" i="8"/>
  <c r="AG121" i="8"/>
  <c r="BC121" i="8" s="1"/>
  <c r="BK121" i="8" s="1"/>
  <c r="AH121" i="8"/>
  <c r="AI121" i="8"/>
  <c r="AJ121" i="8"/>
  <c r="AK121" i="8"/>
  <c r="AL121" i="8"/>
  <c r="AM121" i="8"/>
  <c r="AN121" i="8"/>
  <c r="AO121" i="8"/>
  <c r="BU121" i="8" s="1"/>
  <c r="CC121" i="8" s="1"/>
  <c r="AP121" i="8"/>
  <c r="AQ121" i="8"/>
  <c r="AR121" i="8"/>
  <c r="AS121" i="8"/>
  <c r="AT121" i="8"/>
  <c r="AU121" i="8"/>
  <c r="AV121" i="8"/>
  <c r="AW121" i="8"/>
  <c r="BY121" i="8" s="1"/>
  <c r="CG121" i="8" s="1"/>
  <c r="AX121" i="8"/>
  <c r="AY121" i="8"/>
  <c r="AZ121" i="8"/>
  <c r="BA121" i="8"/>
  <c r="BI121" i="8" s="1"/>
  <c r="BQ121" i="8" s="1"/>
  <c r="AD122" i="8"/>
  <c r="AE122" i="8"/>
  <c r="AF122" i="8"/>
  <c r="H122" i="8"/>
  <c r="AG122" i="8"/>
  <c r="AH122" i="8"/>
  <c r="AI122" i="8"/>
  <c r="AJ122" i="8"/>
  <c r="BT122" i="8" s="1"/>
  <c r="CB122" i="8" s="1"/>
  <c r="AK122" i="8"/>
  <c r="AL122" i="8"/>
  <c r="AM122" i="8"/>
  <c r="AN122" i="8"/>
  <c r="BU122" i="8" s="1"/>
  <c r="CC122" i="8" s="1"/>
  <c r="AO122" i="8"/>
  <c r="AP122" i="8"/>
  <c r="AQ122" i="8"/>
  <c r="AR122" i="8"/>
  <c r="BV122" i="8" s="1"/>
  <c r="CD122" i="8" s="1"/>
  <c r="AS122" i="8"/>
  <c r="AT122" i="8"/>
  <c r="AU122" i="8"/>
  <c r="AV122" i="8"/>
  <c r="AW122" i="8"/>
  <c r="AX122" i="8"/>
  <c r="AY122" i="8"/>
  <c r="AZ122" i="8"/>
  <c r="BA122" i="8"/>
  <c r="AD123" i="8"/>
  <c r="AE123" i="8"/>
  <c r="AF123" i="8"/>
  <c r="H123" i="8"/>
  <c r="AG123" i="8"/>
  <c r="AH123" i="8"/>
  <c r="AI123" i="8"/>
  <c r="AJ123" i="8"/>
  <c r="AK123" i="8"/>
  <c r="AL123" i="8"/>
  <c r="AM123" i="8"/>
  <c r="BE123" i="8" s="1"/>
  <c r="BM123" i="8" s="1"/>
  <c r="AN123" i="8"/>
  <c r="AO123" i="8"/>
  <c r="AP123" i="8"/>
  <c r="AQ123" i="8"/>
  <c r="BV123" i="8" s="1"/>
  <c r="CD123" i="8" s="1"/>
  <c r="AR123" i="8"/>
  <c r="AS123" i="8"/>
  <c r="AT123" i="8"/>
  <c r="AU123" i="8"/>
  <c r="BG123" i="8" s="1"/>
  <c r="BO123" i="8" s="1"/>
  <c r="AV123" i="8"/>
  <c r="AW123" i="8"/>
  <c r="AX123" i="8"/>
  <c r="AY123" i="8"/>
  <c r="BI123" i="8" s="1"/>
  <c r="BQ123" i="8" s="1"/>
  <c r="AZ123" i="8"/>
  <c r="BA123" i="8"/>
  <c r="AD124" i="8"/>
  <c r="AE124" i="8"/>
  <c r="BB124" i="8" s="1"/>
  <c r="BJ124" i="8" s="1"/>
  <c r="AF124" i="8"/>
  <c r="H124" i="8"/>
  <c r="AG124" i="8"/>
  <c r="AH124" i="8"/>
  <c r="BS124" i="8" s="1"/>
  <c r="CA124" i="8" s="1"/>
  <c r="AI124" i="8"/>
  <c r="AJ124" i="8"/>
  <c r="AK124" i="8"/>
  <c r="AL124" i="8"/>
  <c r="BD124" i="8" s="1"/>
  <c r="BL124" i="8" s="1"/>
  <c r="AM124" i="8"/>
  <c r="AN124" i="8"/>
  <c r="AO124" i="8"/>
  <c r="AP124" i="8"/>
  <c r="AQ124" i="8"/>
  <c r="AR124" i="8"/>
  <c r="AS124" i="8"/>
  <c r="AT124" i="8"/>
  <c r="AU124" i="8"/>
  <c r="AV124" i="8"/>
  <c r="AW124" i="8"/>
  <c r="AX124" i="8"/>
  <c r="AY124" i="8"/>
  <c r="AZ124" i="8"/>
  <c r="BA124" i="8"/>
  <c r="AD125" i="8"/>
  <c r="AE125" i="8"/>
  <c r="AF125" i="8"/>
  <c r="H125" i="8"/>
  <c r="AG125" i="8"/>
  <c r="BS125" i="8" s="1"/>
  <c r="CA125" i="8" s="1"/>
  <c r="AH125" i="8"/>
  <c r="AI125" i="8"/>
  <c r="AJ125" i="8"/>
  <c r="AK125" i="8"/>
  <c r="BT125" i="8" s="1"/>
  <c r="CB125" i="8" s="1"/>
  <c r="AL125" i="8"/>
  <c r="AM125" i="8"/>
  <c r="AN125" i="8"/>
  <c r="AO125" i="8"/>
  <c r="BU125" i="8" s="1"/>
  <c r="CC125" i="8" s="1"/>
  <c r="AP125" i="8"/>
  <c r="AQ125" i="8"/>
  <c r="AR125" i="8"/>
  <c r="AS125" i="8"/>
  <c r="BW125" i="8" s="1"/>
  <c r="CE125" i="8" s="1"/>
  <c r="AT125" i="8"/>
  <c r="AU125" i="8"/>
  <c r="AV125" i="8"/>
  <c r="AW125" i="8"/>
  <c r="BY125" i="8" s="1"/>
  <c r="CG125" i="8" s="1"/>
  <c r="AX125" i="8"/>
  <c r="AY125" i="8"/>
  <c r="AZ125" i="8"/>
  <c r="BA125" i="8"/>
  <c r="BI125" i="8" s="1"/>
  <c r="BQ125" i="8" s="1"/>
  <c r="AD126" i="8"/>
  <c r="AE126" i="8"/>
  <c r="AF126" i="8"/>
  <c r="H126" i="8"/>
  <c r="AG126" i="8"/>
  <c r="AH126" i="8"/>
  <c r="AI126" i="8"/>
  <c r="AJ126" i="8"/>
  <c r="BT126" i="8" s="1"/>
  <c r="CB126" i="8" s="1"/>
  <c r="AK126" i="8"/>
  <c r="AL126" i="8"/>
  <c r="AM126" i="8"/>
  <c r="AN126" i="8"/>
  <c r="BU126" i="8" s="1"/>
  <c r="CC126" i="8" s="1"/>
  <c r="AO126" i="8"/>
  <c r="AP126" i="8"/>
  <c r="AQ126" i="8"/>
  <c r="AR126" i="8"/>
  <c r="AS126" i="8"/>
  <c r="AT126" i="8"/>
  <c r="AU126" i="8"/>
  <c r="AV126" i="8"/>
  <c r="AW126" i="8"/>
  <c r="AX126" i="8"/>
  <c r="AY126" i="8"/>
  <c r="AZ126" i="8"/>
  <c r="BA126" i="8"/>
  <c r="AD127" i="8"/>
  <c r="AE127" i="8"/>
  <c r="AF127" i="8"/>
  <c r="BR127" i="8" s="1"/>
  <c r="BZ127" i="8" s="1"/>
  <c r="H127" i="8"/>
  <c r="AG127" i="8"/>
  <c r="AH127" i="8"/>
  <c r="AI127" i="8"/>
  <c r="BS127" i="8" s="1"/>
  <c r="CA127" i="8" s="1"/>
  <c r="AJ127" i="8"/>
  <c r="AK127" i="8"/>
  <c r="AL127" i="8"/>
  <c r="AM127" i="8"/>
  <c r="AN127" i="8"/>
  <c r="AO127" i="8"/>
  <c r="AP127" i="8"/>
  <c r="AQ127" i="8"/>
  <c r="AR127" i="8"/>
  <c r="AS127" i="8"/>
  <c r="AT127" i="8"/>
  <c r="AU127" i="8"/>
  <c r="AV127" i="8"/>
  <c r="AW127" i="8"/>
  <c r="AX127" i="8"/>
  <c r="AY127" i="8"/>
  <c r="BI127" i="8" s="1"/>
  <c r="BQ127" i="8" s="1"/>
  <c r="AZ127" i="8"/>
  <c r="BA127" i="8"/>
  <c r="AD128" i="8"/>
  <c r="AE128" i="8"/>
  <c r="AF128" i="8"/>
  <c r="H128" i="8"/>
  <c r="AG128" i="8"/>
  <c r="AH128" i="8"/>
  <c r="AI128" i="8"/>
  <c r="AJ128" i="8"/>
  <c r="AK128" i="8"/>
  <c r="AL128" i="8"/>
  <c r="BT128" i="8" s="1"/>
  <c r="CB128" i="8" s="1"/>
  <c r="AM128" i="8"/>
  <c r="AN128" i="8"/>
  <c r="AO128" i="8"/>
  <c r="AP128" i="8"/>
  <c r="AQ128" i="8"/>
  <c r="AR128" i="8"/>
  <c r="AS128" i="8"/>
  <c r="AT128" i="8"/>
  <c r="AU128" i="8"/>
  <c r="AV128" i="8"/>
  <c r="AW128" i="8"/>
  <c r="AX128" i="8"/>
  <c r="AY128" i="8"/>
  <c r="AZ128" i="8"/>
  <c r="BA128" i="8"/>
  <c r="AD129" i="8"/>
  <c r="AE129" i="8"/>
  <c r="AF129" i="8"/>
  <c r="H129" i="8"/>
  <c r="AG129" i="8"/>
  <c r="AH129" i="8"/>
  <c r="AI129" i="8"/>
  <c r="AJ129" i="8"/>
  <c r="AK129" i="8"/>
  <c r="BT129" i="8" s="1"/>
  <c r="CB129" i="8" s="1"/>
  <c r="AL129" i="8"/>
  <c r="AM129" i="8"/>
  <c r="AN129" i="8"/>
  <c r="AO129" i="8"/>
  <c r="BU129" i="8" s="1"/>
  <c r="CC129" i="8" s="1"/>
  <c r="AP129" i="8"/>
  <c r="AQ129" i="8"/>
  <c r="AR129" i="8"/>
  <c r="AS129" i="8"/>
  <c r="BW129" i="8" s="1"/>
  <c r="CE129" i="8" s="1"/>
  <c r="AT129" i="8"/>
  <c r="AU129" i="8"/>
  <c r="AV129" i="8"/>
  <c r="AW129" i="8"/>
  <c r="BY129" i="8" s="1"/>
  <c r="CG129" i="8" s="1"/>
  <c r="AX129" i="8"/>
  <c r="AY129" i="8"/>
  <c r="AZ129" i="8"/>
  <c r="BA129" i="8"/>
  <c r="BI129" i="8" s="1"/>
  <c r="BQ129" i="8" s="1"/>
  <c r="AD130" i="8"/>
  <c r="AE130" i="8"/>
  <c r="AF130" i="8"/>
  <c r="H130" i="8"/>
  <c r="AG130" i="8"/>
  <c r="AH130" i="8"/>
  <c r="AI130" i="8"/>
  <c r="AJ130" i="8"/>
  <c r="BT130" i="8" s="1"/>
  <c r="CB130" i="8" s="1"/>
  <c r="AK130" i="8"/>
  <c r="AL130" i="8"/>
  <c r="AM130" i="8"/>
  <c r="AN130" i="8"/>
  <c r="AO130" i="8"/>
  <c r="AP130" i="8"/>
  <c r="AQ130" i="8"/>
  <c r="AR130" i="8"/>
  <c r="BV130" i="8" s="1"/>
  <c r="CD130" i="8" s="1"/>
  <c r="AS130" i="8"/>
  <c r="AT130" i="8"/>
  <c r="AU130" i="8"/>
  <c r="AV130" i="8"/>
  <c r="AW130" i="8"/>
  <c r="AX130" i="8"/>
  <c r="AY130" i="8"/>
  <c r="AZ130" i="8"/>
  <c r="BI130" i="8" s="1"/>
  <c r="BQ130" i="8" s="1"/>
  <c r="BA130" i="8"/>
  <c r="AD131" i="8"/>
  <c r="AE131" i="8"/>
  <c r="AF131" i="8"/>
  <c r="H131" i="8"/>
  <c r="AG131" i="8"/>
  <c r="AH131" i="8"/>
  <c r="AI131" i="8"/>
  <c r="BS131" i="8" s="1"/>
  <c r="CA131" i="8" s="1"/>
  <c r="AJ131" i="8"/>
  <c r="AK131" i="8"/>
  <c r="AL131" i="8"/>
  <c r="AM131" i="8"/>
  <c r="AN131" i="8"/>
  <c r="AO131" i="8"/>
  <c r="AP131" i="8"/>
  <c r="AQ131" i="8"/>
  <c r="AR131" i="8"/>
  <c r="AS131" i="8"/>
  <c r="AT131" i="8"/>
  <c r="AU131" i="8"/>
  <c r="AV131" i="8"/>
  <c r="AW131" i="8"/>
  <c r="AX131" i="8"/>
  <c r="AY131" i="8"/>
  <c r="BI131" i="8" s="1"/>
  <c r="BQ131" i="8" s="1"/>
  <c r="AZ131" i="8"/>
  <c r="BA131" i="8"/>
  <c r="AD132" i="8"/>
  <c r="AE132" i="8"/>
  <c r="BR132" i="8" s="1"/>
  <c r="BZ132" i="8" s="1"/>
  <c r="AF132" i="8"/>
  <c r="H132" i="8"/>
  <c r="AG132" i="8"/>
  <c r="AH132" i="8"/>
  <c r="AI132" i="8"/>
  <c r="AJ132" i="8"/>
  <c r="AK132" i="8"/>
  <c r="AL132" i="8"/>
  <c r="AM132" i="8"/>
  <c r="AN132" i="8"/>
  <c r="AO132" i="8"/>
  <c r="AP132" i="8"/>
  <c r="BV132" i="8" s="1"/>
  <c r="CD132" i="8" s="1"/>
  <c r="AQ132" i="8"/>
  <c r="AR132" i="8"/>
  <c r="AS132" i="8"/>
  <c r="AT132" i="8"/>
  <c r="BW132" i="8" s="1"/>
  <c r="CE132" i="8" s="1"/>
  <c r="AU132" i="8"/>
  <c r="AV132" i="8"/>
  <c r="AW132" i="8"/>
  <c r="AX132" i="8"/>
  <c r="AY132" i="8"/>
  <c r="AZ132" i="8"/>
  <c r="BA132" i="8"/>
  <c r="AD133" i="8"/>
  <c r="AE133" i="8"/>
  <c r="AF133" i="8"/>
  <c r="H133" i="8"/>
  <c r="AG133" i="8"/>
  <c r="AH133" i="8"/>
  <c r="AI133" i="8"/>
  <c r="AJ133" i="8"/>
  <c r="AK133" i="8"/>
  <c r="BT133" i="8" s="1"/>
  <c r="CB133" i="8" s="1"/>
  <c r="AL133" i="8"/>
  <c r="AM133" i="8"/>
  <c r="AN133" i="8"/>
  <c r="AO133" i="8"/>
  <c r="AP133" i="8"/>
  <c r="AQ133" i="8"/>
  <c r="AR133" i="8"/>
  <c r="AS133" i="8"/>
  <c r="AT133" i="8"/>
  <c r="AU133" i="8"/>
  <c r="AV133" i="8"/>
  <c r="AW133" i="8"/>
  <c r="AX133" i="8"/>
  <c r="AY133" i="8"/>
  <c r="AZ133" i="8"/>
  <c r="BA133" i="8"/>
  <c r="BI133" i="8" s="1"/>
  <c r="BQ133" i="8" s="1"/>
  <c r="AD134" i="8"/>
  <c r="AE134" i="8"/>
  <c r="AF134" i="8"/>
  <c r="H134" i="8"/>
  <c r="AG134" i="8"/>
  <c r="AH134" i="8"/>
  <c r="AI134" i="8"/>
  <c r="AJ134" i="8"/>
  <c r="BT134" i="8" s="1"/>
  <c r="CB134" i="8" s="1"/>
  <c r="AK134" i="8"/>
  <c r="AL134" i="8"/>
  <c r="AM134" i="8"/>
  <c r="AN134" i="8"/>
  <c r="AO134" i="8"/>
  <c r="AP134" i="8"/>
  <c r="AQ134" i="8"/>
  <c r="AR134" i="8"/>
  <c r="BV134" i="8" s="1"/>
  <c r="CD134" i="8" s="1"/>
  <c r="AS134" i="8"/>
  <c r="AT134" i="8"/>
  <c r="AU134" i="8"/>
  <c r="AV134" i="8"/>
  <c r="BX134" i="8" s="1"/>
  <c r="CF134" i="8" s="1"/>
  <c r="AW134" i="8"/>
  <c r="AX134" i="8"/>
  <c r="AY134" i="8"/>
  <c r="AZ134" i="8"/>
  <c r="BA134" i="8"/>
  <c r="AD135" i="8"/>
  <c r="AE135" i="8"/>
  <c r="AF135" i="8"/>
  <c r="H135" i="8"/>
  <c r="AG135" i="8"/>
  <c r="AH135" i="8"/>
  <c r="AI135" i="8"/>
  <c r="BS135" i="8" s="1"/>
  <c r="CA135" i="8" s="1"/>
  <c r="AJ135" i="8"/>
  <c r="AK135" i="8"/>
  <c r="AL135" i="8"/>
  <c r="AM135" i="8"/>
  <c r="AN135" i="8"/>
  <c r="AO135" i="8"/>
  <c r="AP135" i="8"/>
  <c r="AQ135" i="8"/>
  <c r="BV135" i="8" s="1"/>
  <c r="CD135" i="8" s="1"/>
  <c r="AR135" i="8"/>
  <c r="AS135" i="8"/>
  <c r="AT135" i="8"/>
  <c r="AU135" i="8"/>
  <c r="AV135" i="8"/>
  <c r="AW135" i="8"/>
  <c r="AX135" i="8"/>
  <c r="AY135" i="8"/>
  <c r="BI135" i="8" s="1"/>
  <c r="BQ135" i="8" s="1"/>
  <c r="AZ135" i="8"/>
  <c r="BA135" i="8"/>
  <c r="AD136" i="8"/>
  <c r="AE136" i="8"/>
  <c r="AF136" i="8"/>
  <c r="H136" i="8"/>
  <c r="AG136" i="8"/>
  <c r="AH136" i="8"/>
  <c r="BS136" i="8" s="1"/>
  <c r="CA136" i="8" s="1"/>
  <c r="AI136" i="8"/>
  <c r="AJ136" i="8"/>
  <c r="AK136" i="8"/>
  <c r="AL136" i="8"/>
  <c r="BD136" i="8" s="1"/>
  <c r="BL136" i="8" s="1"/>
  <c r="AM136" i="8"/>
  <c r="AN136" i="8"/>
  <c r="AO136" i="8"/>
  <c r="AP136" i="8"/>
  <c r="BV136" i="8" s="1"/>
  <c r="CD136" i="8" s="1"/>
  <c r="AQ136" i="8"/>
  <c r="AR136" i="8"/>
  <c r="AS136" i="8"/>
  <c r="AT136" i="8"/>
  <c r="BW136" i="8" s="1"/>
  <c r="CE136" i="8" s="1"/>
  <c r="AU136" i="8"/>
  <c r="AV136" i="8"/>
  <c r="AW136" i="8"/>
  <c r="AX136" i="8"/>
  <c r="BH136" i="8" s="1"/>
  <c r="BP136" i="8" s="1"/>
  <c r="AY136" i="8"/>
  <c r="AZ136" i="8"/>
  <c r="BA136" i="8"/>
  <c r="AD137" i="8"/>
  <c r="BR137" i="8" s="1"/>
  <c r="BZ137" i="8" s="1"/>
  <c r="AE137" i="8"/>
  <c r="AF137" i="8"/>
  <c r="H137" i="8"/>
  <c r="AG137" i="8"/>
  <c r="AH137" i="8"/>
  <c r="AI137" i="8"/>
  <c r="AJ137" i="8"/>
  <c r="AK137" i="8"/>
  <c r="AL137" i="8"/>
  <c r="AM137" i="8"/>
  <c r="AN137" i="8"/>
  <c r="AO137" i="8"/>
  <c r="BU137" i="8" s="1"/>
  <c r="CC137" i="8" s="1"/>
  <c r="AP137" i="8"/>
  <c r="AQ137" i="8"/>
  <c r="AR137" i="8"/>
  <c r="AS137" i="8"/>
  <c r="BG137" i="8" s="1"/>
  <c r="BO137" i="8" s="1"/>
  <c r="AT137" i="8"/>
  <c r="AU137" i="8"/>
  <c r="AV137" i="8"/>
  <c r="AW137" i="8"/>
  <c r="AX137" i="8"/>
  <c r="AY137" i="8"/>
  <c r="AZ137" i="8"/>
  <c r="BA137" i="8"/>
  <c r="AD138" i="8"/>
  <c r="AE138" i="8"/>
  <c r="AF138" i="8"/>
  <c r="H138" i="8"/>
  <c r="AG138" i="8"/>
  <c r="AH138" i="8"/>
  <c r="BS138" i="8" s="1"/>
  <c r="AI138" i="8"/>
  <c r="AJ138" i="8"/>
  <c r="BD138" i="8" s="1"/>
  <c r="BL138" i="8" s="1"/>
  <c r="AK138" i="8"/>
  <c r="AL138" i="8"/>
  <c r="AM138" i="8"/>
  <c r="AN138" i="8"/>
  <c r="BU138" i="8" s="1"/>
  <c r="CC138" i="8" s="1"/>
  <c r="AO138" i="8"/>
  <c r="AP138" i="8"/>
  <c r="AQ138" i="8"/>
  <c r="AR138" i="8"/>
  <c r="BF138" i="8" s="1"/>
  <c r="BN138" i="8" s="1"/>
  <c r="AS138" i="8"/>
  <c r="AT138" i="8"/>
  <c r="BW138" i="8" s="1"/>
  <c r="CE138" i="8" s="1"/>
  <c r="AU138" i="8"/>
  <c r="AV138" i="8"/>
  <c r="AW138" i="8"/>
  <c r="AX138" i="8"/>
  <c r="AY138" i="8"/>
  <c r="AZ138" i="8"/>
  <c r="BA138" i="8"/>
  <c r="AD139" i="8"/>
  <c r="AE139" i="8"/>
  <c r="AF139" i="8"/>
  <c r="H139" i="8"/>
  <c r="AG139" i="8"/>
  <c r="AH139" i="8"/>
  <c r="AI139" i="8"/>
  <c r="BC139" i="8" s="1"/>
  <c r="BK139" i="8" s="1"/>
  <c r="AJ139" i="8"/>
  <c r="AK139" i="8"/>
  <c r="BT139" i="8" s="1"/>
  <c r="CB139" i="8" s="1"/>
  <c r="AL139" i="8"/>
  <c r="AM139" i="8"/>
  <c r="BU139" i="8" s="1"/>
  <c r="CC139" i="8" s="1"/>
  <c r="AN139" i="8"/>
  <c r="AO139" i="8"/>
  <c r="AP139" i="8"/>
  <c r="AQ139" i="8"/>
  <c r="AR139" i="8"/>
  <c r="AS139" i="8"/>
  <c r="AT139" i="8"/>
  <c r="AU139" i="8"/>
  <c r="AV139" i="8"/>
  <c r="AW139" i="8"/>
  <c r="AX139" i="8"/>
  <c r="AY139" i="8"/>
  <c r="BI139" i="8" s="1"/>
  <c r="BQ139" i="8" s="1"/>
  <c r="AZ139" i="8"/>
  <c r="BA139" i="8"/>
  <c r="AD140" i="8"/>
  <c r="AE140" i="8"/>
  <c r="AF140" i="8"/>
  <c r="H140" i="8"/>
  <c r="AG140" i="8"/>
  <c r="AH140" i="8"/>
  <c r="AI140" i="8"/>
  <c r="AJ140" i="8"/>
  <c r="AK140" i="8"/>
  <c r="AL140" i="8"/>
  <c r="BD140" i="8" s="1"/>
  <c r="BL140" i="8" s="1"/>
  <c r="AM140" i="8"/>
  <c r="AN140" i="8"/>
  <c r="AO140" i="8"/>
  <c r="AP140" i="8"/>
  <c r="BV140" i="8" s="1"/>
  <c r="CD140" i="8" s="1"/>
  <c r="AQ140" i="8"/>
  <c r="AR140" i="8"/>
  <c r="AS140" i="8"/>
  <c r="AT140" i="8"/>
  <c r="BW140" i="8" s="1"/>
  <c r="CE140" i="8" s="1"/>
  <c r="AU140" i="8"/>
  <c r="AV140" i="8"/>
  <c r="AW140" i="8"/>
  <c r="AX140" i="8"/>
  <c r="BH140" i="8" s="1"/>
  <c r="BP140" i="8" s="1"/>
  <c r="AY140" i="8"/>
  <c r="AZ140" i="8"/>
  <c r="BA140" i="8"/>
  <c r="AD141" i="8"/>
  <c r="AE141" i="8"/>
  <c r="AF141" i="8"/>
  <c r="H141" i="8"/>
  <c r="AG141" i="8"/>
  <c r="BS141" i="8" s="1"/>
  <c r="CA141" i="8" s="1"/>
  <c r="AH141" i="8"/>
  <c r="AI141" i="8"/>
  <c r="AJ141" i="8"/>
  <c r="AK141" i="8"/>
  <c r="AL141" i="8"/>
  <c r="AM141" i="8"/>
  <c r="AN141" i="8"/>
  <c r="AO141" i="8"/>
  <c r="BU141" i="8" s="1"/>
  <c r="CC141" i="8" s="1"/>
  <c r="AP141" i="8"/>
  <c r="AQ141" i="8"/>
  <c r="BV141" i="8" s="1"/>
  <c r="CD141" i="8" s="1"/>
  <c r="AR141" i="8"/>
  <c r="AS141" i="8"/>
  <c r="BG141" i="8" s="1"/>
  <c r="BO141" i="8" s="1"/>
  <c r="AT141" i="8"/>
  <c r="AU141" i="8"/>
  <c r="AV141" i="8"/>
  <c r="AW141" i="8"/>
  <c r="BY141" i="8" s="1"/>
  <c r="CG141" i="8" s="1"/>
  <c r="AX141" i="8"/>
  <c r="AY141" i="8"/>
  <c r="AZ141" i="8"/>
  <c r="BA141" i="8"/>
  <c r="BI141" i="8" s="1"/>
  <c r="BQ141" i="8" s="1"/>
  <c r="AD142" i="8"/>
  <c r="AE142" i="8"/>
  <c r="BR142" i="8" s="1"/>
  <c r="BZ142" i="8" s="1"/>
  <c r="AF142" i="8"/>
  <c r="H142" i="8"/>
  <c r="AG142" i="8"/>
  <c r="AH142" i="8"/>
  <c r="AI142" i="8"/>
  <c r="AJ142" i="8"/>
  <c r="BD142" i="8" s="1"/>
  <c r="BL142" i="8" s="1"/>
  <c r="AK142" i="8"/>
  <c r="AL142" i="8"/>
  <c r="AM142" i="8"/>
  <c r="AN142" i="8"/>
  <c r="AO142" i="8"/>
  <c r="AP142" i="8"/>
  <c r="AQ142" i="8"/>
  <c r="AR142" i="8"/>
  <c r="BF142" i="8" s="1"/>
  <c r="BN142" i="8" s="1"/>
  <c r="AS142" i="8"/>
  <c r="AT142" i="8"/>
  <c r="AU142" i="8"/>
  <c r="AV142" i="8"/>
  <c r="BY142" i="8" s="1"/>
  <c r="CG142" i="8" s="1"/>
  <c r="AW142" i="8"/>
  <c r="AX142" i="8"/>
  <c r="AY142" i="8"/>
  <c r="AZ142" i="8"/>
  <c r="BA142" i="8"/>
  <c r="AD143" i="8"/>
  <c r="AE143" i="8"/>
  <c r="AF143" i="8"/>
  <c r="H143" i="8"/>
  <c r="AG143" i="8"/>
  <c r="AH143" i="8"/>
  <c r="AI143" i="8"/>
  <c r="BS143" i="8" s="1"/>
  <c r="CA143" i="8" s="1"/>
  <c r="AJ143" i="8"/>
  <c r="AK143" i="8"/>
  <c r="BT143" i="8" s="1"/>
  <c r="CB143" i="8" s="1"/>
  <c r="AL143" i="8"/>
  <c r="AM143" i="8"/>
  <c r="BE143" i="8" s="1"/>
  <c r="BM143" i="8" s="1"/>
  <c r="AN143" i="8"/>
  <c r="AO143" i="8"/>
  <c r="AP143" i="8"/>
  <c r="AQ143" i="8"/>
  <c r="AR143" i="8"/>
  <c r="AS143" i="8"/>
  <c r="AT143" i="8"/>
  <c r="AU143" i="8"/>
  <c r="AV143" i="8"/>
  <c r="AW143" i="8"/>
  <c r="AX143" i="8"/>
  <c r="AY143" i="8"/>
  <c r="AZ143" i="8"/>
  <c r="BA143" i="8"/>
  <c r="AD144" i="8"/>
  <c r="AE144" i="8"/>
  <c r="BB144" i="8" s="1"/>
  <c r="BJ144" i="8" s="1"/>
  <c r="AF144" i="8"/>
  <c r="H144" i="8"/>
  <c r="AG144" i="8"/>
  <c r="AH144" i="8"/>
  <c r="AI144" i="8"/>
  <c r="AJ144" i="8"/>
  <c r="AK144" i="8"/>
  <c r="AL144" i="8"/>
  <c r="AM144" i="8"/>
  <c r="AN144" i="8"/>
  <c r="AO144" i="8"/>
  <c r="AP144" i="8"/>
  <c r="BV144" i="8" s="1"/>
  <c r="CD144" i="8" s="1"/>
  <c r="AQ144" i="8"/>
  <c r="AR144" i="8"/>
  <c r="AS144" i="8"/>
  <c r="AT144" i="8"/>
  <c r="BX144" i="8" s="1"/>
  <c r="CF144" i="8" s="1"/>
  <c r="AU144" i="8"/>
  <c r="AV144" i="8"/>
  <c r="AW144" i="8"/>
  <c r="AX144" i="8"/>
  <c r="AY144" i="8"/>
  <c r="AZ144" i="8"/>
  <c r="BA144" i="8"/>
  <c r="AD145" i="8"/>
  <c r="BR145" i="8" s="1"/>
  <c r="BZ145" i="8" s="1"/>
  <c r="AE145" i="8"/>
  <c r="AF145" i="8"/>
  <c r="H145" i="8"/>
  <c r="AG145" i="8"/>
  <c r="AH145" i="8"/>
  <c r="AI145" i="8"/>
  <c r="AJ145" i="8"/>
  <c r="AK145" i="8"/>
  <c r="AL145" i="8"/>
  <c r="AM145" i="8"/>
  <c r="AN145" i="8"/>
  <c r="AO145" i="8"/>
  <c r="BU145" i="8" s="1"/>
  <c r="CC145" i="8" s="1"/>
  <c r="AP145" i="8"/>
  <c r="AQ145" i="8"/>
  <c r="AR145" i="8"/>
  <c r="AS145" i="8"/>
  <c r="BW145" i="8" s="1"/>
  <c r="CE145" i="8" s="1"/>
  <c r="AT145" i="8"/>
  <c r="AU145" i="8"/>
  <c r="AV145" i="8"/>
  <c r="AW145" i="8"/>
  <c r="AX145" i="8"/>
  <c r="AY145" i="8"/>
  <c r="AZ145" i="8"/>
  <c r="BA145" i="8"/>
  <c r="BI145" i="8" s="1"/>
  <c r="BQ145" i="8" s="1"/>
  <c r="AD146" i="8"/>
  <c r="AE146" i="8"/>
  <c r="AF146" i="8"/>
  <c r="H146" i="8"/>
  <c r="AG146" i="8"/>
  <c r="AH146" i="8"/>
  <c r="AI146" i="8"/>
  <c r="AJ146" i="8"/>
  <c r="AK146" i="8"/>
  <c r="AL146" i="8"/>
  <c r="AM146" i="8"/>
  <c r="AN146" i="8"/>
  <c r="AO146" i="8"/>
  <c r="AP146" i="8"/>
  <c r="AQ146" i="8"/>
  <c r="AR146" i="8"/>
  <c r="AS146" i="8"/>
  <c r="AT146" i="8"/>
  <c r="AU146" i="8"/>
  <c r="AV146" i="8"/>
  <c r="AW146" i="8"/>
  <c r="AX146" i="8"/>
  <c r="AY146" i="8"/>
  <c r="AZ146" i="8"/>
  <c r="BA146" i="8"/>
  <c r="AD147" i="8"/>
  <c r="AE147" i="8"/>
  <c r="AF147" i="8"/>
  <c r="BR147" i="8" s="1"/>
  <c r="BZ147" i="8" s="1"/>
  <c r="H147" i="8"/>
  <c r="AG147" i="8"/>
  <c r="AH147" i="8"/>
  <c r="AI147" i="8"/>
  <c r="AJ147" i="8"/>
  <c r="AK147" i="8"/>
  <c r="AL147" i="8"/>
  <c r="AM147" i="8"/>
  <c r="BU147" i="8" s="1"/>
  <c r="CC147" i="8" s="1"/>
  <c r="AN147" i="8"/>
  <c r="AO147" i="8"/>
  <c r="AP147" i="8"/>
  <c r="AQ147" i="8"/>
  <c r="BV147" i="8" s="1"/>
  <c r="CD147" i="8" s="1"/>
  <c r="AR147" i="8"/>
  <c r="AS147" i="8"/>
  <c r="AT147" i="8"/>
  <c r="AU147" i="8"/>
  <c r="AV147" i="8"/>
  <c r="AW147" i="8"/>
  <c r="AX147" i="8"/>
  <c r="AY147" i="8"/>
  <c r="AZ147" i="8"/>
  <c r="BA147" i="8"/>
  <c r="AD148" i="8"/>
  <c r="AE148" i="8"/>
  <c r="BB148" i="8" s="1"/>
  <c r="BJ148" i="8" s="1"/>
  <c r="AF148" i="8"/>
  <c r="H148" i="8"/>
  <c r="AG148" i="8"/>
  <c r="AH148" i="8"/>
  <c r="BS148" i="8" s="1"/>
  <c r="CA148" i="8" s="1"/>
  <c r="AI148" i="8"/>
  <c r="AJ148" i="8"/>
  <c r="AK148" i="8"/>
  <c r="AL148" i="8"/>
  <c r="AM148" i="8"/>
  <c r="AN148" i="8"/>
  <c r="AO148" i="8"/>
  <c r="AP148" i="8"/>
  <c r="BV148" i="8" s="1"/>
  <c r="CD148" i="8" s="1"/>
  <c r="AQ148" i="8"/>
  <c r="AR148" i="8"/>
  <c r="AS148" i="8"/>
  <c r="AT148" i="8"/>
  <c r="AU148" i="8"/>
  <c r="AV148" i="8"/>
  <c r="AW148" i="8"/>
  <c r="AX148" i="8"/>
  <c r="AY148" i="8"/>
  <c r="AZ148" i="8"/>
  <c r="BA148" i="8"/>
  <c r="AD149" i="8"/>
  <c r="AE149" i="8"/>
  <c r="AF149" i="8"/>
  <c r="H149" i="8"/>
  <c r="AG149" i="8"/>
  <c r="BS149" i="8" s="1"/>
  <c r="CA149" i="8" s="1"/>
  <c r="AH149" i="8"/>
  <c r="AI149" i="8"/>
  <c r="AJ149" i="8"/>
  <c r="AK149" i="8"/>
  <c r="BT149" i="8" s="1"/>
  <c r="CB149" i="8" s="1"/>
  <c r="AL149" i="8"/>
  <c r="AM149" i="8"/>
  <c r="AN149" i="8"/>
  <c r="AO149" i="8"/>
  <c r="AP149" i="8"/>
  <c r="AQ149" i="8"/>
  <c r="AR149" i="8"/>
  <c r="AS149" i="8"/>
  <c r="AT149" i="8"/>
  <c r="AU149" i="8"/>
  <c r="AV149" i="8"/>
  <c r="AW149" i="8"/>
  <c r="BH149" i="8" s="1"/>
  <c r="BP149" i="8" s="1"/>
  <c r="AX149" i="8"/>
  <c r="AY149" i="8"/>
  <c r="AZ149" i="8"/>
  <c r="BA149" i="8"/>
  <c r="AD150" i="8"/>
  <c r="AE150" i="8"/>
  <c r="AF150" i="8"/>
  <c r="H150" i="8"/>
  <c r="AG150" i="8"/>
  <c r="AH150" i="8"/>
  <c r="AI150" i="8"/>
  <c r="AJ150" i="8"/>
  <c r="AK150" i="8"/>
  <c r="AL150" i="8"/>
  <c r="AM150" i="8"/>
  <c r="AN150" i="8"/>
  <c r="BU150" i="8" s="1"/>
  <c r="CC150" i="8" s="1"/>
  <c r="AO150" i="8"/>
  <c r="AP150" i="8"/>
  <c r="AQ150" i="8"/>
  <c r="AR150" i="8"/>
  <c r="BV150" i="8" s="1"/>
  <c r="CD150" i="8" s="1"/>
  <c r="AS150" i="8"/>
  <c r="AT150" i="8"/>
  <c r="AU150" i="8"/>
  <c r="AV150" i="8"/>
  <c r="AW150" i="8"/>
  <c r="AX150" i="8"/>
  <c r="AY150" i="8"/>
  <c r="AZ150" i="8"/>
  <c r="BI150" i="8" s="1"/>
  <c r="BQ150" i="8" s="1"/>
  <c r="BA150" i="8"/>
  <c r="AD151" i="8"/>
  <c r="AE151" i="8"/>
  <c r="AF151" i="8"/>
  <c r="BR151" i="8" s="1"/>
  <c r="BZ151" i="8" s="1"/>
  <c r="H151" i="8"/>
  <c r="AG151" i="8"/>
  <c r="AH151" i="8"/>
  <c r="AI151" i="8"/>
  <c r="AJ151" i="8"/>
  <c r="AK151" i="8"/>
  <c r="AL151" i="8"/>
  <c r="AM151" i="8"/>
  <c r="BU151" i="8" s="1"/>
  <c r="CC151" i="8" s="1"/>
  <c r="AN151" i="8"/>
  <c r="AO151" i="8"/>
  <c r="AP151" i="8"/>
  <c r="AQ151" i="8"/>
  <c r="BV151" i="8" s="1"/>
  <c r="CD151" i="8" s="1"/>
  <c r="AR151" i="8"/>
  <c r="AS151" i="8"/>
  <c r="AT151" i="8"/>
  <c r="AU151" i="8"/>
  <c r="BY151" i="8" s="1"/>
  <c r="CG151" i="8" s="1"/>
  <c r="AV151" i="8"/>
  <c r="AW151" i="8"/>
  <c r="AX151" i="8"/>
  <c r="AY151" i="8"/>
  <c r="AZ151" i="8"/>
  <c r="BA151" i="8"/>
  <c r="AD152" i="8"/>
  <c r="AE152" i="8"/>
  <c r="BB152" i="8" s="1"/>
  <c r="BJ152" i="8" s="1"/>
  <c r="AF152" i="8"/>
  <c r="H152" i="8"/>
  <c r="AG152" i="8"/>
  <c r="AH152" i="8"/>
  <c r="BS152" i="8" s="1"/>
  <c r="CA152" i="8" s="1"/>
  <c r="AI152" i="8"/>
  <c r="AJ152" i="8"/>
  <c r="AK152" i="8"/>
  <c r="AL152" i="8"/>
  <c r="BD152" i="8" s="1"/>
  <c r="BL152" i="8" s="1"/>
  <c r="AM152" i="8"/>
  <c r="AN152" i="8"/>
  <c r="AO152" i="8"/>
  <c r="AP152" i="8"/>
  <c r="BV152" i="8" s="1"/>
  <c r="CD152" i="8" s="1"/>
  <c r="AQ152" i="8"/>
  <c r="AR152" i="8"/>
  <c r="AS152" i="8"/>
  <c r="AT152" i="8"/>
  <c r="AU152" i="8"/>
  <c r="AV152" i="8"/>
  <c r="AW152" i="8"/>
  <c r="AX152" i="8"/>
  <c r="AY152" i="8"/>
  <c r="AZ152" i="8"/>
  <c r="BA152" i="8"/>
  <c r="AD153" i="8"/>
  <c r="BR153" i="8" s="1"/>
  <c r="BZ153" i="8" s="1"/>
  <c r="AE153" i="8"/>
  <c r="AF153" i="8"/>
  <c r="H153" i="8"/>
  <c r="AG153" i="8"/>
  <c r="BS153" i="8" s="1"/>
  <c r="CA153" i="8" s="1"/>
  <c r="AH153" i="8"/>
  <c r="AI153" i="8"/>
  <c r="AJ153" i="8"/>
  <c r="AK153" i="8"/>
  <c r="BT153" i="8" s="1"/>
  <c r="CB153" i="8" s="1"/>
  <c r="AL153" i="8"/>
  <c r="AM153" i="8"/>
  <c r="AN153" i="8"/>
  <c r="AO153" i="8"/>
  <c r="BE153" i="8" s="1"/>
  <c r="BM153" i="8" s="1"/>
  <c r="AP153" i="8"/>
  <c r="AQ153" i="8"/>
  <c r="AR153" i="8"/>
  <c r="AS153" i="8"/>
  <c r="AT153" i="8"/>
  <c r="AU153" i="8"/>
  <c r="AV153" i="8"/>
  <c r="AW153" i="8"/>
  <c r="AX153" i="8"/>
  <c r="AY153" i="8"/>
  <c r="AZ153" i="8"/>
  <c r="BA153" i="8"/>
  <c r="AD154" i="8"/>
  <c r="AE154" i="8"/>
  <c r="AF154" i="8"/>
  <c r="H154" i="8"/>
  <c r="AG154" i="8"/>
  <c r="AH154" i="8"/>
  <c r="AI154" i="8"/>
  <c r="AJ154" i="8"/>
  <c r="BD154" i="8" s="1"/>
  <c r="BL154" i="8" s="1"/>
  <c r="AK154" i="8"/>
  <c r="AL154" i="8"/>
  <c r="AM154" i="8"/>
  <c r="AN154" i="8"/>
  <c r="BU154" i="8" s="1"/>
  <c r="CC154" i="8" s="1"/>
  <c r="AO154" i="8"/>
  <c r="AP154" i="8"/>
  <c r="AQ154" i="8"/>
  <c r="AR154" i="8"/>
  <c r="AS154" i="8"/>
  <c r="AT154" i="8"/>
  <c r="AU154" i="8"/>
  <c r="AV154" i="8"/>
  <c r="BX154" i="8" s="1"/>
  <c r="CF154" i="8" s="1"/>
  <c r="AW154" i="8"/>
  <c r="AX154" i="8"/>
  <c r="AY154" i="8"/>
  <c r="AZ154" i="8"/>
  <c r="BI154" i="8" s="1"/>
  <c r="BQ154" i="8" s="1"/>
  <c r="BA154" i="8"/>
  <c r="AD155" i="8"/>
  <c r="AE155" i="8"/>
  <c r="AF155" i="8"/>
  <c r="H155" i="8"/>
  <c r="AG155" i="8"/>
  <c r="AH155" i="8"/>
  <c r="AI155" i="8"/>
  <c r="BC155" i="8" s="1"/>
  <c r="BK155" i="8" s="1"/>
  <c r="AJ155" i="8"/>
  <c r="AK155" i="8"/>
  <c r="AL155" i="8"/>
  <c r="AM155" i="8"/>
  <c r="AN155" i="8"/>
  <c r="AO155" i="8"/>
  <c r="AP155" i="8"/>
  <c r="AQ155" i="8"/>
  <c r="BV155" i="8" s="1"/>
  <c r="CD155" i="8" s="1"/>
  <c r="AR155" i="8"/>
  <c r="AS155" i="8"/>
  <c r="AT155" i="8"/>
  <c r="AU155" i="8"/>
  <c r="BW155" i="8" s="1"/>
  <c r="CE155" i="8" s="1"/>
  <c r="AV155" i="8"/>
  <c r="AW155" i="8"/>
  <c r="AX155" i="8"/>
  <c r="AY155" i="8"/>
  <c r="BI155" i="8" s="1"/>
  <c r="BQ155" i="8" s="1"/>
  <c r="AZ155" i="8"/>
  <c r="BA155" i="8"/>
  <c r="AD156" i="8"/>
  <c r="AE156" i="8"/>
  <c r="BR156" i="8" s="1"/>
  <c r="BZ156" i="8" s="1"/>
  <c r="AF156" i="8"/>
  <c r="H156" i="8"/>
  <c r="AG156" i="8"/>
  <c r="AH156" i="8"/>
  <c r="BS156" i="8" s="1"/>
  <c r="CA156" i="8" s="1"/>
  <c r="AI156" i="8"/>
  <c r="AJ156" i="8"/>
  <c r="AK156" i="8"/>
  <c r="AL156" i="8"/>
  <c r="AM156" i="8"/>
  <c r="AN156" i="8"/>
  <c r="AO156" i="8"/>
  <c r="AP156" i="8"/>
  <c r="AQ156" i="8"/>
  <c r="AR156" i="8"/>
  <c r="AS156" i="8"/>
  <c r="AT156" i="8"/>
  <c r="BG156" i="8" s="1"/>
  <c r="BO156" i="8" s="1"/>
  <c r="AU156" i="8"/>
  <c r="AV156" i="8"/>
  <c r="AW156" i="8"/>
  <c r="AX156" i="8"/>
  <c r="BH156" i="8" s="1"/>
  <c r="BP156" i="8" s="1"/>
  <c r="AY156" i="8"/>
  <c r="AZ156" i="8"/>
  <c r="BA156" i="8"/>
  <c r="AD157" i="8"/>
  <c r="AE157" i="8"/>
  <c r="AF157" i="8"/>
  <c r="H157" i="8"/>
  <c r="AG157" i="8"/>
  <c r="BS157" i="8" s="1"/>
  <c r="CA157" i="8" s="1"/>
  <c r="AH157" i="8"/>
  <c r="AI157" i="8"/>
  <c r="AJ157" i="8"/>
  <c r="AK157" i="8"/>
  <c r="AL157" i="8"/>
  <c r="AM157" i="8"/>
  <c r="AN157" i="8"/>
  <c r="AO157" i="8"/>
  <c r="BE157" i="8" s="1"/>
  <c r="BM157" i="8" s="1"/>
  <c r="AP157" i="8"/>
  <c r="AQ157" i="8"/>
  <c r="AR157" i="8"/>
  <c r="AS157" i="8"/>
  <c r="BG157" i="8" s="1"/>
  <c r="BO157" i="8" s="1"/>
  <c r="AT157" i="8"/>
  <c r="AU157" i="8"/>
  <c r="AV157" i="8"/>
  <c r="AW157" i="8"/>
  <c r="BY157" i="8" s="1"/>
  <c r="CG157" i="8" s="1"/>
  <c r="AX157" i="8"/>
  <c r="AY157" i="8"/>
  <c r="AZ157" i="8"/>
  <c r="BA157" i="8"/>
  <c r="AD158" i="8"/>
  <c r="AE158" i="8"/>
  <c r="AF158" i="8"/>
  <c r="H158" i="8"/>
  <c r="BJ158" i="8" s="1"/>
  <c r="AG158" i="8"/>
  <c r="AH158" i="8"/>
  <c r="AI158" i="8"/>
  <c r="AJ158" i="8"/>
  <c r="AK158" i="8"/>
  <c r="AL158" i="8"/>
  <c r="AM158" i="8"/>
  <c r="AN158" i="8"/>
  <c r="BU158" i="8" s="1"/>
  <c r="CC158" i="8" s="1"/>
  <c r="AO158" i="8"/>
  <c r="AP158" i="8"/>
  <c r="AQ158" i="8"/>
  <c r="AR158" i="8"/>
  <c r="AS158" i="8"/>
  <c r="AT158" i="8"/>
  <c r="AU158" i="8"/>
  <c r="AV158" i="8"/>
  <c r="BX158" i="8" s="1"/>
  <c r="CF158" i="8" s="1"/>
  <c r="AW158" i="8"/>
  <c r="AX158" i="8"/>
  <c r="AY158" i="8"/>
  <c r="AZ158" i="8"/>
  <c r="BI158" i="8" s="1"/>
  <c r="BQ158" i="8" s="1"/>
  <c r="BA158" i="8"/>
  <c r="AD159" i="8"/>
  <c r="AE159" i="8"/>
  <c r="AF159" i="8"/>
  <c r="BR159" i="8" s="1"/>
  <c r="BZ159" i="8" s="1"/>
  <c r="H159" i="8"/>
  <c r="AG159" i="8"/>
  <c r="AH159" i="8"/>
  <c r="AI159" i="8"/>
  <c r="AJ159" i="8"/>
  <c r="AK159" i="8"/>
  <c r="AL159" i="8"/>
  <c r="AM159" i="8"/>
  <c r="BE159" i="8" s="1"/>
  <c r="BM159" i="8" s="1"/>
  <c r="AN159" i="8"/>
  <c r="AO159" i="8"/>
  <c r="AP159" i="8"/>
  <c r="AQ159" i="8"/>
  <c r="BV159" i="8" s="1"/>
  <c r="CD159" i="8" s="1"/>
  <c r="AR159" i="8"/>
  <c r="AS159" i="8"/>
  <c r="AT159" i="8"/>
  <c r="AU159" i="8"/>
  <c r="BG159" i="8" s="1"/>
  <c r="BO159" i="8" s="1"/>
  <c r="AV159" i="8"/>
  <c r="AW159" i="8"/>
  <c r="AX159" i="8"/>
  <c r="AY159" i="8"/>
  <c r="BI159" i="8" s="1"/>
  <c r="BQ159" i="8" s="1"/>
  <c r="AZ159" i="8"/>
  <c r="BA159" i="8"/>
  <c r="AD160" i="8"/>
  <c r="AE160" i="8"/>
  <c r="BR160" i="8" s="1"/>
  <c r="BZ160" i="8" s="1"/>
  <c r="AF160" i="8"/>
  <c r="H160" i="8"/>
  <c r="AG160" i="8"/>
  <c r="AH160" i="8"/>
  <c r="BS160" i="8" s="1"/>
  <c r="CA160" i="8" s="1"/>
  <c r="AI160" i="8"/>
  <c r="AJ160" i="8"/>
  <c r="AK160" i="8"/>
  <c r="AL160" i="8"/>
  <c r="BT160" i="8" s="1"/>
  <c r="CB160" i="8" s="1"/>
  <c r="AM160" i="8"/>
  <c r="AN160" i="8"/>
  <c r="AO160" i="8"/>
  <c r="AP160" i="8"/>
  <c r="AQ160" i="8"/>
  <c r="AR160" i="8"/>
  <c r="AS160" i="8"/>
  <c r="AT160" i="8"/>
  <c r="AU160" i="8"/>
  <c r="AV160" i="8"/>
  <c r="AW160" i="8"/>
  <c r="AX160" i="8"/>
  <c r="BH160" i="8" s="1"/>
  <c r="BP160" i="8" s="1"/>
  <c r="AY160" i="8"/>
  <c r="AZ160" i="8"/>
  <c r="BA160" i="8"/>
  <c r="AD161" i="8"/>
  <c r="BR161" i="8" s="1"/>
  <c r="BZ161" i="8" s="1"/>
  <c r="AE161" i="8"/>
  <c r="AF161" i="8"/>
  <c r="H161" i="8"/>
  <c r="AG161" i="8"/>
  <c r="BC161" i="8" s="1"/>
  <c r="BK161" i="8" s="1"/>
  <c r="AH161" i="8"/>
  <c r="AI161" i="8"/>
  <c r="AJ161" i="8"/>
  <c r="AK161" i="8"/>
  <c r="BT161" i="8" s="1"/>
  <c r="CB161" i="8" s="1"/>
  <c r="AL161" i="8"/>
  <c r="AM161" i="8"/>
  <c r="AN161" i="8"/>
  <c r="AO161" i="8"/>
  <c r="BE161" i="8" s="1"/>
  <c r="BM161" i="8" s="1"/>
  <c r="AP161" i="8"/>
  <c r="AQ161" i="8"/>
  <c r="AR161" i="8"/>
  <c r="AS161" i="8"/>
  <c r="BW161" i="8" s="1"/>
  <c r="CE161" i="8" s="1"/>
  <c r="AT161" i="8"/>
  <c r="AU161" i="8"/>
  <c r="AV161" i="8"/>
  <c r="AW161" i="8"/>
  <c r="BY161" i="8" s="1"/>
  <c r="CG161" i="8" s="1"/>
  <c r="AX161" i="8"/>
  <c r="AY161" i="8"/>
  <c r="AZ161" i="8"/>
  <c r="BA161" i="8"/>
  <c r="AD162" i="8"/>
  <c r="AE162" i="8"/>
  <c r="AF162" i="8"/>
  <c r="H162" i="8"/>
  <c r="AG162" i="8"/>
  <c r="AH162" i="8"/>
  <c r="AI162" i="8"/>
  <c r="AJ162" i="8"/>
  <c r="AK162" i="8"/>
  <c r="AL162" i="8"/>
  <c r="AM162" i="8"/>
  <c r="AN162" i="8"/>
  <c r="BU162" i="8" s="1"/>
  <c r="CC162" i="8" s="1"/>
  <c r="AO162" i="8"/>
  <c r="AP162" i="8"/>
  <c r="AQ162" i="8"/>
  <c r="AR162" i="8"/>
  <c r="AS162" i="8"/>
  <c r="AT162" i="8"/>
  <c r="AU162" i="8"/>
  <c r="AV162" i="8"/>
  <c r="AW162" i="8"/>
  <c r="AX162" i="8"/>
  <c r="AY162" i="8"/>
  <c r="AZ162" i="8"/>
  <c r="BI162" i="8" s="1"/>
  <c r="BQ162" i="8" s="1"/>
  <c r="BA162" i="8"/>
  <c r="AD163" i="8"/>
  <c r="AE163" i="8"/>
  <c r="AF163" i="8"/>
  <c r="H163" i="8"/>
  <c r="AG163" i="8"/>
  <c r="AH163" i="8"/>
  <c r="AI163" i="8"/>
  <c r="AJ163" i="8"/>
  <c r="AK163" i="8"/>
  <c r="AL163" i="8"/>
  <c r="AM163" i="8"/>
  <c r="AN163" i="8"/>
  <c r="AO163" i="8"/>
  <c r="AP163" i="8"/>
  <c r="AQ163" i="8"/>
  <c r="BV163" i="8" s="1"/>
  <c r="CD163" i="8" s="1"/>
  <c r="AR163" i="8"/>
  <c r="AS163" i="8"/>
  <c r="AT163" i="8"/>
  <c r="AU163" i="8"/>
  <c r="AV163" i="8"/>
  <c r="AW163" i="8"/>
  <c r="AX163" i="8"/>
  <c r="AY163" i="8"/>
  <c r="BI163" i="8" s="1"/>
  <c r="BQ163" i="8" s="1"/>
  <c r="AZ163" i="8"/>
  <c r="BA163" i="8"/>
  <c r="AD164" i="8"/>
  <c r="AE164" i="8"/>
  <c r="BR164" i="8" s="1"/>
  <c r="BZ164" i="8" s="1"/>
  <c r="AF164" i="8"/>
  <c r="H164" i="8"/>
  <c r="AG164" i="8"/>
  <c r="AH164" i="8"/>
  <c r="BS164" i="8" s="1"/>
  <c r="CA164" i="8" s="1"/>
  <c r="AI164" i="8"/>
  <c r="AJ164" i="8"/>
  <c r="AK164" i="8"/>
  <c r="AL164" i="8"/>
  <c r="BT164" i="8" s="1"/>
  <c r="CB164" i="8" s="1"/>
  <c r="AM164" i="8"/>
  <c r="AN164" i="8"/>
  <c r="AO164" i="8"/>
  <c r="AP164" i="8"/>
  <c r="AQ164" i="8"/>
  <c r="AR164" i="8"/>
  <c r="AS164" i="8"/>
  <c r="AT164" i="8"/>
  <c r="AU164" i="8"/>
  <c r="AV164" i="8"/>
  <c r="AW164" i="8"/>
  <c r="AX164" i="8"/>
  <c r="BH164" i="8" s="1"/>
  <c r="BP164" i="8" s="1"/>
  <c r="AY164" i="8"/>
  <c r="AZ164" i="8"/>
  <c r="BA164" i="8"/>
  <c r="AD165" i="8"/>
  <c r="BR165" i="8" s="1"/>
  <c r="BZ165" i="8" s="1"/>
  <c r="AE165" i="8"/>
  <c r="AF165" i="8"/>
  <c r="H165" i="8"/>
  <c r="AG165" i="8"/>
  <c r="AH165" i="8"/>
  <c r="AI165" i="8"/>
  <c r="AJ165" i="8"/>
  <c r="AK165" i="8"/>
  <c r="BT165" i="8" s="1"/>
  <c r="CB165" i="8" s="1"/>
  <c r="AL165" i="8"/>
  <c r="AM165" i="8"/>
  <c r="AN165" i="8"/>
  <c r="AO165" i="8"/>
  <c r="BE165" i="8" s="1"/>
  <c r="BM165" i="8" s="1"/>
  <c r="AP165" i="8"/>
  <c r="AQ165" i="8"/>
  <c r="AR165" i="8"/>
  <c r="AS165" i="8"/>
  <c r="BW165" i="8" s="1"/>
  <c r="CE165" i="8" s="1"/>
  <c r="AT165" i="8"/>
  <c r="AU165" i="8"/>
  <c r="AV165" i="8"/>
  <c r="AW165" i="8"/>
  <c r="BY165" i="8" s="1"/>
  <c r="CG165" i="8" s="1"/>
  <c r="AX165" i="8"/>
  <c r="AY165" i="8"/>
  <c r="AZ165" i="8"/>
  <c r="BA165" i="8"/>
  <c r="AD166" i="8"/>
  <c r="AE166" i="8"/>
  <c r="AF166" i="8"/>
  <c r="H166" i="8"/>
  <c r="AG166" i="8"/>
  <c r="AH166" i="8"/>
  <c r="AI166" i="8"/>
  <c r="AJ166" i="8"/>
  <c r="AK166" i="8"/>
  <c r="AL166" i="8"/>
  <c r="AM166" i="8"/>
  <c r="AN166" i="8"/>
  <c r="BU166" i="8" s="1"/>
  <c r="CC166" i="8" s="1"/>
  <c r="AO166" i="8"/>
  <c r="AP166" i="8"/>
  <c r="AQ166" i="8"/>
  <c r="AR166" i="8"/>
  <c r="AS166" i="8"/>
  <c r="AT166" i="8"/>
  <c r="AU166" i="8"/>
  <c r="AV166" i="8"/>
  <c r="AW166" i="8"/>
  <c r="AX166" i="8"/>
  <c r="AY166" i="8"/>
  <c r="AZ166" i="8"/>
  <c r="BI166" i="8" s="1"/>
  <c r="BQ166" i="8" s="1"/>
  <c r="BA166" i="8"/>
  <c r="AD167" i="8"/>
  <c r="AE167" i="8"/>
  <c r="AF167" i="8"/>
  <c r="H167" i="8"/>
  <c r="AG167" i="8"/>
  <c r="AH167" i="8"/>
  <c r="AI167" i="8"/>
  <c r="AJ167" i="8"/>
  <c r="AK167" i="8"/>
  <c r="AL167" i="8"/>
  <c r="AM167" i="8"/>
  <c r="AN167" i="8"/>
  <c r="AO167" i="8"/>
  <c r="AP167" i="8"/>
  <c r="AQ167" i="8"/>
  <c r="BF167" i="8" s="1"/>
  <c r="BN167" i="8" s="1"/>
  <c r="AR167" i="8"/>
  <c r="AS167" i="8"/>
  <c r="AT167" i="8"/>
  <c r="AU167" i="8"/>
  <c r="AV167" i="8"/>
  <c r="AW167" i="8"/>
  <c r="AX167" i="8"/>
  <c r="AY167" i="8"/>
  <c r="BI167" i="8" s="1"/>
  <c r="BQ167" i="8" s="1"/>
  <c r="AZ167" i="8"/>
  <c r="BA167" i="8"/>
  <c r="AD168" i="8"/>
  <c r="AE168" i="8"/>
  <c r="BR168" i="8" s="1"/>
  <c r="BZ168" i="8" s="1"/>
  <c r="AF168" i="8"/>
  <c r="H168" i="8"/>
  <c r="AG168" i="8"/>
  <c r="AH168" i="8"/>
  <c r="BS168" i="8" s="1"/>
  <c r="CA168" i="8" s="1"/>
  <c r="AI168" i="8"/>
  <c r="AJ168" i="8"/>
  <c r="AK168" i="8"/>
  <c r="AL168" i="8"/>
  <c r="BT168" i="8" s="1"/>
  <c r="CB168" i="8" s="1"/>
  <c r="AM168" i="8"/>
  <c r="AN168" i="8"/>
  <c r="AO168" i="8"/>
  <c r="AP168" i="8"/>
  <c r="BV168" i="8" s="1"/>
  <c r="CD168" i="8" s="1"/>
  <c r="AQ168" i="8"/>
  <c r="AR168" i="8"/>
  <c r="AS168" i="8"/>
  <c r="AT168" i="8"/>
  <c r="BW168" i="8" s="1"/>
  <c r="CE168" i="8" s="1"/>
  <c r="AU168" i="8"/>
  <c r="AV168" i="8"/>
  <c r="AW168" i="8"/>
  <c r="AX168" i="8"/>
  <c r="BH168" i="8" s="1"/>
  <c r="BP168" i="8" s="1"/>
  <c r="AY168" i="8"/>
  <c r="AZ168" i="8"/>
  <c r="BA168" i="8"/>
  <c r="AD169" i="8"/>
  <c r="BR169" i="8" s="1"/>
  <c r="BZ169" i="8" s="1"/>
  <c r="AE169" i="8"/>
  <c r="AF169" i="8"/>
  <c r="H169" i="8"/>
  <c r="AG169" i="8"/>
  <c r="AH169" i="8"/>
  <c r="AI169" i="8"/>
  <c r="AJ169" i="8"/>
  <c r="AK169" i="8"/>
  <c r="AL169" i="8"/>
  <c r="AM169" i="8"/>
  <c r="AN169" i="8"/>
  <c r="AO169" i="8"/>
  <c r="AP169" i="8"/>
  <c r="AQ169" i="8"/>
  <c r="AR169" i="8"/>
  <c r="AS169" i="8"/>
  <c r="AT169" i="8"/>
  <c r="AU169" i="8"/>
  <c r="AV169" i="8"/>
  <c r="AW169" i="8"/>
  <c r="BY169" i="8" s="1"/>
  <c r="CG169" i="8" s="1"/>
  <c r="AX169" i="8"/>
  <c r="AY169" i="8"/>
  <c r="AZ169" i="8"/>
  <c r="BA169" i="8"/>
  <c r="AD170" i="8"/>
  <c r="AE170" i="8"/>
  <c r="AF170" i="8"/>
  <c r="H170" i="8"/>
  <c r="BJ170" i="8" s="1"/>
  <c r="AG170" i="8"/>
  <c r="AH170" i="8"/>
  <c r="AI170" i="8"/>
  <c r="AJ170" i="8"/>
  <c r="BT170" i="8" s="1"/>
  <c r="CB170" i="8" s="1"/>
  <c r="AK170" i="8"/>
  <c r="AL170" i="8"/>
  <c r="AM170" i="8"/>
  <c r="AN170" i="8"/>
  <c r="BU170" i="8" s="1"/>
  <c r="CC170" i="8" s="1"/>
  <c r="AO170" i="8"/>
  <c r="AP170" i="8"/>
  <c r="AQ170" i="8"/>
  <c r="AR170" i="8"/>
  <c r="AS170" i="8"/>
  <c r="AT170" i="8"/>
  <c r="AU170" i="8"/>
  <c r="AV170" i="8"/>
  <c r="AW170" i="8"/>
  <c r="AX170" i="8"/>
  <c r="AY170" i="8"/>
  <c r="AZ170" i="8"/>
  <c r="BI170" i="8" s="1"/>
  <c r="BQ170" i="8" s="1"/>
  <c r="BA170" i="8"/>
  <c r="AD171" i="8"/>
  <c r="AE171" i="8"/>
  <c r="AF171" i="8"/>
  <c r="H171" i="8"/>
  <c r="AG171" i="8"/>
  <c r="AH171" i="8"/>
  <c r="AI171" i="8"/>
  <c r="AJ171" i="8"/>
  <c r="AK171" i="8"/>
  <c r="AL171" i="8"/>
  <c r="AM171" i="8"/>
  <c r="AN171" i="8"/>
  <c r="AO171" i="8"/>
  <c r="AP171" i="8"/>
  <c r="AQ171" i="8"/>
  <c r="AR171" i="8"/>
  <c r="AS171" i="8"/>
  <c r="AT171" i="8"/>
  <c r="AU171" i="8"/>
  <c r="BW171" i="8" s="1"/>
  <c r="CE171" i="8" s="1"/>
  <c r="AV171" i="8"/>
  <c r="AW171" i="8"/>
  <c r="AX171" i="8"/>
  <c r="AY171" i="8"/>
  <c r="BI171" i="8" s="1"/>
  <c r="BQ171" i="8" s="1"/>
  <c r="AZ171" i="8"/>
  <c r="BA171" i="8"/>
  <c r="AD172" i="8"/>
  <c r="AE172" i="8"/>
  <c r="BR172" i="8" s="1"/>
  <c r="BZ172" i="8" s="1"/>
  <c r="AF172" i="8"/>
  <c r="H172" i="8"/>
  <c r="AG172" i="8"/>
  <c r="AH172" i="8"/>
  <c r="BS172" i="8" s="1"/>
  <c r="CA172" i="8" s="1"/>
  <c r="AI172" i="8"/>
  <c r="AJ172" i="8"/>
  <c r="AK172" i="8"/>
  <c r="AL172" i="8"/>
  <c r="BT172" i="8" s="1"/>
  <c r="CB172" i="8" s="1"/>
  <c r="AM172" i="8"/>
  <c r="AN172" i="8"/>
  <c r="AO172" i="8"/>
  <c r="AP172" i="8"/>
  <c r="BV172" i="8" s="1"/>
  <c r="CD172" i="8" s="1"/>
  <c r="AQ172" i="8"/>
  <c r="AR172" i="8"/>
  <c r="AS172" i="8"/>
  <c r="AT172" i="8"/>
  <c r="BW172" i="8" s="1"/>
  <c r="CE172" i="8" s="1"/>
  <c r="AU172" i="8"/>
  <c r="AV172" i="8"/>
  <c r="AW172" i="8"/>
  <c r="AX172" i="8"/>
  <c r="BH172" i="8" s="1"/>
  <c r="BP172" i="8" s="1"/>
  <c r="AY172" i="8"/>
  <c r="AZ172" i="8"/>
  <c r="BA172" i="8"/>
  <c r="AD173" i="8"/>
  <c r="BR173" i="8" s="1"/>
  <c r="BZ173" i="8" s="1"/>
  <c r="AE173" i="8"/>
  <c r="AF173" i="8"/>
  <c r="H173" i="8"/>
  <c r="AG173" i="8"/>
  <c r="BC173" i="8" s="1"/>
  <c r="BK173" i="8" s="1"/>
  <c r="AH173" i="8"/>
  <c r="AI173" i="8"/>
  <c r="AJ173" i="8"/>
  <c r="AK173" i="8"/>
  <c r="AL173" i="8"/>
  <c r="AM173" i="8"/>
  <c r="AN173" i="8"/>
  <c r="AO173" i="8"/>
  <c r="AP173" i="8"/>
  <c r="AQ173" i="8"/>
  <c r="AR173" i="8"/>
  <c r="AS173" i="8"/>
  <c r="AT173" i="8"/>
  <c r="AU173" i="8"/>
  <c r="AV173" i="8"/>
  <c r="AW173" i="8"/>
  <c r="BY173" i="8" s="1"/>
  <c r="CG173" i="8" s="1"/>
  <c r="AX173" i="8"/>
  <c r="AY173" i="8"/>
  <c r="AZ173" i="8"/>
  <c r="BA173" i="8"/>
  <c r="AD174" i="8"/>
  <c r="AE174" i="8"/>
  <c r="AF174" i="8"/>
  <c r="H174" i="8"/>
  <c r="AG174" i="8"/>
  <c r="AH174" i="8"/>
  <c r="AI174" i="8"/>
  <c r="AJ174" i="8"/>
  <c r="AK174" i="8"/>
  <c r="AL174" i="8"/>
  <c r="AM174" i="8"/>
  <c r="AN174" i="8"/>
  <c r="BU174" i="8" s="1"/>
  <c r="CC174" i="8" s="1"/>
  <c r="AO174" i="8"/>
  <c r="AP174" i="8"/>
  <c r="AQ174" i="8"/>
  <c r="AR174" i="8"/>
  <c r="BF174" i="8" s="1"/>
  <c r="BN174" i="8" s="1"/>
  <c r="AS174" i="8"/>
  <c r="AT174" i="8"/>
  <c r="AU174" i="8"/>
  <c r="AV174" i="8"/>
  <c r="BY174" i="8" s="1"/>
  <c r="CG174" i="8" s="1"/>
  <c r="AW174" i="8"/>
  <c r="AX174" i="8"/>
  <c r="AY174" i="8"/>
  <c r="AZ174" i="8"/>
  <c r="BI174" i="8" s="1"/>
  <c r="BQ174" i="8" s="1"/>
  <c r="BA174" i="8"/>
  <c r="AD175" i="8"/>
  <c r="AE175" i="8"/>
  <c r="AF175" i="8"/>
  <c r="BB175" i="8" s="1"/>
  <c r="BJ175" i="8" s="1"/>
  <c r="H175" i="8"/>
  <c r="AG175" i="8"/>
  <c r="AH175" i="8"/>
  <c r="AI175" i="8"/>
  <c r="BC175" i="8" s="1"/>
  <c r="BK175" i="8" s="1"/>
  <c r="AJ175" i="8"/>
  <c r="AK175" i="8"/>
  <c r="AL175" i="8"/>
  <c r="AM175" i="8"/>
  <c r="AN175" i="8"/>
  <c r="AO175" i="8"/>
  <c r="AP175" i="8"/>
  <c r="AQ175" i="8"/>
  <c r="AR175" i="8"/>
  <c r="AS175" i="8"/>
  <c r="AT175" i="8"/>
  <c r="AU175" i="8"/>
  <c r="AV175" i="8"/>
  <c r="AW175" i="8"/>
  <c r="AX175" i="8"/>
  <c r="AY175" i="8"/>
  <c r="BI175" i="8" s="1"/>
  <c r="BQ175" i="8" s="1"/>
  <c r="AZ175" i="8"/>
  <c r="BA175" i="8"/>
  <c r="AD176" i="8"/>
  <c r="AE176" i="8"/>
  <c r="AF176" i="8"/>
  <c r="H176" i="8"/>
  <c r="AG176" i="8"/>
  <c r="AH176" i="8"/>
  <c r="AI176" i="8"/>
  <c r="AJ176" i="8"/>
  <c r="AK176" i="8"/>
  <c r="AL176" i="8"/>
  <c r="BT176" i="8" s="1"/>
  <c r="CB176" i="8" s="1"/>
  <c r="AM176" i="8"/>
  <c r="AN176" i="8"/>
  <c r="AO176" i="8"/>
  <c r="AP176" i="8"/>
  <c r="AQ176" i="8"/>
  <c r="AR176" i="8"/>
  <c r="AS176" i="8"/>
  <c r="AT176" i="8"/>
  <c r="BW176" i="8" s="1"/>
  <c r="CE176" i="8" s="1"/>
  <c r="AU176" i="8"/>
  <c r="AV176" i="8"/>
  <c r="AW176" i="8"/>
  <c r="AX176" i="8"/>
  <c r="BH176" i="8" s="1"/>
  <c r="BP176" i="8" s="1"/>
  <c r="AY176" i="8"/>
  <c r="AZ176" i="8"/>
  <c r="BA176" i="8"/>
  <c r="AD177" i="8"/>
  <c r="BR177" i="8" s="1"/>
  <c r="BZ177" i="8" s="1"/>
  <c r="AE177" i="8"/>
  <c r="AF177" i="8"/>
  <c r="H177" i="8"/>
  <c r="AG177" i="8"/>
  <c r="BC177" i="8" s="1"/>
  <c r="BK177" i="8" s="1"/>
  <c r="AH177" i="8"/>
  <c r="AI177" i="8"/>
  <c r="AJ177" i="8"/>
  <c r="AK177" i="8"/>
  <c r="BT177" i="8" s="1"/>
  <c r="CB177" i="8" s="1"/>
  <c r="AL177" i="8"/>
  <c r="AM177" i="8"/>
  <c r="AN177" i="8"/>
  <c r="AO177" i="8"/>
  <c r="AP177" i="8"/>
  <c r="AQ177" i="8"/>
  <c r="AR177" i="8"/>
  <c r="AS177" i="8"/>
  <c r="AT177" i="8"/>
  <c r="AU177" i="8"/>
  <c r="AV177" i="8"/>
  <c r="AW177" i="8"/>
  <c r="AX177" i="8"/>
  <c r="AY177" i="8"/>
  <c r="AZ177" i="8"/>
  <c r="BA177" i="8"/>
  <c r="AD178" i="8"/>
  <c r="AE178" i="8"/>
  <c r="AF178" i="8"/>
  <c r="H178" i="8"/>
  <c r="AG178" i="8"/>
  <c r="AH178" i="8"/>
  <c r="AI178" i="8"/>
  <c r="AJ178" i="8"/>
  <c r="AK178" i="8"/>
  <c r="AL178" i="8"/>
  <c r="AM178" i="8"/>
  <c r="AN178" i="8"/>
  <c r="BU178" i="8" s="1"/>
  <c r="CC178" i="8" s="1"/>
  <c r="AO178" i="8"/>
  <c r="AP178" i="8"/>
  <c r="AQ178" i="8"/>
  <c r="AR178" i="8"/>
  <c r="AS178" i="8"/>
  <c r="AT178" i="8"/>
  <c r="AU178" i="8"/>
  <c r="AV178" i="8"/>
  <c r="BY178" i="8" s="1"/>
  <c r="CG178" i="8" s="1"/>
  <c r="AW178" i="8"/>
  <c r="AX178" i="8"/>
  <c r="AY178" i="8"/>
  <c r="AZ178" i="8"/>
  <c r="BI178" i="8" s="1"/>
  <c r="BQ178" i="8" s="1"/>
  <c r="BA178" i="8"/>
  <c r="AD179" i="8"/>
  <c r="AE179" i="8"/>
  <c r="AF179" i="8"/>
  <c r="BB179" i="8" s="1"/>
  <c r="BJ179" i="8" s="1"/>
  <c r="H179" i="8"/>
  <c r="AG179" i="8"/>
  <c r="AH179" i="8"/>
  <c r="AI179" i="8"/>
  <c r="AJ179" i="8"/>
  <c r="AK179" i="8"/>
  <c r="AL179" i="8"/>
  <c r="AM179" i="8"/>
  <c r="AN179" i="8"/>
  <c r="AO179" i="8"/>
  <c r="AP179" i="8"/>
  <c r="AQ179" i="8"/>
  <c r="BV179" i="8" s="1"/>
  <c r="CD179" i="8" s="1"/>
  <c r="AR179" i="8"/>
  <c r="AS179" i="8"/>
  <c r="AT179" i="8"/>
  <c r="AU179" i="8"/>
  <c r="BW179" i="8" s="1"/>
  <c r="CE179" i="8" s="1"/>
  <c r="AV179" i="8"/>
  <c r="AW179" i="8"/>
  <c r="AX179" i="8"/>
  <c r="AY179" i="8"/>
  <c r="BI179" i="8" s="1"/>
  <c r="BQ179" i="8" s="1"/>
  <c r="AZ179" i="8"/>
  <c r="BA179" i="8"/>
  <c r="AD180" i="8"/>
  <c r="AE180" i="8"/>
  <c r="BR180" i="8" s="1"/>
  <c r="BZ180" i="8" s="1"/>
  <c r="AF180" i="8"/>
  <c r="H180" i="8"/>
  <c r="AG180" i="8"/>
  <c r="AH180" i="8"/>
  <c r="AI180" i="8"/>
  <c r="AJ180" i="8"/>
  <c r="AK180" i="8"/>
  <c r="AL180" i="8"/>
  <c r="BT180" i="8" s="1"/>
  <c r="CB180" i="8" s="1"/>
  <c r="AM180" i="8"/>
  <c r="AN180" i="8"/>
  <c r="AO180" i="8"/>
  <c r="AP180" i="8"/>
  <c r="AQ180" i="8"/>
  <c r="AR180" i="8"/>
  <c r="AS180" i="8"/>
  <c r="AT180" i="8"/>
  <c r="AU180" i="8"/>
  <c r="AV180" i="8"/>
  <c r="AW180" i="8"/>
  <c r="AX180" i="8"/>
  <c r="BH180" i="8" s="1"/>
  <c r="BP180" i="8" s="1"/>
  <c r="AY180" i="8"/>
  <c r="AZ180" i="8"/>
  <c r="BA180" i="8"/>
  <c r="AD181" i="8"/>
  <c r="AE181" i="8"/>
  <c r="AF181" i="8"/>
  <c r="H181" i="8"/>
  <c r="AG181" i="8"/>
  <c r="BC181" i="8" s="1"/>
  <c r="BK181" i="8" s="1"/>
  <c r="AH181" i="8"/>
  <c r="AI181" i="8"/>
  <c r="AJ181" i="8"/>
  <c r="AK181" i="8"/>
  <c r="BT181" i="8" s="1"/>
  <c r="CB181" i="8" s="1"/>
  <c r="AL181" i="8"/>
  <c r="AM181" i="8"/>
  <c r="AN181" i="8"/>
  <c r="AO181" i="8"/>
  <c r="AP181" i="8"/>
  <c r="AQ181" i="8"/>
  <c r="AR181" i="8"/>
  <c r="AS181" i="8"/>
  <c r="AT181" i="8"/>
  <c r="AU181" i="8"/>
  <c r="AV181" i="8"/>
  <c r="AW181" i="8"/>
  <c r="BY181" i="8" s="1"/>
  <c r="CG181" i="8" s="1"/>
  <c r="AX181" i="8"/>
  <c r="AY181" i="8"/>
  <c r="AZ181" i="8"/>
  <c r="BA181" i="8"/>
  <c r="AD182" i="8"/>
  <c r="AE182" i="8"/>
  <c r="AF182" i="8"/>
  <c r="H182" i="8"/>
  <c r="AG182" i="8"/>
  <c r="AH182" i="8"/>
  <c r="AI182" i="8"/>
  <c r="AJ182" i="8"/>
  <c r="BT182" i="8" s="1"/>
  <c r="CB182" i="8" s="1"/>
  <c r="AK182" i="8"/>
  <c r="AL182" i="8"/>
  <c r="AM182" i="8"/>
  <c r="AN182" i="8"/>
  <c r="BU182" i="8" s="1"/>
  <c r="CC182" i="8" s="1"/>
  <c r="AO182" i="8"/>
  <c r="AP182" i="8"/>
  <c r="AQ182" i="8"/>
  <c r="AR182" i="8"/>
  <c r="BF182" i="8" s="1"/>
  <c r="BN182" i="8" s="1"/>
  <c r="AS182" i="8"/>
  <c r="AT182" i="8"/>
  <c r="AU182" i="8"/>
  <c r="AV182" i="8"/>
  <c r="BX182" i="8" s="1"/>
  <c r="CF182" i="8" s="1"/>
  <c r="AW182" i="8"/>
  <c r="AX182" i="8"/>
  <c r="AY182" i="8"/>
  <c r="AZ182" i="8"/>
  <c r="BI182" i="8" s="1"/>
  <c r="BQ182" i="8" s="1"/>
  <c r="BA182" i="8"/>
  <c r="AD183" i="8"/>
  <c r="AE183" i="8"/>
  <c r="AF183" i="8"/>
  <c r="BB183" i="8" s="1"/>
  <c r="BJ183" i="8" s="1"/>
  <c r="H183" i="8"/>
  <c r="AG183" i="8"/>
  <c r="AH183" i="8"/>
  <c r="AI183" i="8"/>
  <c r="BC183" i="8" s="1"/>
  <c r="BK183" i="8" s="1"/>
  <c r="AJ183" i="8"/>
  <c r="AK183" i="8"/>
  <c r="AL183" i="8"/>
  <c r="AM183" i="8"/>
  <c r="BU183" i="8" s="1"/>
  <c r="CC183" i="8" s="1"/>
  <c r="AN183" i="8"/>
  <c r="AO183" i="8"/>
  <c r="AP183" i="8"/>
  <c r="AQ183" i="8"/>
  <c r="BV183" i="8" s="1"/>
  <c r="CD183" i="8" s="1"/>
  <c r="AR183" i="8"/>
  <c r="AS183" i="8"/>
  <c r="AT183" i="8"/>
  <c r="AU183" i="8"/>
  <c r="AV183" i="8"/>
  <c r="AW183" i="8"/>
  <c r="AX183" i="8"/>
  <c r="AY183" i="8"/>
  <c r="BI183" i="8" s="1"/>
  <c r="BQ183" i="8" s="1"/>
  <c r="AZ183" i="8"/>
  <c r="BA183" i="8"/>
  <c r="AD184" i="8"/>
  <c r="AE184" i="8"/>
  <c r="BB184" i="8" s="1"/>
  <c r="BJ184" i="8" s="1"/>
  <c r="AF184" i="8"/>
  <c r="H184" i="8"/>
  <c r="AG184" i="8"/>
  <c r="AH184" i="8"/>
  <c r="BS184" i="8" s="1"/>
  <c r="CA184" i="8" s="1"/>
  <c r="AI184" i="8"/>
  <c r="AJ184" i="8"/>
  <c r="AK184" i="8"/>
  <c r="AL184" i="8"/>
  <c r="BT184" i="8" s="1"/>
  <c r="CB184" i="8" s="1"/>
  <c r="AM184" i="8"/>
  <c r="AN184" i="8"/>
  <c r="AO184" i="8"/>
  <c r="AP184" i="8"/>
  <c r="BF184" i="8" s="1"/>
  <c r="BN184" i="8" s="1"/>
  <c r="AQ184" i="8"/>
  <c r="AR184" i="8"/>
  <c r="AS184" i="8"/>
  <c r="AT184" i="8"/>
  <c r="BW184" i="8" s="1"/>
  <c r="CE184" i="8" s="1"/>
  <c r="AU184" i="8"/>
  <c r="AV184" i="8"/>
  <c r="AW184" i="8"/>
  <c r="AX184" i="8"/>
  <c r="BH184" i="8" s="1"/>
  <c r="BP184" i="8" s="1"/>
  <c r="AY184" i="8"/>
  <c r="AZ184" i="8"/>
  <c r="BA184" i="8"/>
  <c r="AD185" i="8"/>
  <c r="BB185" i="8" s="1"/>
  <c r="BJ185" i="8" s="1"/>
  <c r="AE185" i="8"/>
  <c r="AF185" i="8"/>
  <c r="H185" i="8"/>
  <c r="AG185" i="8"/>
  <c r="AH185" i="8"/>
  <c r="AI185" i="8"/>
  <c r="AJ185" i="8"/>
  <c r="AK185" i="8"/>
  <c r="AL185" i="8"/>
  <c r="AM185" i="8"/>
  <c r="AN185" i="8"/>
  <c r="AO185" i="8"/>
  <c r="AP185" i="8"/>
  <c r="AQ185" i="8"/>
  <c r="AR185" i="8"/>
  <c r="AS185" i="8"/>
  <c r="AT185" i="8"/>
  <c r="AU185" i="8"/>
  <c r="AV185" i="8"/>
  <c r="AW185" i="8"/>
  <c r="BY185" i="8" s="1"/>
  <c r="CG185" i="8" s="1"/>
  <c r="AX185" i="8"/>
  <c r="AY185" i="8"/>
  <c r="AZ185" i="8"/>
  <c r="BA185" i="8"/>
  <c r="AD186" i="8"/>
  <c r="AE186" i="8"/>
  <c r="AF186" i="8"/>
  <c r="H186" i="8"/>
  <c r="AG186" i="8"/>
  <c r="AH186" i="8"/>
  <c r="AI186" i="8"/>
  <c r="AJ186" i="8"/>
  <c r="BD186" i="8" s="1"/>
  <c r="BL186" i="8" s="1"/>
  <c r="AK186" i="8"/>
  <c r="AL186" i="8"/>
  <c r="AM186" i="8"/>
  <c r="AN186" i="8"/>
  <c r="BU186" i="8" s="1"/>
  <c r="CC186" i="8" s="1"/>
  <c r="AO186" i="8"/>
  <c r="AP186" i="8"/>
  <c r="AQ186" i="8"/>
  <c r="AR186" i="8"/>
  <c r="BF186" i="8" s="1"/>
  <c r="BN186" i="8" s="1"/>
  <c r="AS186" i="8"/>
  <c r="AT186" i="8"/>
  <c r="AU186" i="8"/>
  <c r="AV186" i="8"/>
  <c r="BY186" i="8" s="1"/>
  <c r="CG186" i="8" s="1"/>
  <c r="AW186" i="8"/>
  <c r="AX186" i="8"/>
  <c r="AY186" i="8"/>
  <c r="AZ186" i="8"/>
  <c r="BI186" i="8" s="1"/>
  <c r="BQ186" i="8" s="1"/>
  <c r="BA186" i="8"/>
  <c r="AD187" i="8"/>
  <c r="AE187" i="8"/>
  <c r="AF187" i="8"/>
  <c r="BR187" i="8" s="1"/>
  <c r="BZ187" i="8" s="1"/>
  <c r="H187" i="8"/>
  <c r="AG187" i="8"/>
  <c r="AH187" i="8"/>
  <c r="AI187" i="8"/>
  <c r="AJ187" i="8"/>
  <c r="AK187" i="8"/>
  <c r="AL187" i="8"/>
  <c r="AM187" i="8"/>
  <c r="BE187" i="8" s="1"/>
  <c r="BM187" i="8" s="1"/>
  <c r="AN187" i="8"/>
  <c r="AO187" i="8"/>
  <c r="AP187" i="8"/>
  <c r="AQ187" i="8"/>
  <c r="AR187" i="8"/>
  <c r="AS187" i="8"/>
  <c r="AT187" i="8"/>
  <c r="AU187" i="8"/>
  <c r="AV187" i="8"/>
  <c r="AW187" i="8"/>
  <c r="AX187" i="8"/>
  <c r="AY187" i="8"/>
  <c r="BI187" i="8" s="1"/>
  <c r="AZ187" i="8"/>
  <c r="BA187" i="8"/>
  <c r="AD188" i="8"/>
  <c r="AE188" i="8"/>
  <c r="BR188" i="8" s="1"/>
  <c r="BZ188" i="8" s="1"/>
  <c r="AF188" i="8"/>
  <c r="H188" i="8"/>
  <c r="AG188" i="8"/>
  <c r="AH188" i="8"/>
  <c r="BS188" i="8" s="1"/>
  <c r="CA188" i="8" s="1"/>
  <c r="AI188" i="8"/>
  <c r="AJ188" i="8"/>
  <c r="AK188" i="8"/>
  <c r="AL188" i="8"/>
  <c r="BD188" i="8" s="1"/>
  <c r="BL188" i="8" s="1"/>
  <c r="AM188" i="8"/>
  <c r="AN188" i="8"/>
  <c r="AO188" i="8"/>
  <c r="AP188" i="8"/>
  <c r="AQ188" i="8"/>
  <c r="AR188" i="8"/>
  <c r="AS188" i="8"/>
  <c r="AT188" i="8"/>
  <c r="BW188" i="8" s="1"/>
  <c r="CE188" i="8" s="1"/>
  <c r="AU188" i="8"/>
  <c r="AV188" i="8"/>
  <c r="AW188" i="8"/>
  <c r="AX188" i="8"/>
  <c r="BH188" i="8" s="1"/>
  <c r="BP188" i="8" s="1"/>
  <c r="AY188" i="8"/>
  <c r="AZ188" i="8"/>
  <c r="BA188" i="8"/>
  <c r="AD189" i="8"/>
  <c r="BB189" i="8" s="1"/>
  <c r="BJ189" i="8" s="1"/>
  <c r="AE189" i="8"/>
  <c r="AF189" i="8"/>
  <c r="H189" i="8"/>
  <c r="AG189" i="8"/>
  <c r="BC189" i="8" s="1"/>
  <c r="BK189" i="8" s="1"/>
  <c r="AH189" i="8"/>
  <c r="AI189" i="8"/>
  <c r="AJ189" i="8"/>
  <c r="AK189" i="8"/>
  <c r="AL189" i="8"/>
  <c r="AM189" i="8"/>
  <c r="AN189" i="8"/>
  <c r="AO189" i="8"/>
  <c r="AP189" i="8"/>
  <c r="AQ189" i="8"/>
  <c r="AR189" i="8"/>
  <c r="AS189" i="8"/>
  <c r="AT189" i="8"/>
  <c r="AU189" i="8"/>
  <c r="AV189" i="8"/>
  <c r="AW189" i="8"/>
  <c r="BY189" i="8" s="1"/>
  <c r="CG189" i="8" s="1"/>
  <c r="AX189" i="8"/>
  <c r="AY189" i="8"/>
  <c r="AZ189" i="8"/>
  <c r="BA189" i="8"/>
  <c r="BI189" i="8" s="1"/>
  <c r="BQ189" i="8" s="1"/>
  <c r="AD190" i="8"/>
  <c r="AE190" i="8"/>
  <c r="AF190" i="8"/>
  <c r="H190" i="8"/>
  <c r="AG190" i="8"/>
  <c r="AH190" i="8"/>
  <c r="AI190" i="8"/>
  <c r="AJ190" i="8"/>
  <c r="AK190" i="8"/>
  <c r="AL190" i="8"/>
  <c r="AM190" i="8"/>
  <c r="AN190" i="8"/>
  <c r="BU190" i="8" s="1"/>
  <c r="CC190" i="8" s="1"/>
  <c r="AO190" i="8"/>
  <c r="AP190" i="8"/>
  <c r="AQ190" i="8"/>
  <c r="AR190" i="8"/>
  <c r="AS190" i="8"/>
  <c r="AT190" i="8"/>
  <c r="AU190" i="8"/>
  <c r="AV190" i="8"/>
  <c r="AW190" i="8"/>
  <c r="AX190" i="8"/>
  <c r="AY190" i="8"/>
  <c r="AZ190" i="8"/>
  <c r="BA190" i="8"/>
  <c r="AD191" i="8"/>
  <c r="AE191" i="8"/>
  <c r="AF191" i="8"/>
  <c r="BB191" i="8" s="1"/>
  <c r="H191" i="8"/>
  <c r="AG191" i="8"/>
  <c r="AH191" i="8"/>
  <c r="AI191" i="8"/>
  <c r="BS191" i="8" s="1"/>
  <c r="CA191" i="8" s="1"/>
  <c r="AJ191" i="8"/>
  <c r="AK191" i="8"/>
  <c r="AL191" i="8"/>
  <c r="AM191" i="8"/>
  <c r="AN191" i="8"/>
  <c r="AO191" i="8"/>
  <c r="AP191" i="8"/>
  <c r="AQ191" i="8"/>
  <c r="AR191" i="8"/>
  <c r="AS191" i="8"/>
  <c r="AT191" i="8"/>
  <c r="AU191" i="8"/>
  <c r="AV191" i="8"/>
  <c r="AW191" i="8"/>
  <c r="AX191" i="8"/>
  <c r="AY191" i="8"/>
  <c r="AZ191" i="8"/>
  <c r="BA191" i="8"/>
  <c r="AD192" i="8"/>
  <c r="AE192" i="8"/>
  <c r="BR192" i="8" s="1"/>
  <c r="BZ192" i="8" s="1"/>
  <c r="AF192" i="8"/>
  <c r="H192" i="8"/>
  <c r="AG192" i="8"/>
  <c r="AH192" i="8"/>
  <c r="AI192" i="8"/>
  <c r="AJ192" i="8"/>
  <c r="AK192" i="8"/>
  <c r="AL192" i="8"/>
  <c r="AM192" i="8"/>
  <c r="AN192" i="8"/>
  <c r="AO192" i="8"/>
  <c r="AP192" i="8"/>
  <c r="AQ192" i="8"/>
  <c r="AR192" i="8"/>
  <c r="AS192" i="8"/>
  <c r="AT192" i="8"/>
  <c r="BW192" i="8" s="1"/>
  <c r="CE192" i="8" s="1"/>
  <c r="AU192" i="8"/>
  <c r="AV192" i="8"/>
  <c r="AW192" i="8"/>
  <c r="AX192" i="8"/>
  <c r="BH192" i="8" s="1"/>
  <c r="BP192" i="8" s="1"/>
  <c r="AY192" i="8"/>
  <c r="AZ192" i="8"/>
  <c r="BA192" i="8"/>
  <c r="AD193" i="8"/>
  <c r="BR193" i="8" s="1"/>
  <c r="BZ193" i="8" s="1"/>
  <c r="AE193" i="8"/>
  <c r="AF193" i="8"/>
  <c r="H193" i="8"/>
  <c r="AG193" i="8"/>
  <c r="AH193" i="8"/>
  <c r="AI193" i="8"/>
  <c r="AJ193" i="8"/>
  <c r="AK193" i="8"/>
  <c r="BT193" i="8" s="1"/>
  <c r="CB193" i="8" s="1"/>
  <c r="AL193" i="8"/>
  <c r="AM193" i="8"/>
  <c r="AN193" i="8"/>
  <c r="AO193" i="8"/>
  <c r="BU193" i="8" s="1"/>
  <c r="CC193" i="8" s="1"/>
  <c r="AP193" i="8"/>
  <c r="AQ193" i="8"/>
  <c r="AR193" i="8"/>
  <c r="AS193" i="8"/>
  <c r="BW193" i="8" s="1"/>
  <c r="CE193" i="8" s="1"/>
  <c r="AT193" i="8"/>
  <c r="AU193" i="8"/>
  <c r="AV193" i="8"/>
  <c r="AW193" i="8"/>
  <c r="BY193" i="8" s="1"/>
  <c r="CG193" i="8" s="1"/>
  <c r="AX193" i="8"/>
  <c r="AY193" i="8"/>
  <c r="AZ193" i="8"/>
  <c r="BA193" i="8"/>
  <c r="BI193" i="8" s="1"/>
  <c r="BQ193" i="8" s="1"/>
  <c r="AD194" i="8"/>
  <c r="AE194" i="8"/>
  <c r="AF194" i="8"/>
  <c r="H194" i="8"/>
  <c r="AG194" i="8"/>
  <c r="AH194" i="8"/>
  <c r="AI194" i="8"/>
  <c r="AJ194" i="8"/>
  <c r="BT194" i="8" s="1"/>
  <c r="CB194" i="8" s="1"/>
  <c r="AK194" i="8"/>
  <c r="AL194" i="8"/>
  <c r="AM194" i="8"/>
  <c r="AN194" i="8"/>
  <c r="BU194" i="8" s="1"/>
  <c r="CC194" i="8" s="1"/>
  <c r="AO194" i="8"/>
  <c r="AP194" i="8"/>
  <c r="AQ194" i="8"/>
  <c r="AR194" i="8"/>
  <c r="BV194" i="8" s="1"/>
  <c r="CD194" i="8" s="1"/>
  <c r="AS194" i="8"/>
  <c r="AT194" i="8"/>
  <c r="AU194" i="8"/>
  <c r="AV194" i="8"/>
  <c r="AW194" i="8"/>
  <c r="AX194" i="8"/>
  <c r="AY194" i="8"/>
  <c r="AZ194" i="8"/>
  <c r="BA194" i="8"/>
  <c r="AD195" i="8"/>
  <c r="AE195" i="8"/>
  <c r="AF195" i="8"/>
  <c r="H195" i="8"/>
  <c r="AG195" i="8"/>
  <c r="AH195" i="8"/>
  <c r="AI195" i="8"/>
  <c r="AJ195" i="8"/>
  <c r="AK195" i="8"/>
  <c r="AL195" i="8"/>
  <c r="AM195" i="8"/>
  <c r="BE195" i="8" s="1"/>
  <c r="BM195" i="8" s="1"/>
  <c r="AN195" i="8"/>
  <c r="AO195" i="8"/>
  <c r="AP195" i="8"/>
  <c r="AQ195" i="8"/>
  <c r="AR195" i="8"/>
  <c r="AS195" i="8"/>
  <c r="AT195" i="8"/>
  <c r="AU195" i="8"/>
  <c r="BY195" i="8" s="1"/>
  <c r="CG195" i="8" s="1"/>
  <c r="AV195" i="8"/>
  <c r="AW195" i="8"/>
  <c r="AX195" i="8"/>
  <c r="AY195" i="8"/>
  <c r="BI195" i="8" s="1"/>
  <c r="BQ195" i="8" s="1"/>
  <c r="AZ195" i="8"/>
  <c r="BA195" i="8"/>
  <c r="AD196" i="8"/>
  <c r="AE196" i="8"/>
  <c r="BR196" i="8" s="1"/>
  <c r="BZ196" i="8" s="1"/>
  <c r="AF196" i="8"/>
  <c r="H196" i="8"/>
  <c r="AG196" i="8"/>
  <c r="AH196" i="8"/>
  <c r="BS196" i="8" s="1"/>
  <c r="CA196" i="8" s="1"/>
  <c r="AI196" i="8"/>
  <c r="AJ196" i="8"/>
  <c r="AK196" i="8"/>
  <c r="AL196" i="8"/>
  <c r="AM196" i="8"/>
  <c r="AN196" i="8"/>
  <c r="AO196" i="8"/>
  <c r="AP196" i="8"/>
  <c r="BV196" i="8" s="1"/>
  <c r="CD196" i="8" s="1"/>
  <c r="AQ196" i="8"/>
  <c r="AR196" i="8"/>
  <c r="AS196" i="8"/>
  <c r="AT196" i="8"/>
  <c r="AU196" i="8"/>
  <c r="AV196" i="8"/>
  <c r="AW196" i="8"/>
  <c r="AX196" i="8"/>
  <c r="BH196" i="8" s="1"/>
  <c r="BP196" i="8" s="1"/>
  <c r="AY196" i="8"/>
  <c r="AZ196" i="8"/>
  <c r="BA196" i="8"/>
  <c r="AD197" i="8"/>
  <c r="BB197" i="8" s="1"/>
  <c r="BJ197" i="8" s="1"/>
  <c r="AE197" i="8"/>
  <c r="AF197" i="8"/>
  <c r="H197" i="8"/>
  <c r="AG197" i="8"/>
  <c r="AH197" i="8"/>
  <c r="AI197" i="8"/>
  <c r="AJ197" i="8"/>
  <c r="AK197" i="8"/>
  <c r="AL197" i="8"/>
  <c r="AM197" i="8"/>
  <c r="AN197" i="8"/>
  <c r="AO197" i="8"/>
  <c r="BU197" i="8" s="1"/>
  <c r="CC197" i="8" s="1"/>
  <c r="AP197" i="8"/>
  <c r="AQ197" i="8"/>
  <c r="AR197" i="8"/>
  <c r="AS197" i="8"/>
  <c r="BG197" i="8" s="1"/>
  <c r="BO197" i="8" s="1"/>
  <c r="AT197" i="8"/>
  <c r="AU197" i="8"/>
  <c r="AV197" i="8"/>
  <c r="AW197" i="8"/>
  <c r="BY197" i="8" s="1"/>
  <c r="CG197" i="8" s="1"/>
  <c r="AX197" i="8"/>
  <c r="AY197" i="8"/>
  <c r="AZ197" i="8"/>
  <c r="BA197" i="8"/>
  <c r="AD198" i="8"/>
  <c r="AE198" i="8"/>
  <c r="AF198" i="8"/>
  <c r="H198" i="8"/>
  <c r="AG198" i="8"/>
  <c r="AH198" i="8"/>
  <c r="AI198" i="8"/>
  <c r="AJ198" i="8"/>
  <c r="BT198" i="8" s="1"/>
  <c r="CB198" i="8" s="1"/>
  <c r="AK198" i="8"/>
  <c r="AL198" i="8"/>
  <c r="AM198" i="8"/>
  <c r="AN198" i="8"/>
  <c r="AO198" i="8"/>
  <c r="AP198" i="8"/>
  <c r="AQ198" i="8"/>
  <c r="AR198" i="8"/>
  <c r="AS198" i="8"/>
  <c r="AT198" i="8"/>
  <c r="AU198" i="8"/>
  <c r="AV198" i="8"/>
  <c r="AW198" i="8"/>
  <c r="AX198" i="8"/>
  <c r="AY198" i="8"/>
  <c r="AZ198" i="8"/>
  <c r="BA198" i="8"/>
  <c r="AD199" i="8"/>
  <c r="AE199" i="8"/>
  <c r="AF199" i="8"/>
  <c r="H199" i="8"/>
  <c r="AG199" i="8"/>
  <c r="AH199" i="8"/>
  <c r="AI199" i="8"/>
  <c r="BS199" i="8" s="1"/>
  <c r="CA199" i="8" s="1"/>
  <c r="AJ199" i="8"/>
  <c r="AK199" i="8"/>
  <c r="AL199" i="8"/>
  <c r="AM199" i="8"/>
  <c r="BU199" i="8" s="1"/>
  <c r="CC199" i="8" s="1"/>
  <c r="AN199" i="8"/>
  <c r="AO199" i="8"/>
  <c r="AP199" i="8"/>
  <c r="AQ199" i="8"/>
  <c r="BV199" i="8" s="1"/>
  <c r="CD199" i="8" s="1"/>
  <c r="AR199" i="8"/>
  <c r="AS199" i="8"/>
  <c r="AT199" i="8"/>
  <c r="AU199" i="8"/>
  <c r="AV199" i="8"/>
  <c r="AW199" i="8"/>
  <c r="AX199" i="8"/>
  <c r="AY199" i="8"/>
  <c r="BI199" i="8" s="1"/>
  <c r="BQ199" i="8" s="1"/>
  <c r="AZ199" i="8"/>
  <c r="BA199" i="8"/>
  <c r="AD200" i="8"/>
  <c r="AE200" i="8"/>
  <c r="BR200" i="8" s="1"/>
  <c r="BZ200" i="8" s="1"/>
  <c r="AF200" i="8"/>
  <c r="H200" i="8"/>
  <c r="AG200" i="8"/>
  <c r="AH200" i="8"/>
  <c r="BS200" i="8" s="1"/>
  <c r="CA200" i="8" s="1"/>
  <c r="AI200" i="8"/>
  <c r="AJ200" i="8"/>
  <c r="AK200" i="8"/>
  <c r="AL200" i="8"/>
  <c r="BT200" i="8" s="1"/>
  <c r="CB200" i="8" s="1"/>
  <c r="AM200" i="8"/>
  <c r="AN200" i="8"/>
  <c r="AO200" i="8"/>
  <c r="AP200" i="8"/>
  <c r="AQ200" i="8"/>
  <c r="AR200" i="8"/>
  <c r="AS200" i="8"/>
  <c r="AT200" i="8"/>
  <c r="AU200" i="8"/>
  <c r="AV200" i="8"/>
  <c r="AW200" i="8"/>
  <c r="AX200" i="8"/>
  <c r="BH200" i="8" s="1"/>
  <c r="BP200" i="8" s="1"/>
  <c r="AY200" i="8"/>
  <c r="AZ200" i="8"/>
  <c r="BA200" i="8"/>
  <c r="AD201" i="8"/>
  <c r="BB201" i="8" s="1"/>
  <c r="BJ201" i="8" s="1"/>
  <c r="AE201" i="8"/>
  <c r="AF201" i="8"/>
  <c r="H201" i="8"/>
  <c r="AG201" i="8"/>
  <c r="AH201" i="8"/>
  <c r="AI201" i="8"/>
  <c r="AJ201" i="8"/>
  <c r="AK201" i="8"/>
  <c r="BT201" i="8" s="1"/>
  <c r="CB201" i="8" s="1"/>
  <c r="AL201" i="8"/>
  <c r="AM201" i="8"/>
  <c r="AN201" i="8"/>
  <c r="AO201" i="8"/>
  <c r="BU201" i="8" s="1"/>
  <c r="CC201" i="8" s="1"/>
  <c r="AP201" i="8"/>
  <c r="AQ201" i="8"/>
  <c r="AR201" i="8"/>
  <c r="AS201" i="8"/>
  <c r="BW201" i="8" s="1"/>
  <c r="CE201" i="8" s="1"/>
  <c r="AT201" i="8"/>
  <c r="AU201" i="8"/>
  <c r="AV201" i="8"/>
  <c r="AW201" i="8"/>
  <c r="BY201" i="8" s="1"/>
  <c r="CG201" i="8" s="1"/>
  <c r="AX201" i="8"/>
  <c r="AY201" i="8"/>
  <c r="AZ201" i="8"/>
  <c r="BA201" i="8"/>
  <c r="AD202" i="8"/>
  <c r="AE202" i="8"/>
  <c r="AF202" i="8"/>
  <c r="H202" i="8"/>
  <c r="AG202" i="8"/>
  <c r="AH202" i="8"/>
  <c r="AI202" i="8"/>
  <c r="AJ202" i="8"/>
  <c r="AK202" i="8"/>
  <c r="AL202" i="8"/>
  <c r="AM202" i="8"/>
  <c r="AN202" i="8"/>
  <c r="BU202" i="8" s="1"/>
  <c r="CC202" i="8" s="1"/>
  <c r="AO202" i="8"/>
  <c r="AP202" i="8"/>
  <c r="AQ202" i="8"/>
  <c r="AR202" i="8"/>
  <c r="BF202" i="8" s="1"/>
  <c r="BN202" i="8" s="1"/>
  <c r="AS202" i="8"/>
  <c r="AT202" i="8"/>
  <c r="AU202" i="8"/>
  <c r="AV202" i="8"/>
  <c r="AW202" i="8"/>
  <c r="AX202" i="8"/>
  <c r="AY202" i="8"/>
  <c r="AZ202" i="8"/>
  <c r="BA202" i="8"/>
  <c r="AD203" i="8"/>
  <c r="AE203" i="8"/>
  <c r="AF203" i="8"/>
  <c r="BB203" i="8" s="1"/>
  <c r="BJ203" i="8" s="1"/>
  <c r="H203" i="8"/>
  <c r="AG203" i="8"/>
  <c r="AH203" i="8"/>
  <c r="AI203" i="8"/>
  <c r="AJ203" i="8"/>
  <c r="AK203" i="8"/>
  <c r="AL203" i="8"/>
  <c r="AM203" i="8"/>
  <c r="AN203" i="8"/>
  <c r="AO203" i="8"/>
  <c r="AP203" i="8"/>
  <c r="AQ203" i="8"/>
  <c r="BV203" i="8" s="1"/>
  <c r="CD203" i="8" s="1"/>
  <c r="AR203" i="8"/>
  <c r="AS203" i="8"/>
  <c r="AT203" i="8"/>
  <c r="AU203" i="8"/>
  <c r="AV203" i="8"/>
  <c r="AW203" i="8"/>
  <c r="AX203" i="8"/>
  <c r="AY203" i="8"/>
  <c r="BI203" i="8" s="1"/>
  <c r="BQ203" i="8" s="1"/>
  <c r="AZ203" i="8"/>
  <c r="BA203" i="8"/>
  <c r="AD204" i="8"/>
  <c r="AE204" i="8"/>
  <c r="AF204" i="8"/>
  <c r="H204" i="8"/>
  <c r="AG204" i="8"/>
  <c r="AH204" i="8"/>
  <c r="BS204" i="8" s="1"/>
  <c r="CA204" i="8" s="1"/>
  <c r="AI204" i="8"/>
  <c r="AJ204" i="8"/>
  <c r="AK204" i="8"/>
  <c r="AL204" i="8"/>
  <c r="AM204" i="8"/>
  <c r="AN204" i="8"/>
  <c r="AO204" i="8"/>
  <c r="AP204" i="8"/>
  <c r="AQ204" i="8"/>
  <c r="AR204" i="8"/>
  <c r="AS204" i="8"/>
  <c r="AT204" i="8"/>
  <c r="AU204" i="8"/>
  <c r="AV204" i="8"/>
  <c r="AW204" i="8"/>
  <c r="AX204" i="8"/>
  <c r="BH204" i="8" s="1"/>
  <c r="BP204" i="8" s="1"/>
  <c r="AY204" i="8"/>
  <c r="AZ204" i="8"/>
  <c r="BA204" i="8"/>
  <c r="AD205" i="8"/>
  <c r="BR205" i="8" s="1"/>
  <c r="BZ205" i="8" s="1"/>
  <c r="AE205" i="8"/>
  <c r="AF205" i="8"/>
  <c r="H205" i="8"/>
  <c r="AG205" i="8"/>
  <c r="AH205" i="8"/>
  <c r="AI205" i="8"/>
  <c r="AJ205" i="8"/>
  <c r="AK205" i="8"/>
  <c r="BT205" i="8" s="1"/>
  <c r="CB205" i="8" s="1"/>
  <c r="AL205" i="8"/>
  <c r="AM205" i="8"/>
  <c r="AN205" i="8"/>
  <c r="AO205" i="8"/>
  <c r="BU205" i="8" s="1"/>
  <c r="CC205" i="8" s="1"/>
  <c r="AP205" i="8"/>
  <c r="AQ205" i="8"/>
  <c r="AR205" i="8"/>
  <c r="AS205" i="8"/>
  <c r="BG205" i="8" s="1"/>
  <c r="BO205" i="8" s="1"/>
  <c r="AT205" i="8"/>
  <c r="AU205" i="8"/>
  <c r="AV205" i="8"/>
  <c r="AW205" i="8"/>
  <c r="AX205" i="8"/>
  <c r="AY205" i="8"/>
  <c r="AZ205" i="8"/>
  <c r="BA205" i="8"/>
  <c r="BI205" i="8" s="1"/>
  <c r="BQ205" i="8" s="1"/>
  <c r="AD206" i="8"/>
  <c r="AE206" i="8"/>
  <c r="AF206" i="8"/>
  <c r="H206" i="8"/>
  <c r="AG206" i="8"/>
  <c r="AH206" i="8"/>
  <c r="AI206" i="8"/>
  <c r="AJ206" i="8"/>
  <c r="BT206" i="8" s="1"/>
  <c r="CB206" i="8" s="1"/>
  <c r="AK206" i="8"/>
  <c r="AL206" i="8"/>
  <c r="AM206" i="8"/>
  <c r="AN206" i="8"/>
  <c r="BE206" i="8" s="1"/>
  <c r="BM206" i="8" s="1"/>
  <c r="AO206" i="8"/>
  <c r="AP206" i="8"/>
  <c r="AQ206" i="8"/>
  <c r="AR206" i="8"/>
  <c r="AS206" i="8"/>
  <c r="AT206" i="8"/>
  <c r="AU206" i="8"/>
  <c r="BW206" i="8" s="1"/>
  <c r="CE206" i="8" s="1"/>
  <c r="AV206" i="8"/>
  <c r="BX206" i="8" s="1"/>
  <c r="CF206" i="8" s="1"/>
  <c r="AW206" i="8"/>
  <c r="AX206" i="8"/>
  <c r="AY206" i="8"/>
  <c r="AZ206" i="8"/>
  <c r="BA206" i="8"/>
  <c r="AD210" i="8"/>
  <c r="AE210" i="8"/>
  <c r="AF210" i="8"/>
  <c r="BB210" i="8" s="1"/>
  <c r="BJ210" i="8" s="1"/>
  <c r="H210" i="8"/>
  <c r="AG210" i="8"/>
  <c r="AH210" i="8"/>
  <c r="AI210" i="8"/>
  <c r="BS210" i="8" s="1"/>
  <c r="CA210" i="8" s="1"/>
  <c r="AJ210" i="8"/>
  <c r="AK210" i="8"/>
  <c r="AL210" i="8"/>
  <c r="BT210" i="8" s="1"/>
  <c r="CB210" i="8" s="1"/>
  <c r="AM210" i="8"/>
  <c r="BE210" i="8" s="1"/>
  <c r="BM210" i="8" s="1"/>
  <c r="AN210" i="8"/>
  <c r="AO210" i="8"/>
  <c r="AP210" i="8"/>
  <c r="AQ210" i="8"/>
  <c r="AR210" i="8"/>
  <c r="AS210" i="8"/>
  <c r="AT210" i="8"/>
  <c r="AU210" i="8"/>
  <c r="AV210" i="8"/>
  <c r="AW210" i="8"/>
  <c r="AX210" i="8"/>
  <c r="AY210" i="8"/>
  <c r="AZ210" i="8"/>
  <c r="BA210" i="8"/>
  <c r="BU160" i="8"/>
  <c r="CC160" i="8" s="1"/>
  <c r="BX149" i="8"/>
  <c r="CF149" i="8" s="1"/>
  <c r="BY132" i="8"/>
  <c r="CG132" i="8" s="1"/>
  <c r="BU132" i="8"/>
  <c r="CC132" i="8"/>
  <c r="BR130" i="8"/>
  <c r="BZ130" i="8" s="1"/>
  <c r="BU128" i="8"/>
  <c r="CC128" i="8" s="1"/>
  <c r="BT127" i="8"/>
  <c r="CB127" i="8"/>
  <c r="BV125" i="8"/>
  <c r="CD125" i="8" s="1"/>
  <c r="BT119" i="8"/>
  <c r="CB119" i="8" s="1"/>
  <c r="BR114" i="8"/>
  <c r="BZ114" i="8" s="1"/>
  <c r="BV113" i="8"/>
  <c r="CD113" i="8" s="1"/>
  <c r="BY108" i="8"/>
  <c r="CG108" i="8" s="1"/>
  <c r="BR107" i="8"/>
  <c r="BZ107" i="8" s="1"/>
  <c r="BR100" i="8"/>
  <c r="BZ100" i="8" s="1"/>
  <c r="BY95" i="8"/>
  <c r="CG95" i="8" s="1"/>
  <c r="BU75" i="8"/>
  <c r="CC75" i="8" s="1"/>
  <c r="BT74" i="8"/>
  <c r="CB74" i="8" s="1"/>
  <c r="BW65" i="8"/>
  <c r="CE65" i="8" s="1"/>
  <c r="BV56" i="8"/>
  <c r="CD56" i="8" s="1"/>
  <c r="BX54" i="8"/>
  <c r="CF54" i="8" s="1"/>
  <c r="BX50" i="8"/>
  <c r="CF50" i="8" s="1"/>
  <c r="BS49" i="8"/>
  <c r="CA49" i="8" s="1"/>
  <c r="BV48" i="8"/>
  <c r="CD48" i="8" s="1"/>
  <c r="BT46" i="8"/>
  <c r="CB46" i="8" s="1"/>
  <c r="BT42" i="8"/>
  <c r="CB42" i="8" s="1"/>
  <c r="BX34" i="8"/>
  <c r="CF34" i="8"/>
  <c r="BX22" i="8"/>
  <c r="CF22" i="8" s="1"/>
  <c r="BS21" i="8"/>
  <c r="CA21" i="8" s="1"/>
  <c r="BR21" i="8"/>
  <c r="BZ21" i="8" s="1"/>
  <c r="BV20" i="8"/>
  <c r="CD20" i="8" s="1"/>
  <c r="BY19" i="8"/>
  <c r="CG19" i="8" s="1"/>
  <c r="BW17" i="8"/>
  <c r="CE17" i="8" s="1"/>
  <c r="BR17" i="8"/>
  <c r="BZ17" i="8" s="1"/>
  <c r="BV16" i="8"/>
  <c r="CD16" i="8" s="1"/>
  <c r="BV14" i="8"/>
  <c r="CD14" i="8" s="1"/>
  <c r="BW13" i="8"/>
  <c r="CE13" i="8" s="1"/>
  <c r="BS13" i="8"/>
  <c r="CA13" i="8" s="1"/>
  <c r="BT10" i="8"/>
  <c r="CB10" i="8" s="1"/>
  <c r="BS9" i="8"/>
  <c r="CA9" i="8" s="1"/>
  <c r="AT17" i="6"/>
  <c r="AU17" i="6"/>
  <c r="AV17" i="6"/>
  <c r="AY17" i="6"/>
  <c r="AX17" i="6"/>
  <c r="AW17" i="6"/>
  <c r="AS17" i="6"/>
  <c r="AR17" i="6"/>
  <c r="AQ17" i="6"/>
  <c r="AP17" i="6"/>
  <c r="AO17" i="6"/>
  <c r="AN17" i="6"/>
  <c r="AM17" i="6"/>
  <c r="AL17" i="6"/>
  <c r="AK17" i="6"/>
  <c r="AJ17" i="6"/>
  <c r="AI17" i="6"/>
  <c r="AH17" i="6"/>
  <c r="AG17" i="6"/>
  <c r="AF17" i="6"/>
  <c r="AE17" i="6"/>
  <c r="AD17" i="6"/>
  <c r="AC17" i="6"/>
  <c r="AB17" i="6"/>
  <c r="AT16" i="6"/>
  <c r="AU16" i="6"/>
  <c r="AV16" i="6"/>
  <c r="AY16" i="6"/>
  <c r="AX16" i="6"/>
  <c r="AW16" i="6"/>
  <c r="AS16" i="6"/>
  <c r="AR16" i="6"/>
  <c r="AQ16" i="6"/>
  <c r="AP16" i="6"/>
  <c r="AO16" i="6"/>
  <c r="AN16" i="6"/>
  <c r="AM16" i="6"/>
  <c r="AL16" i="6"/>
  <c r="AK16" i="6"/>
  <c r="AJ16" i="6"/>
  <c r="AI16" i="6"/>
  <c r="AH16" i="6"/>
  <c r="AG16" i="6"/>
  <c r="AF16" i="6"/>
  <c r="AE16" i="6"/>
  <c r="AD16" i="6"/>
  <c r="AC16" i="6"/>
  <c r="AB16" i="6"/>
  <c r="AY15" i="6"/>
  <c r="AX15" i="6"/>
  <c r="AW15" i="6"/>
  <c r="AV15" i="6"/>
  <c r="AU15" i="6"/>
  <c r="AT15" i="6"/>
  <c r="AS15" i="6"/>
  <c r="AR15" i="6"/>
  <c r="AQ15" i="6"/>
  <c r="AP15" i="6"/>
  <c r="AO15" i="6"/>
  <c r="AN15" i="6"/>
  <c r="AM15" i="6"/>
  <c r="AL15" i="6"/>
  <c r="AK15" i="6"/>
  <c r="AJ15" i="6"/>
  <c r="AI15" i="6"/>
  <c r="AH15" i="6"/>
  <c r="AG15" i="6"/>
  <c r="AF15" i="6"/>
  <c r="AE15" i="6"/>
  <c r="AD15" i="6"/>
  <c r="AC15" i="6"/>
  <c r="AB15" i="6"/>
  <c r="AY14" i="6"/>
  <c r="AX14" i="6"/>
  <c r="AW14" i="6"/>
  <c r="AV14" i="6"/>
  <c r="AU14" i="6"/>
  <c r="AT14" i="6"/>
  <c r="AS14" i="6"/>
  <c r="AR14" i="6"/>
  <c r="AQ14" i="6"/>
  <c r="AP14" i="6"/>
  <c r="AO14" i="6"/>
  <c r="AN14" i="6"/>
  <c r="AM14" i="6"/>
  <c r="AL14" i="6"/>
  <c r="AK14" i="6"/>
  <c r="AJ14" i="6"/>
  <c r="AI14" i="6"/>
  <c r="AH14" i="6"/>
  <c r="AG14" i="6"/>
  <c r="AF14" i="6"/>
  <c r="AE14" i="6"/>
  <c r="AD14" i="6"/>
  <c r="AC14" i="6"/>
  <c r="AB14" i="6"/>
  <c r="AY13" i="6"/>
  <c r="AX13" i="6"/>
  <c r="AW13" i="6"/>
  <c r="AV13" i="6"/>
  <c r="AU13" i="6"/>
  <c r="AT13" i="6"/>
  <c r="AS13" i="6"/>
  <c r="AR13" i="6"/>
  <c r="AQ13" i="6"/>
  <c r="AP13" i="6"/>
  <c r="AO13" i="6"/>
  <c r="AN13" i="6"/>
  <c r="AM13" i="6"/>
  <c r="AL13" i="6"/>
  <c r="AK13" i="6"/>
  <c r="AJ13" i="6"/>
  <c r="AI13" i="6"/>
  <c r="AH13" i="6"/>
  <c r="AG13" i="6"/>
  <c r="AF13" i="6"/>
  <c r="AE13" i="6"/>
  <c r="AD13" i="6"/>
  <c r="AC13" i="6"/>
  <c r="AB13" i="6"/>
  <c r="AT12" i="6"/>
  <c r="AU12" i="6"/>
  <c r="AV12" i="6"/>
  <c r="AH12" i="6"/>
  <c r="AI12" i="6"/>
  <c r="AJ12" i="6"/>
  <c r="AY12" i="6"/>
  <c r="AX12" i="6"/>
  <c r="AW12" i="6"/>
  <c r="AS12" i="6"/>
  <c r="AR12" i="6"/>
  <c r="AQ12" i="6"/>
  <c r="AP12" i="6"/>
  <c r="AO12" i="6"/>
  <c r="AN12" i="6"/>
  <c r="AM12" i="6"/>
  <c r="AL12" i="6"/>
  <c r="AK12" i="6"/>
  <c r="AG12" i="6"/>
  <c r="AF12" i="6"/>
  <c r="AE12" i="6"/>
  <c r="AD12" i="6"/>
  <c r="AC12" i="6"/>
  <c r="AB12" i="6"/>
  <c r="AT11" i="6"/>
  <c r="AU11" i="6"/>
  <c r="AV11" i="6"/>
  <c r="AY11" i="6"/>
  <c r="AX11" i="6"/>
  <c r="AW11" i="6"/>
  <c r="AS11" i="6"/>
  <c r="AR11" i="6"/>
  <c r="AQ11" i="6"/>
  <c r="AP11" i="6"/>
  <c r="AO11" i="6"/>
  <c r="AN11" i="6"/>
  <c r="AM11" i="6"/>
  <c r="AL11" i="6"/>
  <c r="AK11" i="6"/>
  <c r="AJ11" i="6"/>
  <c r="AI11" i="6"/>
  <c r="AH11" i="6"/>
  <c r="AG11" i="6"/>
  <c r="AF11" i="6"/>
  <c r="AE11" i="6"/>
  <c r="AD11" i="6"/>
  <c r="AC11" i="6"/>
  <c r="AB11" i="6"/>
  <c r="AT10" i="6"/>
  <c r="AU10" i="6"/>
  <c r="AV10" i="6"/>
  <c r="AH10" i="6"/>
  <c r="AI10" i="6"/>
  <c r="AJ10" i="6"/>
  <c r="AY10" i="6"/>
  <c r="AX10" i="6"/>
  <c r="AW10" i="6"/>
  <c r="AS10" i="6"/>
  <c r="AR10" i="6"/>
  <c r="AQ10" i="6"/>
  <c r="AP10" i="6"/>
  <c r="AO10" i="6"/>
  <c r="AN10" i="6"/>
  <c r="AM10" i="6"/>
  <c r="AL10" i="6"/>
  <c r="AK10" i="6"/>
  <c r="AG10" i="6"/>
  <c r="AF10" i="6"/>
  <c r="AE10" i="6"/>
  <c r="AD10" i="6"/>
  <c r="AC10" i="6"/>
  <c r="AB10" i="6"/>
  <c r="AT9" i="6"/>
  <c r="AU9" i="6"/>
  <c r="AV9" i="6"/>
  <c r="AY9" i="6"/>
  <c r="AX9" i="6"/>
  <c r="AW9" i="6"/>
  <c r="AS9" i="6"/>
  <c r="AR9" i="6"/>
  <c r="AQ9" i="6"/>
  <c r="AP9" i="6"/>
  <c r="AO9" i="6"/>
  <c r="AN9" i="6"/>
  <c r="AM9" i="6"/>
  <c r="AL9" i="6"/>
  <c r="AK9" i="6"/>
  <c r="AJ9" i="6"/>
  <c r="AI9" i="6"/>
  <c r="AH9" i="6"/>
  <c r="AG9" i="6"/>
  <c r="AF9" i="6"/>
  <c r="AE9" i="6"/>
  <c r="AD9" i="6"/>
  <c r="AC9" i="6"/>
  <c r="AB9" i="6"/>
  <c r="AT8" i="6"/>
  <c r="AU8" i="6"/>
  <c r="AV8" i="6"/>
  <c r="AH8" i="6"/>
  <c r="AI8" i="6"/>
  <c r="AJ8" i="6"/>
  <c r="AY8" i="6"/>
  <c r="AX8" i="6"/>
  <c r="AW8" i="6"/>
  <c r="AS8" i="6"/>
  <c r="AR8" i="6"/>
  <c r="AQ8" i="6"/>
  <c r="AP8" i="6"/>
  <c r="AO8" i="6"/>
  <c r="AN8" i="6"/>
  <c r="AM8" i="6"/>
  <c r="AL8" i="6"/>
  <c r="AK8" i="6"/>
  <c r="AG8" i="6"/>
  <c r="AF8" i="6"/>
  <c r="AE8" i="6"/>
  <c r="AD8" i="6"/>
  <c r="AC8" i="6"/>
  <c r="AB8" i="6"/>
  <c r="BW7" i="6"/>
  <c r="AQ7" i="6"/>
  <c r="AR7" i="6"/>
  <c r="AS7" i="6"/>
  <c r="AE7" i="6"/>
  <c r="AF7" i="6"/>
  <c r="AG7" i="6"/>
  <c r="AY7" i="6"/>
  <c r="AX7" i="6"/>
  <c r="AW7" i="6"/>
  <c r="AV7" i="6"/>
  <c r="AU7" i="6"/>
  <c r="AT7" i="6"/>
  <c r="AP7" i="6"/>
  <c r="AO7" i="6"/>
  <c r="AN7" i="6"/>
  <c r="AM7" i="6"/>
  <c r="AL7" i="6"/>
  <c r="AK7" i="6"/>
  <c r="AJ7" i="6"/>
  <c r="AI7" i="6"/>
  <c r="AH7" i="6"/>
  <c r="AD7" i="6"/>
  <c r="AC7" i="6"/>
  <c r="AB7" i="6"/>
  <c r="AE6" i="6"/>
  <c r="AF6" i="6"/>
  <c r="AG6" i="6"/>
  <c r="AY6" i="6"/>
  <c r="AX6" i="6"/>
  <c r="AW6" i="6"/>
  <c r="AV6" i="6"/>
  <c r="AU6" i="6"/>
  <c r="AT6" i="6"/>
  <c r="AS6" i="6"/>
  <c r="AQ6" i="6"/>
  <c r="AR6" i="6"/>
  <c r="AP6" i="6"/>
  <c r="AO6" i="6"/>
  <c r="AN6" i="6"/>
  <c r="AM6" i="6"/>
  <c r="AL6" i="6"/>
  <c r="AK6" i="6"/>
  <c r="AJ6" i="6"/>
  <c r="AI6" i="6"/>
  <c r="AH6" i="6"/>
  <c r="AD6" i="6"/>
  <c r="AC6" i="6"/>
  <c r="AB6" i="6"/>
  <c r="BU23" i="8"/>
  <c r="CC23" i="8" s="1"/>
  <c r="BY23" i="8"/>
  <c r="CG23" i="8" s="1"/>
  <c r="BU31" i="8"/>
  <c r="CC31" i="8" s="1"/>
  <c r="BY31" i="8"/>
  <c r="CG31" i="8" s="1"/>
  <c r="BS41" i="8"/>
  <c r="CA41" i="8" s="1"/>
  <c r="BW77" i="8"/>
  <c r="CE77" i="8" s="1"/>
  <c r="BY7" i="8"/>
  <c r="CG7" i="8" s="1"/>
  <c r="BY75" i="8"/>
  <c r="CG75" i="8" s="1"/>
  <c r="BS107" i="8"/>
  <c r="CA107" i="8" s="1"/>
  <c r="BY51" i="8"/>
  <c r="CG51" i="8" s="1"/>
  <c r="BU55" i="8"/>
  <c r="CC55" i="8" s="1"/>
  <c r="BY55" i="8"/>
  <c r="CG55" i="8" s="1"/>
  <c r="BX64" i="8"/>
  <c r="CF64" i="8" s="1"/>
  <c r="BX68" i="8"/>
  <c r="CF68" i="8" s="1"/>
  <c r="BX72" i="8"/>
  <c r="CF72" i="8" s="1"/>
  <c r="BS77" i="8"/>
  <c r="CA77" i="8" s="1"/>
  <c r="BV106" i="8"/>
  <c r="CD106" i="8" s="1"/>
  <c r="BX106" i="8"/>
  <c r="CF106" i="8" s="1"/>
  <c r="BU63" i="8"/>
  <c r="CC63" i="8" s="1"/>
  <c r="BY63" i="8"/>
  <c r="CG63" i="8" s="1"/>
  <c r="BS65" i="8"/>
  <c r="CA65" i="8" s="1"/>
  <c r="BU67" i="8"/>
  <c r="CC67" i="8" s="1"/>
  <c r="BY67" i="8"/>
  <c r="CG67" i="8" s="1"/>
  <c r="BU71" i="8"/>
  <c r="CC71" i="8" s="1"/>
  <c r="BY71" i="8"/>
  <c r="CG71" i="8" s="1"/>
  <c r="BW73" i="8"/>
  <c r="CE73" i="8" s="1"/>
  <c r="BS73" i="8"/>
  <c r="CA73" i="8" s="1"/>
  <c r="BS81" i="8"/>
  <c r="CA81" i="8" s="1"/>
  <c r="BV103" i="8"/>
  <c r="CD103" i="8" s="1"/>
  <c r="BX103" i="8"/>
  <c r="CF103" i="8" s="1"/>
  <c r="BV24" i="8"/>
  <c r="CD24" i="8" s="1"/>
  <c r="BR25" i="8"/>
  <c r="BZ25" i="8" s="1"/>
  <c r="BV28" i="8"/>
  <c r="CD28" i="8" s="1"/>
  <c r="BV32" i="8"/>
  <c r="CD32" i="8" s="1"/>
  <c r="BV36" i="8"/>
  <c r="CD36" i="8" s="1"/>
  <c r="BR45" i="8"/>
  <c r="BZ45" i="8" s="1"/>
  <c r="BR49" i="8"/>
  <c r="BZ49" i="8" s="1"/>
  <c r="BV52" i="8"/>
  <c r="CD52" i="8" s="1"/>
  <c r="BR53" i="8"/>
  <c r="BZ53" i="8" s="1"/>
  <c r="BU79" i="8"/>
  <c r="CC79" i="8" s="1"/>
  <c r="BY87" i="8"/>
  <c r="CG87" i="8" s="1"/>
  <c r="BV99" i="8"/>
  <c r="CD99" i="8" s="1"/>
  <c r="BS110" i="8"/>
  <c r="CA110" i="8" s="1"/>
  <c r="BW110" i="8"/>
  <c r="CE110" i="8" s="1"/>
  <c r="BX76" i="8"/>
  <c r="CF76" i="8" s="1"/>
  <c r="BS89" i="8"/>
  <c r="CA89" i="8" s="1"/>
  <c r="BW89" i="8"/>
  <c r="CE89" i="8" s="1"/>
  <c r="BS93" i="8"/>
  <c r="CA93" i="8" s="1"/>
  <c r="BW93" i="8"/>
  <c r="CE93" i="8" s="1"/>
  <c r="BS97" i="8"/>
  <c r="CA97" i="8" s="1"/>
  <c r="BX97" i="8"/>
  <c r="CF97" i="8" s="1"/>
  <c r="BW97" i="8"/>
  <c r="CE97" i="8" s="1"/>
  <c r="BV109" i="8"/>
  <c r="CD109" i="8" s="1"/>
  <c r="BX109" i="8"/>
  <c r="CF109" i="8" s="1"/>
  <c r="BV64" i="8"/>
  <c r="CD64" i="8" s="1"/>
  <c r="BR65" i="8"/>
  <c r="BZ65" i="8" s="1"/>
  <c r="BV68" i="8"/>
  <c r="CD68" i="8" s="1"/>
  <c r="BZ69" i="8"/>
  <c r="BV72" i="8"/>
  <c r="CD72" i="8" s="1"/>
  <c r="BR73" i="8"/>
  <c r="BZ73" i="8" s="1"/>
  <c r="BR77" i="8"/>
  <c r="BZ77" i="8" s="1"/>
  <c r="BR85" i="8"/>
  <c r="BZ85" i="8" s="1"/>
  <c r="BV88" i="8"/>
  <c r="CD88" i="8" s="1"/>
  <c r="BV92" i="8"/>
  <c r="CD92" i="8" s="1"/>
  <c r="BX92" i="8"/>
  <c r="CF92" i="8" s="1"/>
  <c r="BV96" i="8"/>
  <c r="CD96" i="8" s="1"/>
  <c r="BX96" i="8"/>
  <c r="CF96" i="8" s="1"/>
  <c r="BS100" i="8"/>
  <c r="CA100" i="8" s="1"/>
  <c r="BW100" i="8"/>
  <c r="CE100" i="8" s="1"/>
  <c r="BS104" i="8"/>
  <c r="CA104" i="8" s="1"/>
  <c r="BX104" i="8"/>
  <c r="CF104" i="8" s="1"/>
  <c r="BW104" i="8"/>
  <c r="CE104" i="8" s="1"/>
  <c r="BU91" i="8"/>
  <c r="CC91" i="8" s="1"/>
  <c r="BU95" i="8"/>
  <c r="CC95" i="8" s="1"/>
  <c r="BU102" i="8"/>
  <c r="CC102" i="8" s="1"/>
  <c r="BU105" i="8"/>
  <c r="CC105" i="8" s="1"/>
  <c r="BU108" i="8"/>
  <c r="CC108" i="8" s="1"/>
  <c r="BT90" i="8"/>
  <c r="CB90" i="8" s="1"/>
  <c r="BT94" i="8"/>
  <c r="CB94" i="8" s="1"/>
  <c r="BT101" i="8"/>
  <c r="CB101" i="8" s="1"/>
  <c r="BT107" i="8"/>
  <c r="CB107" i="8" s="1"/>
  <c r="BY112" i="8"/>
  <c r="CG112" i="8" s="1"/>
  <c r="BS114" i="8"/>
  <c r="CA114" i="8" s="1"/>
  <c r="BW114" i="8"/>
  <c r="CE114" i="8" s="1"/>
  <c r="BW126" i="8"/>
  <c r="CE126" i="8" s="1"/>
  <c r="BW130" i="8"/>
  <c r="CE130" i="8" s="1"/>
  <c r="BT111" i="8"/>
  <c r="CB111" i="8" s="1"/>
  <c r="BT151" i="8"/>
  <c r="CB151" i="8" s="1"/>
  <c r="BS158" i="8"/>
  <c r="CA158" i="8" s="1"/>
  <c r="BT159" i="8"/>
  <c r="CB159" i="8" s="1"/>
  <c r="BX161" i="8"/>
  <c r="CF161" i="8" s="1"/>
  <c r="BS170" i="8"/>
  <c r="CA170" i="8" s="1"/>
  <c r="BW170" i="8"/>
  <c r="CE170" i="8" s="1"/>
  <c r="BS174" i="8"/>
  <c r="CA174" i="8" s="1"/>
  <c r="BW174" i="8"/>
  <c r="CE174" i="8" s="1"/>
  <c r="BS178" i="8"/>
  <c r="CA178" i="8" s="1"/>
  <c r="BW178" i="8"/>
  <c r="CE178" i="8" s="1"/>
  <c r="BS182" i="8"/>
  <c r="CA182" i="8" s="1"/>
  <c r="BW182" i="8"/>
  <c r="CE182" i="8" s="1"/>
  <c r="BS186" i="8"/>
  <c r="CA186" i="8" s="1"/>
  <c r="BW186" i="8"/>
  <c r="CE186" i="8" s="1"/>
  <c r="BS194" i="8"/>
  <c r="CA194" i="8" s="1"/>
  <c r="BW194" i="8"/>
  <c r="CE194" i="8" s="1"/>
  <c r="BV40" i="8"/>
  <c r="CD40" i="8" s="1"/>
  <c r="BR57" i="8"/>
  <c r="BZ57" i="8" s="1"/>
  <c r="BS118" i="8"/>
  <c r="CA118" i="8" s="1"/>
  <c r="BX129" i="8"/>
  <c r="CF129" i="8" s="1"/>
  <c r="BY140" i="8"/>
  <c r="CG140" i="8" s="1"/>
  <c r="BW134" i="8"/>
  <c r="CE134" i="8" s="1"/>
  <c r="BS126" i="8"/>
  <c r="CA126" i="8" s="1"/>
  <c r="BS130" i="8"/>
  <c r="CA130" i="8" s="1"/>
  <c r="CA138" i="8"/>
  <c r="BU164" i="8"/>
  <c r="CC164" i="8" s="1"/>
  <c r="BX26" i="8"/>
  <c r="CF26" i="8" s="1"/>
  <c r="BX30" i="8"/>
  <c r="CF30" i="8" s="1"/>
  <c r="BR33" i="8"/>
  <c r="BZ33" i="8" s="1"/>
  <c r="BR41" i="8"/>
  <c r="BZ41" i="8" s="1"/>
  <c r="BW41" i="8"/>
  <c r="CE41" i="8" s="1"/>
  <c r="BU51" i="8"/>
  <c r="CC51" i="8" s="1"/>
  <c r="BW57" i="8"/>
  <c r="CE57" i="8" s="1"/>
  <c r="BX125" i="8"/>
  <c r="CF125" i="8" s="1"/>
  <c r="BS134" i="8"/>
  <c r="CA134" i="8" s="1"/>
  <c r="BT147" i="8"/>
  <c r="CB147" i="8" s="1"/>
  <c r="BS162" i="8"/>
  <c r="CA162" i="8" s="1"/>
  <c r="BS122" i="8"/>
  <c r="CA122" i="8" s="1"/>
  <c r="BU7" i="8"/>
  <c r="CC7" i="8" s="1"/>
  <c r="BY27" i="8"/>
  <c r="CG27" i="8" s="1"/>
  <c r="BY83" i="8"/>
  <c r="CG83" i="8" s="1"/>
  <c r="BT14" i="8"/>
  <c r="CB14" i="8" s="1"/>
  <c r="BS45" i="8"/>
  <c r="CA45" i="8" s="1"/>
  <c r="BW45" i="8"/>
  <c r="CE45" i="8" s="1"/>
  <c r="BV8" i="8"/>
  <c r="CD8" i="8" s="1"/>
  <c r="BW9" i="8"/>
  <c r="CE9" i="8" s="1"/>
  <c r="BY11" i="8"/>
  <c r="CG11" i="8" s="1"/>
  <c r="BV12" i="8"/>
  <c r="CD12" i="8" s="1"/>
  <c r="BS17" i="8"/>
  <c r="CA17" i="8" s="1"/>
  <c r="BW21" i="8"/>
  <c r="CE21" i="8" s="1"/>
  <c r="BX42" i="8"/>
  <c r="CF42" i="8" s="1"/>
  <c r="BU47" i="8"/>
  <c r="CC47" i="8" s="1"/>
  <c r="BS57" i="8"/>
  <c r="CA57" i="8" s="1"/>
  <c r="BV76" i="8"/>
  <c r="CD76" i="8" s="1"/>
  <c r="BT78" i="8"/>
  <c r="CB78" i="8" s="1"/>
  <c r="BY102" i="8"/>
  <c r="CG102" i="8" s="1"/>
  <c r="BX117" i="8"/>
  <c r="CF117" i="8" s="1"/>
  <c r="BV133" i="8"/>
  <c r="CD133" i="8" s="1"/>
  <c r="BT18" i="8"/>
  <c r="CB18" i="8" s="1"/>
  <c r="BS25" i="8"/>
  <c r="CA25" i="8" s="1"/>
  <c r="BR29" i="8"/>
  <c r="BZ29" i="8" s="1"/>
  <c r="BS33" i="8"/>
  <c r="CA33" i="8" s="1"/>
  <c r="BW49" i="8"/>
  <c r="CE49" i="8" s="1"/>
  <c r="BS85" i="8"/>
  <c r="CA85" i="8" s="1"/>
  <c r="BR93" i="8"/>
  <c r="BZ93" i="8" s="1"/>
  <c r="BR9" i="8"/>
  <c r="BZ9" i="8" s="1"/>
  <c r="BR13" i="8"/>
  <c r="BZ13" i="8" s="1"/>
  <c r="BR37" i="8"/>
  <c r="BZ37" i="8" s="1"/>
  <c r="BT82" i="8"/>
  <c r="CB82" i="8" s="1"/>
  <c r="BV153" i="8"/>
  <c r="CD153" i="8" s="1"/>
  <c r="BT86" i="8"/>
  <c r="CB86" i="8" s="1"/>
  <c r="BY98" i="8"/>
  <c r="CG98" i="8" s="1"/>
  <c r="BY104" i="8"/>
  <c r="CG104" i="8"/>
  <c r="BX133" i="8"/>
  <c r="CF133" i="8" s="1"/>
  <c r="BR134" i="8"/>
  <c r="BZ134" i="8" s="1"/>
  <c r="BT135" i="8"/>
  <c r="CB135" i="8" s="1"/>
  <c r="BX145" i="8"/>
  <c r="CF145" i="8" s="1"/>
  <c r="BY164" i="8"/>
  <c r="CG164" i="8" s="1"/>
  <c r="BR166" i="8"/>
  <c r="BZ166" i="8" s="1"/>
  <c r="BV84" i="8"/>
  <c r="CD84" i="8" s="1"/>
  <c r="BR110" i="8"/>
  <c r="BZ110" i="8" s="1"/>
  <c r="BU112" i="8"/>
  <c r="CC112" i="8" s="1"/>
  <c r="BT115" i="8"/>
  <c r="CB115" i="8" s="1"/>
  <c r="BT123" i="8"/>
  <c r="CB123" i="8" s="1"/>
  <c r="BV137" i="8"/>
  <c r="CD137" i="8" s="1"/>
  <c r="BU148" i="8"/>
  <c r="CC148" i="8" s="1"/>
  <c r="BT163" i="8"/>
  <c r="CB163" i="8" s="1"/>
  <c r="BR89" i="8"/>
  <c r="BZ89" i="8" s="1"/>
  <c r="BY91" i="8"/>
  <c r="CG91" i="8" s="1"/>
  <c r="BY97" i="8"/>
  <c r="CG97" i="8" s="1"/>
  <c r="BU98" i="8"/>
  <c r="CC98" i="8" s="1"/>
  <c r="BX99" i="8"/>
  <c r="CF99" i="8" s="1"/>
  <c r="BX113" i="8"/>
  <c r="CF113" i="8" s="1"/>
  <c r="BV121" i="8"/>
  <c r="CD121" i="8" s="1"/>
  <c r="BV129" i="8"/>
  <c r="CD129" i="8" s="1"/>
  <c r="BU140" i="8"/>
  <c r="CC140" i="8" s="1"/>
  <c r="BS146" i="8"/>
  <c r="CA146" i="8" s="1"/>
  <c r="BY192" i="8"/>
  <c r="CG192" i="8" s="1"/>
  <c r="BX193" i="8"/>
  <c r="CF193" i="8" s="1"/>
  <c r="BS142" i="8"/>
  <c r="CA142" i="8" s="1"/>
  <c r="BU144" i="8"/>
  <c r="CC144" i="8" s="1"/>
  <c r="BS150" i="8"/>
  <c r="CA150" i="8" s="1"/>
  <c r="BV161" i="8"/>
  <c r="CD161" i="8" s="1"/>
  <c r="BU172" i="8"/>
  <c r="CC172" i="8" s="1"/>
  <c r="BV173" i="8"/>
  <c r="CD173" i="8" s="1"/>
  <c r="BU176" i="8"/>
  <c r="CC176" i="8" s="1"/>
  <c r="BY184" i="8"/>
  <c r="CG184" i="8" s="1"/>
  <c r="BX185" i="8"/>
  <c r="CF185" i="8" s="1"/>
  <c r="BY204" i="8"/>
  <c r="CG204" i="8" s="1"/>
  <c r="BT131" i="8"/>
  <c r="CB131" i="8" s="1"/>
  <c r="BX137" i="8"/>
  <c r="CF137" i="8" s="1"/>
  <c r="BW142" i="8"/>
  <c r="CE142" i="8" s="1"/>
  <c r="BV149" i="8"/>
  <c r="CD149" i="8" s="1"/>
  <c r="BU152" i="8"/>
  <c r="CC152" i="8" s="1"/>
  <c r="BW154" i="8"/>
  <c r="CE154" i="8" s="1"/>
  <c r="BY156" i="8"/>
  <c r="CG156" i="8" s="1"/>
  <c r="BT195" i="8"/>
  <c r="CB195" i="8" s="1"/>
  <c r="BU196" i="8"/>
  <c r="CC196" i="8" s="1"/>
  <c r="BT203" i="8"/>
  <c r="CB203" i="8" s="1"/>
  <c r="BT171" i="8"/>
  <c r="CB171" i="8" s="1"/>
  <c r="BY172" i="8"/>
  <c r="CG172" i="8" s="1"/>
  <c r="BT183" i="8"/>
  <c r="CB183" i="8" s="1"/>
  <c r="BV185" i="8"/>
  <c r="CD185" i="8" s="1"/>
  <c r="BV193" i="8"/>
  <c r="CD193" i="8" s="1"/>
  <c r="BV197" i="8"/>
  <c r="CD197" i="8" s="1"/>
  <c r="BS198" i="8"/>
  <c r="CA198" i="8" s="1"/>
  <c r="BS206" i="8"/>
  <c r="CA206" i="8" s="1"/>
  <c r="BU168" i="8"/>
  <c r="CC168" i="8" s="1"/>
  <c r="BY168" i="8"/>
  <c r="CG168" i="8" s="1"/>
  <c r="BT175" i="8"/>
  <c r="CB175" i="8" s="1"/>
  <c r="BR182" i="8"/>
  <c r="BZ182" i="8" s="1"/>
  <c r="BR186" i="8"/>
  <c r="BZ186" i="8" s="1"/>
  <c r="BR194" i="8"/>
  <c r="BZ194" i="8" s="1"/>
  <c r="BX197" i="8"/>
  <c r="CF197" i="8" s="1"/>
  <c r="BY200" i="8"/>
  <c r="CG200" i="8" s="1"/>
  <c r="BV201" i="8"/>
  <c r="CD201" i="8" s="1"/>
  <c r="BU204" i="8"/>
  <c r="CC204" i="8" s="1"/>
  <c r="BX210" i="8"/>
  <c r="CF210" i="8" s="1"/>
  <c r="BT34" i="8"/>
  <c r="CB34" i="8" s="1"/>
  <c r="BV44" i="8"/>
  <c r="CD44" i="8" s="1"/>
  <c r="BU27" i="8"/>
  <c r="CC27" i="8" s="1"/>
  <c r="BS37" i="8"/>
  <c r="CA37" i="8" s="1"/>
  <c r="BU11" i="8"/>
  <c r="CC11" i="8" s="1"/>
  <c r="BU19" i="8"/>
  <c r="CC19" i="8" s="1"/>
  <c r="BU43" i="8"/>
  <c r="CC43" i="8" s="1"/>
  <c r="BY148" i="8"/>
  <c r="CG148" i="8" s="1"/>
  <c r="BW29" i="8"/>
  <c r="CE29" i="8" s="1"/>
  <c r="BU35" i="8"/>
  <c r="CC35" i="8" s="1"/>
  <c r="BX10" i="8"/>
  <c r="CF10" i="8" s="1"/>
  <c r="BT22" i="8"/>
  <c r="CB22" i="8" s="1"/>
  <c r="BX121" i="8"/>
  <c r="CF121" i="8" s="1"/>
  <c r="BT26" i="8"/>
  <c r="CB26" i="8" s="1"/>
  <c r="BW37" i="8"/>
  <c r="CE37" i="8" s="1"/>
  <c r="BX157" i="8"/>
  <c r="CF157" i="8" s="1"/>
  <c r="BS29" i="8"/>
  <c r="CA29" i="8" s="1"/>
  <c r="BT6" i="8"/>
  <c r="CB6" i="8" s="1"/>
  <c r="BY15" i="8"/>
  <c r="CG15" i="8" s="1"/>
  <c r="BW25" i="8"/>
  <c r="CE25" i="8" s="1"/>
  <c r="BT30" i="8"/>
  <c r="CB30" i="8" s="1"/>
  <c r="BW33" i="8"/>
  <c r="CE33" i="8" s="1"/>
  <c r="BX38" i="8"/>
  <c r="CF38" i="8" s="1"/>
  <c r="BY39" i="8"/>
  <c r="CG39" i="8" s="1"/>
  <c r="BY43" i="8"/>
  <c r="CG43" i="8" s="1"/>
  <c r="BY47" i="8"/>
  <c r="CG47" i="8" s="1"/>
  <c r="BT38" i="8"/>
  <c r="CB38" i="8" s="1"/>
  <c r="BS53" i="8"/>
  <c r="CA53" i="8" s="1"/>
  <c r="BT58" i="8"/>
  <c r="CB58" i="8" s="1"/>
  <c r="BT62" i="8"/>
  <c r="CB62" i="8" s="1"/>
  <c r="BT66" i="8"/>
  <c r="CB66" i="8" s="1"/>
  <c r="BT70" i="8"/>
  <c r="CB70" i="8" s="1"/>
  <c r="BW146" i="8"/>
  <c r="CE146" i="8" s="1"/>
  <c r="BT50" i="8"/>
  <c r="CB50" i="8" s="1"/>
  <c r="BT54" i="8"/>
  <c r="CB54" i="8" s="1"/>
  <c r="BR97" i="8"/>
  <c r="BZ97" i="8" s="1"/>
  <c r="BR104" i="8"/>
  <c r="BZ104" i="8" s="1"/>
  <c r="BY105" i="8"/>
  <c r="CG105" i="8" s="1"/>
  <c r="BW150" i="8"/>
  <c r="CE150" i="8" s="1"/>
  <c r="BU120" i="8"/>
  <c r="CC120" i="8" s="1"/>
  <c r="BR122" i="8"/>
  <c r="BZ122" i="8" s="1"/>
  <c r="BR138" i="8"/>
  <c r="BZ138" i="8" s="1"/>
  <c r="BY144" i="8"/>
  <c r="CG144" i="8" s="1"/>
  <c r="BY124" i="8"/>
  <c r="CG124" i="8" s="1"/>
  <c r="BY128" i="8"/>
  <c r="CG128" i="8" s="1"/>
  <c r="BR146" i="8"/>
  <c r="BZ146" i="8" s="1"/>
  <c r="BV157" i="8"/>
  <c r="CD157" i="8" s="1"/>
  <c r="BU116" i="8"/>
  <c r="CC116" i="8" s="1"/>
  <c r="BR118" i="8"/>
  <c r="BZ118" i="8" s="1"/>
  <c r="BY120" i="8"/>
  <c r="CG120" i="8" s="1"/>
  <c r="BY152" i="8"/>
  <c r="CG152" i="8" s="1"/>
  <c r="BS154" i="8"/>
  <c r="CA154" i="8" s="1"/>
  <c r="BV145" i="8"/>
  <c r="CD145" i="8" s="1"/>
  <c r="BW162" i="8"/>
  <c r="CE162" i="8" s="1"/>
  <c r="BR158" i="8"/>
  <c r="BZ158" i="8" s="1"/>
  <c r="BR162" i="8"/>
  <c r="BZ162" i="8" s="1"/>
  <c r="BY176" i="8"/>
  <c r="CG176" i="8" s="1"/>
  <c r="BW166" i="8"/>
  <c r="CE166" i="8" s="1"/>
  <c r="BU180" i="8"/>
  <c r="CC180" i="8" s="1"/>
  <c r="BU184" i="8"/>
  <c r="CC184" i="8" s="1"/>
  <c r="BX189" i="8"/>
  <c r="CF189" i="8" s="1"/>
  <c r="BY196" i="8"/>
  <c r="CG196" i="8" s="1"/>
  <c r="BX165" i="8"/>
  <c r="CF165" i="8" s="1"/>
  <c r="BY180" i="8"/>
  <c r="CG180" i="8" s="1"/>
  <c r="BU188" i="8"/>
  <c r="CC188" i="8" s="1"/>
  <c r="BX201" i="8"/>
  <c r="CF201" i="8" s="1"/>
  <c r="BW202" i="8"/>
  <c r="CE202" i="8" s="1"/>
  <c r="BX205" i="8"/>
  <c r="CF205" i="8" s="1"/>
  <c r="BR206" i="8"/>
  <c r="BZ206" i="8" s="1"/>
  <c r="BV205" i="8"/>
  <c r="CD205" i="8" s="1"/>
  <c r="BI204" i="8"/>
  <c r="BQ204" i="8" s="1"/>
  <c r="BE204" i="8"/>
  <c r="BM204" i="8" s="1"/>
  <c r="BF201" i="8"/>
  <c r="BN201" i="8" s="1"/>
  <c r="BH195" i="8"/>
  <c r="BP195" i="8" s="1"/>
  <c r="BC194" i="8"/>
  <c r="BT187" i="8"/>
  <c r="CB187" i="8" s="1"/>
  <c r="BE184" i="8"/>
  <c r="BM184" i="8" s="1"/>
  <c r="BF205" i="8"/>
  <c r="BN205" i="8" s="1"/>
  <c r="BB202" i="8"/>
  <c r="BT179" i="8"/>
  <c r="CB179" i="8" s="1"/>
  <c r="BG202" i="8"/>
  <c r="BR198" i="8"/>
  <c r="BZ198" i="8" s="1"/>
  <c r="BI196" i="8"/>
  <c r="BQ196" i="8" s="1"/>
  <c r="BI188" i="8"/>
  <c r="BQ188" i="8" s="1"/>
  <c r="BH187" i="8"/>
  <c r="BP187" i="8" s="1"/>
  <c r="BT199" i="8"/>
  <c r="CB199" i="8" s="1"/>
  <c r="BC198" i="8"/>
  <c r="BE196" i="8"/>
  <c r="BM196" i="8" s="1"/>
  <c r="BE188" i="8"/>
  <c r="BM188" i="8" s="1"/>
  <c r="BG146" i="8"/>
  <c r="BC146" i="8"/>
  <c r="BE144" i="8"/>
  <c r="BM144" i="8" s="1"/>
  <c r="BD143" i="8"/>
  <c r="BL143" i="8" s="1"/>
  <c r="BB138" i="8"/>
  <c r="BI136" i="8"/>
  <c r="BQ136" i="8" s="1"/>
  <c r="BG134" i="8"/>
  <c r="BF133" i="8"/>
  <c r="BN133" i="8" s="1"/>
  <c r="BF121" i="8"/>
  <c r="BF117" i="8"/>
  <c r="BN117" i="8" s="1"/>
  <c r="BC104" i="8"/>
  <c r="BE102" i="8"/>
  <c r="BM102" i="8" s="1"/>
  <c r="BC100" i="8"/>
  <c r="BE83" i="8"/>
  <c r="BM83" i="8" s="1"/>
  <c r="BE75" i="8"/>
  <c r="BM75" i="8" s="1"/>
  <c r="BH151" i="8"/>
  <c r="BP151" i="8"/>
  <c r="BI144" i="8"/>
  <c r="BQ144" i="8" s="1"/>
  <c r="BC138" i="8"/>
  <c r="BD119" i="8"/>
  <c r="BL119" i="8" s="1"/>
  <c r="BD115" i="8"/>
  <c r="BL115" i="8" s="1"/>
  <c r="BF113" i="8"/>
  <c r="BN113" i="8" s="1"/>
  <c r="BD111" i="8"/>
  <c r="BL111" i="8" s="1"/>
  <c r="BF109" i="8"/>
  <c r="BD107" i="8"/>
  <c r="BE79" i="8"/>
  <c r="BM79" i="8" s="1"/>
  <c r="BE71" i="8"/>
  <c r="BM71" i="8" s="1"/>
  <c r="BG142" i="8"/>
  <c r="BC142" i="8"/>
  <c r="BE140" i="8"/>
  <c r="BM140" i="8" s="1"/>
  <c r="BD139" i="8"/>
  <c r="BL139" i="8" s="1"/>
  <c r="BB134" i="8"/>
  <c r="BB130" i="8"/>
  <c r="BC97" i="8"/>
  <c r="BE95" i="8"/>
  <c r="BM95" i="8" s="1"/>
  <c r="BC93" i="8"/>
  <c r="BE91" i="8"/>
  <c r="BM91" i="8" s="1"/>
  <c r="BC89" i="8"/>
  <c r="BE87" i="8"/>
  <c r="BM87" i="8" s="1"/>
  <c r="BB154" i="8"/>
  <c r="BE152" i="8"/>
  <c r="BM152" i="8" s="1"/>
  <c r="BG150" i="8"/>
  <c r="BB150" i="8"/>
  <c r="BE148" i="8"/>
  <c r="BM148" i="8" s="1"/>
  <c r="BF145" i="8"/>
  <c r="BN145" i="8" s="1"/>
  <c r="BF141" i="8"/>
  <c r="BN141" i="8" s="1"/>
  <c r="BF137" i="8"/>
  <c r="BN137" i="8" s="1"/>
  <c r="BI105" i="8"/>
  <c r="BQ105" i="8" s="1"/>
  <c r="BI98" i="8"/>
  <c r="BQ98" i="8" s="1"/>
  <c r="BG85" i="8"/>
  <c r="BB85" i="8"/>
  <c r="BG81" i="8"/>
  <c r="BB81" i="8"/>
  <c r="BG77" i="8"/>
  <c r="BB77" i="8"/>
  <c r="BG73" i="8"/>
  <c r="BB73" i="8"/>
  <c r="BG69" i="8"/>
  <c r="BG61" i="8"/>
  <c r="BF60" i="8"/>
  <c r="BN60" i="8" s="1"/>
  <c r="BF96" i="8"/>
  <c r="BN96" i="8" s="1"/>
  <c r="BH94" i="8"/>
  <c r="BP94" i="8" s="1"/>
  <c r="BF92" i="8"/>
  <c r="BN92" i="8" s="1"/>
  <c r="BH90" i="8"/>
  <c r="BP90" i="8" s="1"/>
  <c r="BF88" i="8"/>
  <c r="BN88" i="8" s="1"/>
  <c r="BH86" i="8"/>
  <c r="BP86" i="8" s="1"/>
  <c r="BI83" i="8"/>
  <c r="BQ83" i="8" s="1"/>
  <c r="BI79" i="8"/>
  <c r="BQ79" i="8" s="1"/>
  <c r="BI75" i="8"/>
  <c r="BQ75" i="8" s="1"/>
  <c r="BI71" i="8"/>
  <c r="BQ71" i="8" s="1"/>
  <c r="BF64" i="8"/>
  <c r="BN64" i="8" s="1"/>
  <c r="BH62" i="8"/>
  <c r="BP62" i="8" s="1"/>
  <c r="BE59" i="8"/>
  <c r="BM59" i="8" s="1"/>
  <c r="BG53" i="8"/>
  <c r="BI51" i="8"/>
  <c r="BQ51" i="8" s="1"/>
  <c r="BG49" i="8"/>
  <c r="BI47" i="8"/>
  <c r="BQ47" i="8"/>
  <c r="BG45" i="8"/>
  <c r="BD94" i="8"/>
  <c r="BL94" i="8" s="1"/>
  <c r="BD90" i="8"/>
  <c r="BL90" i="8"/>
  <c r="BD86" i="8"/>
  <c r="BL86" i="8" s="1"/>
  <c r="BF68" i="8"/>
  <c r="BN68" i="8" s="1"/>
  <c r="BG65" i="8"/>
  <c r="BH58" i="8"/>
  <c r="BP58" i="8" s="1"/>
  <c r="BI43" i="8"/>
  <c r="BQ43" i="8"/>
  <c r="BF84" i="8"/>
  <c r="BN84" i="8"/>
  <c r="BH82" i="8"/>
  <c r="BP82" i="8" s="1"/>
  <c r="BF80" i="8"/>
  <c r="BN80" i="8" s="1"/>
  <c r="BH78" i="8"/>
  <c r="BP78" i="8" s="1"/>
  <c r="BF76" i="8"/>
  <c r="BN76" i="8" s="1"/>
  <c r="BH74" i="8"/>
  <c r="BP74" i="8" s="1"/>
  <c r="BF72" i="8"/>
  <c r="BN72" i="8" s="1"/>
  <c r="BH70" i="8"/>
  <c r="BP70" i="8" s="1"/>
  <c r="BB69" i="8"/>
  <c r="BH66" i="8"/>
  <c r="BP66" i="8" s="1"/>
  <c r="BB65" i="8"/>
  <c r="BI63" i="8"/>
  <c r="BQ63" i="8" s="1"/>
  <c r="BB61" i="8"/>
  <c r="BI59" i="8"/>
  <c r="BQ59" i="8" s="1"/>
  <c r="BB57" i="8"/>
  <c r="BI55" i="8"/>
  <c r="BQ55" i="8" s="1"/>
  <c r="BD54" i="8"/>
  <c r="BL54" i="8" s="1"/>
  <c r="BD50" i="8"/>
  <c r="BL50" i="8" s="1"/>
  <c r="BB45" i="8"/>
  <c r="BG29" i="8"/>
  <c r="BB25" i="8"/>
  <c r="BF24" i="8"/>
  <c r="BH22" i="8"/>
  <c r="BP22" i="8" s="1"/>
  <c r="BD22" i="8"/>
  <c r="BL22" i="8" s="1"/>
  <c r="BB21" i="8"/>
  <c r="BF20" i="8"/>
  <c r="BN20" i="8" s="1"/>
  <c r="BH18" i="8"/>
  <c r="BP18" i="8" s="1"/>
  <c r="BD18" i="8"/>
  <c r="BL18" i="8" s="1"/>
  <c r="BB17" i="8"/>
  <c r="BF16" i="8"/>
  <c r="BH14" i="8"/>
  <c r="BP14" i="8" s="1"/>
  <c r="BD14" i="8"/>
  <c r="BL14" i="8" s="1"/>
  <c r="BB13" i="8"/>
  <c r="BF12" i="8"/>
  <c r="BH10" i="8"/>
  <c r="BP10" i="8" s="1"/>
  <c r="BD10" i="8"/>
  <c r="BL10" i="8" s="1"/>
  <c r="BB9" i="8"/>
  <c r="BF8" i="8"/>
  <c r="BN8" i="8" s="1"/>
  <c r="BH6" i="8"/>
  <c r="BP6" i="8" s="1"/>
  <c r="BD6" i="8"/>
  <c r="BL6" i="8" s="1"/>
  <c r="BF56" i="8"/>
  <c r="BN56" i="8" s="1"/>
  <c r="BB53" i="8"/>
  <c r="BB49" i="8"/>
  <c r="BH42" i="8"/>
  <c r="BP42" i="8" s="1"/>
  <c r="BH54" i="8"/>
  <c r="BP54" i="8" s="1"/>
  <c r="BF52" i="8"/>
  <c r="BN52" i="8" s="1"/>
  <c r="BH50" i="8"/>
  <c r="BP50" i="8" s="1"/>
  <c r="BF48" i="8"/>
  <c r="BN48" i="8" s="1"/>
  <c r="BH46" i="8"/>
  <c r="BP46" i="8" s="1"/>
  <c r="BD42" i="8"/>
  <c r="BL42" i="8" s="1"/>
  <c r="BH38" i="8"/>
  <c r="BP38" i="8" s="1"/>
  <c r="BH34" i="8"/>
  <c r="BP34" i="8" s="1"/>
  <c r="BH30" i="8"/>
  <c r="BP30" i="8" s="1"/>
  <c r="BB6" i="8"/>
  <c r="BJ6" i="8" s="1"/>
  <c r="BF40" i="8"/>
  <c r="BN40" i="8" s="1"/>
  <c r="BI39" i="8"/>
  <c r="BQ39" i="8" s="1"/>
  <c r="BE39" i="8"/>
  <c r="BM39" i="8" s="1"/>
  <c r="BB37" i="8"/>
  <c r="BF36" i="8"/>
  <c r="BN36" i="8" s="1"/>
  <c r="BI35" i="8"/>
  <c r="BQ35" i="8" s="1"/>
  <c r="BE35" i="8"/>
  <c r="BM35" i="8" s="1"/>
  <c r="BB33" i="8"/>
  <c r="BF32" i="8"/>
  <c r="BN32" i="8" s="1"/>
  <c r="BI31" i="8"/>
  <c r="BQ31" i="8" s="1"/>
  <c r="BE31" i="8"/>
  <c r="BM31" i="8" s="1"/>
  <c r="BB29" i="8"/>
  <c r="BF28" i="8"/>
  <c r="BN28" i="8" s="1"/>
  <c r="BI27" i="8"/>
  <c r="BQ27" i="8" s="1"/>
  <c r="BE27" i="8"/>
  <c r="BM27" i="8" s="1"/>
  <c r="BH26" i="8"/>
  <c r="BP26" i="8" s="1"/>
  <c r="BC21" i="8"/>
  <c r="BC17" i="8"/>
  <c r="BC13" i="8"/>
  <c r="BC9" i="8"/>
  <c r="BI23" i="8"/>
  <c r="BQ23" i="8" s="1"/>
  <c r="BI19" i="8"/>
  <c r="BQ19" i="8" s="1"/>
  <c r="BI15" i="8"/>
  <c r="BQ15" i="8" s="1"/>
  <c r="BI11" i="8"/>
  <c r="BQ11" i="8" s="1"/>
  <c r="BI7" i="8"/>
  <c r="BQ7" i="8" s="1"/>
  <c r="BG25" i="8"/>
  <c r="BE23" i="8"/>
  <c r="BM23" i="8" s="1"/>
  <c r="BG21" i="8"/>
  <c r="BE19" i="8"/>
  <c r="BM19" i="8" s="1"/>
  <c r="BG17" i="8"/>
  <c r="BE15" i="8"/>
  <c r="BM15" i="8" s="1"/>
  <c r="BG13" i="8"/>
  <c r="BE11" i="8"/>
  <c r="BM11" i="8" s="1"/>
  <c r="BG9" i="8"/>
  <c r="BE7" i="8"/>
  <c r="BM7" i="8" s="1"/>
  <c r="BY160" i="8"/>
  <c r="CG160" i="8" s="1"/>
  <c r="BR201" i="8"/>
  <c r="BZ201" i="8" s="1"/>
  <c r="BU192" i="8"/>
  <c r="CC192" i="8" s="1"/>
  <c r="BU200" i="8"/>
  <c r="CC200" i="8" s="1"/>
  <c r="BW198" i="8"/>
  <c r="CE198" i="8" s="1"/>
  <c r="BS202" i="8"/>
  <c r="CA202" i="8" s="1"/>
  <c r="BC202" i="8"/>
  <c r="BG201" i="8"/>
  <c r="BO201" i="8" s="1"/>
  <c r="BH183" i="8"/>
  <c r="BP183" i="8" s="1"/>
  <c r="BH179" i="8"/>
  <c r="BP179" i="8" s="1"/>
  <c r="BF177" i="8"/>
  <c r="BN177" i="8" s="1"/>
  <c r="BH175" i="8"/>
  <c r="BP175" i="8" s="1"/>
  <c r="BF173" i="8"/>
  <c r="BN173" i="8" s="1"/>
  <c r="BH171" i="8"/>
  <c r="BP171" i="8" s="1"/>
  <c r="BF169" i="8"/>
  <c r="BN169" i="8" s="1"/>
  <c r="BH167" i="8"/>
  <c r="BP167" i="8" s="1"/>
  <c r="BF165" i="8"/>
  <c r="BN165" i="8" s="1"/>
  <c r="BH163" i="8"/>
  <c r="BP163" i="8" s="1"/>
  <c r="BF161" i="8"/>
  <c r="BN161" i="8" s="1"/>
  <c r="BH159" i="8"/>
  <c r="BP159" i="8" s="1"/>
  <c r="BF157" i="8"/>
  <c r="BN157" i="8" s="1"/>
  <c r="BH155" i="8"/>
  <c r="BP155" i="8" s="1"/>
  <c r="BD187" i="8"/>
  <c r="BL187" i="8" s="1"/>
  <c r="BF185" i="8"/>
  <c r="BN185" i="8" s="1"/>
  <c r="BY188" i="8"/>
  <c r="CG188" i="8" s="1"/>
  <c r="BD183" i="8"/>
  <c r="BL183" i="8" s="1"/>
  <c r="BB182" i="8"/>
  <c r="BD179" i="8"/>
  <c r="BL179" i="8" s="1"/>
  <c r="BB178" i="8"/>
  <c r="BD175" i="8"/>
  <c r="BL175" i="8" s="1"/>
  <c r="BB174" i="8"/>
  <c r="BD171" i="8"/>
  <c r="BL171" i="8" s="1"/>
  <c r="BB170" i="8"/>
  <c r="BD167" i="8"/>
  <c r="BL167" i="8" s="1"/>
  <c r="BB166" i="8"/>
  <c r="BD163" i="8"/>
  <c r="BL163" i="8"/>
  <c r="BB162" i="8"/>
  <c r="BD159" i="8"/>
  <c r="BL159" i="8" s="1"/>
  <c r="BB158" i="8"/>
  <c r="BD155" i="8"/>
  <c r="BL155" i="8"/>
  <c r="BF153" i="8"/>
  <c r="BN153" i="8" s="1"/>
  <c r="BD151" i="8"/>
  <c r="BL151" i="8" s="1"/>
  <c r="BF149" i="8"/>
  <c r="BN149" i="8" s="1"/>
  <c r="BH143" i="8"/>
  <c r="BP143" i="8" s="1"/>
  <c r="BH139" i="8"/>
  <c r="BP139" i="8" s="1"/>
  <c r="BH135" i="8"/>
  <c r="BP135" i="8" s="1"/>
  <c r="BH147" i="8"/>
  <c r="BP147" i="8" s="1"/>
  <c r="BD147" i="8"/>
  <c r="BL147" i="8" s="1"/>
  <c r="BI132" i="8"/>
  <c r="BQ132" i="8" s="1"/>
  <c r="BE132" i="8"/>
  <c r="BM132" i="8" s="1"/>
  <c r="BI128" i="8"/>
  <c r="BQ128" i="8" s="1"/>
  <c r="BC126" i="8"/>
  <c r="BI124" i="8"/>
  <c r="BQ124" i="8" s="1"/>
  <c r="BC122" i="8"/>
  <c r="BN121" i="8"/>
  <c r="BI120" i="8"/>
  <c r="BQ120" i="8" s="1"/>
  <c r="BC118" i="8"/>
  <c r="BI116" i="8"/>
  <c r="BQ116" i="8" s="1"/>
  <c r="BC114" i="8"/>
  <c r="BH113" i="8"/>
  <c r="BP113" i="8" s="1"/>
  <c r="BI112" i="8"/>
  <c r="BQ112" i="8" s="1"/>
  <c r="BC110" i="8"/>
  <c r="BN109" i="8"/>
  <c r="BI108" i="8"/>
  <c r="BQ108" i="8" s="1"/>
  <c r="BF103" i="8"/>
  <c r="BN103" i="8" s="1"/>
  <c r="BH101" i="8"/>
  <c r="BP101" i="8" s="1"/>
  <c r="BF99" i="8"/>
  <c r="BN99" i="8" s="1"/>
  <c r="BF118" i="8"/>
  <c r="BN118" i="8" s="1"/>
  <c r="BF106" i="8"/>
  <c r="BN106" i="8" s="1"/>
  <c r="BG130" i="8"/>
  <c r="BC130" i="8"/>
  <c r="BE128" i="8"/>
  <c r="BM128" i="8" s="1"/>
  <c r="BG126" i="8"/>
  <c r="BE124" i="8"/>
  <c r="BM124" i="8"/>
  <c r="BG122" i="8"/>
  <c r="BE120" i="8"/>
  <c r="BM120" i="8" s="1"/>
  <c r="BG118" i="8"/>
  <c r="BE116" i="8"/>
  <c r="BM116" i="8" s="1"/>
  <c r="BG114" i="8"/>
  <c r="BE112" i="8"/>
  <c r="BM112" i="8" s="1"/>
  <c r="BG110" i="8"/>
  <c r="BE108" i="8"/>
  <c r="BM108" i="8" s="1"/>
  <c r="BB104" i="8"/>
  <c r="BD101" i="8"/>
  <c r="BL101" i="8" s="1"/>
  <c r="BB100" i="8"/>
  <c r="BI26" i="8"/>
  <c r="BQ26" i="8" s="1"/>
  <c r="BN24" i="8"/>
  <c r="BN16" i="8"/>
  <c r="BN12" i="8"/>
  <c r="BE186" i="8" l="1"/>
  <c r="BM186" i="8" s="1"/>
  <c r="BU159" i="8"/>
  <c r="CC159" i="8" s="1"/>
  <c r="BR191" i="8"/>
  <c r="BZ191" i="8" s="1"/>
  <c r="BC168" i="8"/>
  <c r="BK168" i="8" s="1"/>
  <c r="BS175" i="8"/>
  <c r="CA175" i="8" s="1"/>
  <c r="BO45" i="8"/>
  <c r="BB159" i="8"/>
  <c r="BJ159" i="8" s="1"/>
  <c r="BD160" i="8"/>
  <c r="BL160" i="8" s="1"/>
  <c r="BO49" i="8"/>
  <c r="BO126" i="8"/>
  <c r="BC101" i="8"/>
  <c r="BK101" i="8" s="1"/>
  <c r="BB10" i="8"/>
  <c r="BJ10" i="8" s="1"/>
  <c r="BC74" i="8"/>
  <c r="BK74" i="8" s="1"/>
  <c r="BO122" i="8"/>
  <c r="BF123" i="8"/>
  <c r="BN123" i="8" s="1"/>
  <c r="BB132" i="8"/>
  <c r="BJ132" i="8" s="1"/>
  <c r="BE162" i="8"/>
  <c r="BM162" i="8" s="1"/>
  <c r="BG172" i="8"/>
  <c r="BO172" i="8" s="1"/>
  <c r="BW197" i="8"/>
  <c r="CE197" i="8" s="1"/>
  <c r="BC156" i="8"/>
  <c r="BK156" i="8" s="1"/>
  <c r="BC172" i="8"/>
  <c r="BK172" i="8" s="1"/>
  <c r="BD193" i="8"/>
  <c r="BL193" i="8" s="1"/>
  <c r="BB44" i="8"/>
  <c r="BJ44" i="8" s="1"/>
  <c r="BO29" i="8"/>
  <c r="BE202" i="8"/>
  <c r="BM202" i="8" s="1"/>
  <c r="BB206" i="8"/>
  <c r="BH203" i="8"/>
  <c r="BP203" i="8" s="1"/>
  <c r="BD203" i="8"/>
  <c r="BL203" i="8" s="1"/>
  <c r="BI200" i="8"/>
  <c r="BQ200" i="8" s="1"/>
  <c r="BE200" i="8"/>
  <c r="BM200" i="8" s="1"/>
  <c r="BB198" i="8"/>
  <c r="BJ198" i="8" s="1"/>
  <c r="BC164" i="8"/>
  <c r="BK164" i="8" s="1"/>
  <c r="BS183" i="8"/>
  <c r="CA183" i="8" s="1"/>
  <c r="BB188" i="8"/>
  <c r="BJ188" i="8" s="1"/>
  <c r="BD176" i="8"/>
  <c r="BL176" i="8" s="1"/>
  <c r="BR154" i="8"/>
  <c r="BZ154" i="8" s="1"/>
  <c r="BE62" i="8"/>
  <c r="BM62" i="8" s="1"/>
  <c r="BC152" i="8"/>
  <c r="BK152" i="8" s="1"/>
  <c r="BJ166" i="8"/>
  <c r="BG176" i="8"/>
  <c r="BO176" i="8" s="1"/>
  <c r="BU187" i="8"/>
  <c r="CC187" i="8" s="1"/>
  <c r="BC160" i="8"/>
  <c r="BK160" i="8" s="1"/>
  <c r="BG165" i="8"/>
  <c r="BO165" i="8" s="1"/>
  <c r="BT204" i="8"/>
  <c r="CB204" i="8" s="1"/>
  <c r="BD204" i="8"/>
  <c r="BL204" i="8" s="1"/>
  <c r="BS203" i="8"/>
  <c r="CA203" i="8" s="1"/>
  <c r="BC203" i="8"/>
  <c r="BK203" i="8" s="1"/>
  <c r="BT202" i="8"/>
  <c r="CB202" i="8" s="1"/>
  <c r="BD202" i="8"/>
  <c r="BL202" i="8" s="1"/>
  <c r="BS201" i="8"/>
  <c r="CA201" i="8" s="1"/>
  <c r="BC201" i="8"/>
  <c r="BK201" i="8" s="1"/>
  <c r="BV200" i="8"/>
  <c r="CD200" i="8" s="1"/>
  <c r="BF200" i="8"/>
  <c r="BN200" i="8" s="1"/>
  <c r="BV198" i="8"/>
  <c r="CD198" i="8" s="1"/>
  <c r="BF198" i="8"/>
  <c r="BN198" i="8" s="1"/>
  <c r="BW196" i="8"/>
  <c r="CE196" i="8" s="1"/>
  <c r="BG196" i="8"/>
  <c r="BO196" i="8" s="1"/>
  <c r="BT196" i="8"/>
  <c r="CB196" i="8" s="1"/>
  <c r="BD196" i="8"/>
  <c r="BL196" i="8" s="1"/>
  <c r="BT192" i="8"/>
  <c r="CB192" i="8" s="1"/>
  <c r="BD192" i="8"/>
  <c r="BL192" i="8" s="1"/>
  <c r="BV190" i="8"/>
  <c r="CD190" i="8" s="1"/>
  <c r="BF190" i="8"/>
  <c r="BN190" i="8" s="1"/>
  <c r="BV188" i="8"/>
  <c r="CD188" i="8" s="1"/>
  <c r="BF188" i="8"/>
  <c r="BN188" i="8" s="1"/>
  <c r="BV187" i="8"/>
  <c r="CD187" i="8" s="1"/>
  <c r="BF187" i="8"/>
  <c r="BN187" i="8" s="1"/>
  <c r="BW185" i="8"/>
  <c r="CE185" i="8" s="1"/>
  <c r="BG185" i="8"/>
  <c r="BO185" i="8" s="1"/>
  <c r="BX180" i="8"/>
  <c r="CF180" i="8" s="1"/>
  <c r="BW180" i="8"/>
  <c r="CE180" i="8" s="1"/>
  <c r="BX179" i="8"/>
  <c r="CF179" i="8" s="1"/>
  <c r="BY179" i="8"/>
  <c r="CG179" i="8" s="1"/>
  <c r="BU179" i="8"/>
  <c r="CC179" i="8" s="1"/>
  <c r="BE179" i="8"/>
  <c r="BM179" i="8" s="1"/>
  <c r="BW177" i="8"/>
  <c r="CE177" i="8" s="1"/>
  <c r="BG177" i="8"/>
  <c r="BO177" i="8" s="1"/>
  <c r="BU177" i="8"/>
  <c r="CC177" i="8" s="1"/>
  <c r="BE177" i="8"/>
  <c r="BM177" i="8" s="1"/>
  <c r="BV176" i="8"/>
  <c r="CD176" i="8" s="1"/>
  <c r="BF176" i="8"/>
  <c r="BN176" i="8" s="1"/>
  <c r="BU173" i="8"/>
  <c r="CC173" i="8" s="1"/>
  <c r="BE173" i="8"/>
  <c r="BM173" i="8" s="1"/>
  <c r="BU171" i="8"/>
  <c r="CC171" i="8" s="1"/>
  <c r="BE171" i="8"/>
  <c r="BM171" i="8" s="1"/>
  <c r="BX170" i="8"/>
  <c r="CF170" i="8" s="1"/>
  <c r="BY170" i="8"/>
  <c r="CG170" i="8" s="1"/>
  <c r="BR167" i="8"/>
  <c r="BZ167" i="8" s="1"/>
  <c r="BB167" i="8"/>
  <c r="BJ167" i="8" s="1"/>
  <c r="BV166" i="8"/>
  <c r="CD166" i="8" s="1"/>
  <c r="BF166" i="8"/>
  <c r="BN166" i="8" s="1"/>
  <c r="BS165" i="8"/>
  <c r="CA165" i="8" s="1"/>
  <c r="BC165" i="8"/>
  <c r="BK165" i="8" s="1"/>
  <c r="BW164" i="8"/>
  <c r="CE164" i="8" s="1"/>
  <c r="BX164" i="8"/>
  <c r="CF164" i="8" s="1"/>
  <c r="BX163" i="8"/>
  <c r="CF163" i="8" s="1"/>
  <c r="BG163" i="8"/>
  <c r="BO163" i="8" s="1"/>
  <c r="BU163" i="8"/>
  <c r="CC163" i="8" s="1"/>
  <c r="BE163" i="8"/>
  <c r="BM163" i="8" s="1"/>
  <c r="BS163" i="8"/>
  <c r="CA163" i="8" s="1"/>
  <c r="BC163" i="8"/>
  <c r="BK163" i="8" s="1"/>
  <c r="BW160" i="8"/>
  <c r="CE160" i="8" s="1"/>
  <c r="BX160" i="8"/>
  <c r="CF160" i="8" s="1"/>
  <c r="BT158" i="8"/>
  <c r="CB158" i="8" s="1"/>
  <c r="BD158" i="8"/>
  <c r="BL158" i="8" s="1"/>
  <c r="BU155" i="8"/>
  <c r="CC155" i="8" s="1"/>
  <c r="BE155" i="8"/>
  <c r="BM155" i="8" s="1"/>
  <c r="BW152" i="8"/>
  <c r="CE152" i="8" s="1"/>
  <c r="BX152" i="8"/>
  <c r="CF152" i="8" s="1"/>
  <c r="BG152" i="8"/>
  <c r="BO152" i="8" s="1"/>
  <c r="BW149" i="8"/>
  <c r="CE149" i="8" s="1"/>
  <c r="BG149" i="8"/>
  <c r="BO149" i="8" s="1"/>
  <c r="BU149" i="8"/>
  <c r="CC149" i="8" s="1"/>
  <c r="BE149" i="8"/>
  <c r="BM149" i="8" s="1"/>
  <c r="BR149" i="8"/>
  <c r="BZ149" i="8" s="1"/>
  <c r="BB149" i="8"/>
  <c r="BJ149" i="8" s="1"/>
  <c r="BW113" i="8"/>
  <c r="CE113" i="8" s="1"/>
  <c r="BG113" i="8"/>
  <c r="BO113" i="8" s="1"/>
  <c r="BC59" i="8"/>
  <c r="BK59" i="8" s="1"/>
  <c r="BS59" i="8"/>
  <c r="CA59" i="8" s="1"/>
  <c r="BY9" i="8"/>
  <c r="CG9" i="8" s="1"/>
  <c r="BI9" i="8"/>
  <c r="BQ9" i="8" s="1"/>
  <c r="BI40" i="8"/>
  <c r="BQ40" i="8" s="1"/>
  <c r="BD97" i="8"/>
  <c r="BL97" i="8" s="1"/>
  <c r="BF122" i="8"/>
  <c r="BN122" i="8" s="1"/>
  <c r="BB19" i="8"/>
  <c r="BJ19" i="8" s="1"/>
  <c r="BH37" i="8"/>
  <c r="BP37" i="8" s="1"/>
  <c r="BE100" i="8"/>
  <c r="BM100" i="8" s="1"/>
  <c r="BB116" i="8"/>
  <c r="BJ116" i="8" s="1"/>
  <c r="BD125" i="8"/>
  <c r="BL125" i="8" s="1"/>
  <c r="BF114" i="8"/>
  <c r="BN114" i="8" s="1"/>
  <c r="BD133" i="8"/>
  <c r="BL133" i="8" s="1"/>
  <c r="BC148" i="8"/>
  <c r="BK148" i="8" s="1"/>
  <c r="BE154" i="8"/>
  <c r="BM154" i="8" s="1"/>
  <c r="BE158" i="8"/>
  <c r="BM158" i="8" s="1"/>
  <c r="BJ162" i="8"/>
  <c r="BG164" i="8"/>
  <c r="BO164" i="8" s="1"/>
  <c r="BG168" i="8"/>
  <c r="BO168" i="8" s="1"/>
  <c r="BE182" i="8"/>
  <c r="BM182" i="8" s="1"/>
  <c r="BT188" i="8"/>
  <c r="CB188" i="8" s="1"/>
  <c r="BG193" i="8"/>
  <c r="BO193" i="8" s="1"/>
  <c r="BS173" i="8"/>
  <c r="CA173" i="8" s="1"/>
  <c r="BS181" i="8"/>
  <c r="CA181" i="8" s="1"/>
  <c r="BB193" i="8"/>
  <c r="BJ193" i="8" s="1"/>
  <c r="BB200" i="8"/>
  <c r="BJ200" i="8" s="1"/>
  <c r="BX172" i="8"/>
  <c r="CF172" i="8" s="1"/>
  <c r="BX176" i="8"/>
  <c r="CF176" i="8" s="1"/>
  <c r="BJ61" i="8"/>
  <c r="BO150" i="8"/>
  <c r="BG155" i="8"/>
  <c r="BO155" i="8" s="1"/>
  <c r="BF172" i="8"/>
  <c r="BN172" i="8" s="1"/>
  <c r="BD172" i="8"/>
  <c r="BL172" i="8" s="1"/>
  <c r="BX195" i="8"/>
  <c r="CF195" i="8" s="1"/>
  <c r="BX192" i="8"/>
  <c r="CF192" i="8" s="1"/>
  <c r="BH197" i="8"/>
  <c r="BP197" i="8" s="1"/>
  <c r="BT71" i="8"/>
  <c r="CB71" i="8" s="1"/>
  <c r="BW151" i="8"/>
  <c r="CE151" i="8" s="1"/>
  <c r="BY203" i="8"/>
  <c r="CG203" i="8" s="1"/>
  <c r="BG203" i="8"/>
  <c r="BO203" i="8" s="1"/>
  <c r="BW203" i="8"/>
  <c r="CE203" i="8" s="1"/>
  <c r="BX203" i="8"/>
  <c r="CF203" i="8" s="1"/>
  <c r="BX202" i="8"/>
  <c r="CF202" i="8" s="1"/>
  <c r="BH202" i="8"/>
  <c r="BP202" i="8" s="1"/>
  <c r="BW200" i="8"/>
  <c r="CE200" i="8" s="1"/>
  <c r="BX200" i="8"/>
  <c r="CF200" i="8" s="1"/>
  <c r="BG200" i="8"/>
  <c r="BO200" i="8" s="1"/>
  <c r="BX199" i="8"/>
  <c r="CF199" i="8" s="1"/>
  <c r="BW199" i="8"/>
  <c r="CE199" i="8" s="1"/>
  <c r="BY199" i="8"/>
  <c r="CG199" i="8" s="1"/>
  <c r="BT197" i="8"/>
  <c r="CB197" i="8" s="1"/>
  <c r="BD197" i="8"/>
  <c r="BL197" i="8" s="1"/>
  <c r="BS197" i="8"/>
  <c r="CA197" i="8" s="1"/>
  <c r="BC197" i="8"/>
  <c r="BK197" i="8" s="1"/>
  <c r="BV195" i="8"/>
  <c r="CD195" i="8" s="1"/>
  <c r="BF195" i="8"/>
  <c r="BN195" i="8" s="1"/>
  <c r="BR195" i="8"/>
  <c r="BZ195" i="8" s="1"/>
  <c r="BB195" i="8"/>
  <c r="BJ195" i="8" s="1"/>
  <c r="BH194" i="8"/>
  <c r="BP194" i="8" s="1"/>
  <c r="BX194" i="8"/>
  <c r="CF194" i="8" s="1"/>
  <c r="BW191" i="8"/>
  <c r="CE191" i="8" s="1"/>
  <c r="BG191" i="8"/>
  <c r="BO191" i="8" s="1"/>
  <c r="BW187" i="8"/>
  <c r="CE187" i="8" s="1"/>
  <c r="BX187" i="8"/>
  <c r="CF187" i="8" s="1"/>
  <c r="BY187" i="8"/>
  <c r="CG187" i="8" s="1"/>
  <c r="BS187" i="8"/>
  <c r="CA187" i="8" s="1"/>
  <c r="BC187" i="8"/>
  <c r="BK187" i="8" s="1"/>
  <c r="BU185" i="8"/>
  <c r="CC185" i="8" s="1"/>
  <c r="BE185" i="8"/>
  <c r="BM185" i="8" s="1"/>
  <c r="BC185" i="8"/>
  <c r="BK185" i="8" s="1"/>
  <c r="BS185" i="8"/>
  <c r="CA185" i="8" s="1"/>
  <c r="BX184" i="8"/>
  <c r="CF184" i="8" s="1"/>
  <c r="BG184" i="8"/>
  <c r="BO184" i="8" s="1"/>
  <c r="BV180" i="8"/>
  <c r="CD180" i="8" s="1"/>
  <c r="BF180" i="8"/>
  <c r="BN180" i="8" s="1"/>
  <c r="BS176" i="8"/>
  <c r="CA176" i="8" s="1"/>
  <c r="BC176" i="8"/>
  <c r="BK176" i="8" s="1"/>
  <c r="BW175" i="8"/>
  <c r="CE175" i="8" s="1"/>
  <c r="BY175" i="8"/>
  <c r="CG175" i="8" s="1"/>
  <c r="BX175" i="8"/>
  <c r="CF175" i="8" s="1"/>
  <c r="BG175" i="8"/>
  <c r="BO175" i="8" s="1"/>
  <c r="BU175" i="8"/>
  <c r="CC175" i="8" s="1"/>
  <c r="BE175" i="8"/>
  <c r="BM175" i="8" s="1"/>
  <c r="BY171" i="8"/>
  <c r="CG171" i="8" s="1"/>
  <c r="BX171" i="8"/>
  <c r="CF171" i="8" s="1"/>
  <c r="BG171" i="8"/>
  <c r="BO171" i="8" s="1"/>
  <c r="BS171" i="8"/>
  <c r="CA171" i="8" s="1"/>
  <c r="BC171" i="8"/>
  <c r="BK171" i="8" s="1"/>
  <c r="BW169" i="8"/>
  <c r="CE169" i="8" s="1"/>
  <c r="BG169" i="8"/>
  <c r="BO169" i="8" s="1"/>
  <c r="BS169" i="8"/>
  <c r="CA169" i="8" s="1"/>
  <c r="BC169" i="8"/>
  <c r="BK169" i="8" s="1"/>
  <c r="BY167" i="8"/>
  <c r="CG167" i="8" s="1"/>
  <c r="BG167" i="8"/>
  <c r="BO167" i="8" s="1"/>
  <c r="BX167" i="8"/>
  <c r="CF167" i="8" s="1"/>
  <c r="BS167" i="8"/>
  <c r="CA167" i="8" s="1"/>
  <c r="BC167" i="8"/>
  <c r="BK167" i="8" s="1"/>
  <c r="BX166" i="8"/>
  <c r="CF166" i="8" s="1"/>
  <c r="BY166" i="8"/>
  <c r="CG166" i="8" s="1"/>
  <c r="BT166" i="8"/>
  <c r="CB166" i="8" s="1"/>
  <c r="BD166" i="8"/>
  <c r="BL166" i="8" s="1"/>
  <c r="BV164" i="8"/>
  <c r="CD164" i="8" s="1"/>
  <c r="BF164" i="8"/>
  <c r="BN164" i="8" s="1"/>
  <c r="BR163" i="8"/>
  <c r="BZ163" i="8" s="1"/>
  <c r="BB163" i="8"/>
  <c r="BJ163" i="8" s="1"/>
  <c r="BY162" i="8"/>
  <c r="CG162" i="8" s="1"/>
  <c r="BX162" i="8"/>
  <c r="CF162" i="8" s="1"/>
  <c r="BT162" i="8"/>
  <c r="CB162" i="8" s="1"/>
  <c r="BD162" i="8"/>
  <c r="BL162" i="8" s="1"/>
  <c r="BW153" i="8"/>
  <c r="CE153" i="8" s="1"/>
  <c r="BG153" i="8"/>
  <c r="BO153" i="8" s="1"/>
  <c r="BX150" i="8"/>
  <c r="CF150" i="8" s="1"/>
  <c r="BY150" i="8"/>
  <c r="CG150" i="8" s="1"/>
  <c r="BW148" i="8"/>
  <c r="CE148" i="8" s="1"/>
  <c r="BX148" i="8"/>
  <c r="CF148" i="8" s="1"/>
  <c r="BU89" i="8"/>
  <c r="CC89" i="8" s="1"/>
  <c r="BE89" i="8"/>
  <c r="BM89" i="8" s="1"/>
  <c r="BU85" i="8"/>
  <c r="CC85" i="8" s="1"/>
  <c r="BE85" i="8"/>
  <c r="BM85" i="8" s="1"/>
  <c r="BW32" i="8"/>
  <c r="CE32" i="8" s="1"/>
  <c r="BG32" i="8"/>
  <c r="BO32" i="8" s="1"/>
  <c r="BS14" i="8"/>
  <c r="CA14" i="8" s="1"/>
  <c r="BC14" i="8"/>
  <c r="BK14" i="8" s="1"/>
  <c r="BB18" i="8"/>
  <c r="BJ18" i="8" s="1"/>
  <c r="BC102" i="8"/>
  <c r="BK102" i="8" s="1"/>
  <c r="BE166" i="8"/>
  <c r="BM166" i="8" s="1"/>
  <c r="BJ178" i="8"/>
  <c r="BV202" i="8"/>
  <c r="CD202" i="8" s="1"/>
  <c r="BV186" i="8"/>
  <c r="CD186" i="8" s="1"/>
  <c r="BF196" i="8"/>
  <c r="BN196" i="8" s="1"/>
  <c r="BK202" i="8"/>
  <c r="BS155" i="8"/>
  <c r="CA155" i="8" s="1"/>
  <c r="BS177" i="8"/>
  <c r="CA177" i="8" s="1"/>
  <c r="BD194" i="8"/>
  <c r="BL194" i="8" s="1"/>
  <c r="BV174" i="8"/>
  <c r="CD174" i="8" s="1"/>
  <c r="BV182" i="8"/>
  <c r="CD182" i="8" s="1"/>
  <c r="BD11" i="8"/>
  <c r="BL11" i="8" s="1"/>
  <c r="BF17" i="8"/>
  <c r="BN17" i="8" s="1"/>
  <c r="BE53" i="8"/>
  <c r="BM53" i="8" s="1"/>
  <c r="BG148" i="8"/>
  <c r="BO148" i="8" s="1"/>
  <c r="BC157" i="8"/>
  <c r="BK157" i="8" s="1"/>
  <c r="BF168" i="8"/>
  <c r="BN168" i="8" s="1"/>
  <c r="BG179" i="8"/>
  <c r="BO179" i="8" s="1"/>
  <c r="BF151" i="8"/>
  <c r="BN151" i="8" s="1"/>
  <c r="BD164" i="8"/>
  <c r="BL164" i="8" s="1"/>
  <c r="BD180" i="8"/>
  <c r="BL180" i="8" s="1"/>
  <c r="BC191" i="8"/>
  <c r="BK191" i="8" s="1"/>
  <c r="BE205" i="8"/>
  <c r="BM205" i="8" s="1"/>
  <c r="BX186" i="8"/>
  <c r="CF186" i="8" s="1"/>
  <c r="BY163" i="8"/>
  <c r="CG163" i="8" s="1"/>
  <c r="BE203" i="8"/>
  <c r="BM203" i="8" s="1"/>
  <c r="BU203" i="8"/>
  <c r="CC203" i="8" s="1"/>
  <c r="BR199" i="8"/>
  <c r="BZ199" i="8" s="1"/>
  <c r="BB199" i="8"/>
  <c r="BJ199" i="8" s="1"/>
  <c r="BY198" i="8"/>
  <c r="CG198" i="8" s="1"/>
  <c r="BX198" i="8"/>
  <c r="CF198" i="8" s="1"/>
  <c r="BU198" i="8"/>
  <c r="CC198" i="8" s="1"/>
  <c r="BE198" i="8"/>
  <c r="BM198" i="8" s="1"/>
  <c r="BS195" i="8"/>
  <c r="CA195" i="8" s="1"/>
  <c r="BC195" i="8"/>
  <c r="BK195" i="8" s="1"/>
  <c r="BS193" i="8"/>
  <c r="CA193" i="8" s="1"/>
  <c r="BC193" i="8"/>
  <c r="BK193" i="8" s="1"/>
  <c r="BY190" i="8"/>
  <c r="CG190" i="8" s="1"/>
  <c r="BX190" i="8"/>
  <c r="CF190" i="8" s="1"/>
  <c r="BU189" i="8"/>
  <c r="CC189" i="8" s="1"/>
  <c r="BE189" i="8"/>
  <c r="BM189" i="8" s="1"/>
  <c r="BW183" i="8"/>
  <c r="CE183" i="8" s="1"/>
  <c r="BY183" i="8"/>
  <c r="CG183" i="8" s="1"/>
  <c r="BG183" i="8"/>
  <c r="BO183" i="8" s="1"/>
  <c r="BS180" i="8"/>
  <c r="CA180" i="8" s="1"/>
  <c r="BC180" i="8"/>
  <c r="BK180" i="8" s="1"/>
  <c r="BC179" i="8"/>
  <c r="BK179" i="8" s="1"/>
  <c r="BS179" i="8"/>
  <c r="CA179" i="8" s="1"/>
  <c r="BV178" i="8"/>
  <c r="CD178" i="8" s="1"/>
  <c r="BF178" i="8"/>
  <c r="BN178" i="8" s="1"/>
  <c r="BT178" i="8"/>
  <c r="CB178" i="8" s="1"/>
  <c r="BD178" i="8"/>
  <c r="BL178" i="8" s="1"/>
  <c r="BT174" i="8"/>
  <c r="CB174" i="8" s="1"/>
  <c r="BD174" i="8"/>
  <c r="BL174" i="8" s="1"/>
  <c r="BW173" i="8"/>
  <c r="CE173" i="8" s="1"/>
  <c r="BG173" i="8"/>
  <c r="BO173" i="8" s="1"/>
  <c r="BR171" i="8"/>
  <c r="BZ171" i="8" s="1"/>
  <c r="BB171" i="8"/>
  <c r="BJ171" i="8" s="1"/>
  <c r="BV170" i="8"/>
  <c r="CD170" i="8" s="1"/>
  <c r="BF170" i="8"/>
  <c r="BN170" i="8" s="1"/>
  <c r="BU169" i="8"/>
  <c r="CC169" i="8" s="1"/>
  <c r="BE169" i="8"/>
  <c r="BM169" i="8" s="1"/>
  <c r="BU167" i="8"/>
  <c r="CC167" i="8" s="1"/>
  <c r="BE167" i="8"/>
  <c r="BM167" i="8" s="1"/>
  <c r="BV162" i="8"/>
  <c r="CD162" i="8" s="1"/>
  <c r="BF162" i="8"/>
  <c r="BN162" i="8" s="1"/>
  <c r="BV160" i="8"/>
  <c r="CD160" i="8" s="1"/>
  <c r="BF160" i="8"/>
  <c r="BN160" i="8" s="1"/>
  <c r="BW159" i="8"/>
  <c r="CE159" i="8" s="1"/>
  <c r="BX159" i="8"/>
  <c r="CF159" i="8" s="1"/>
  <c r="BY159" i="8"/>
  <c r="CG159" i="8" s="1"/>
  <c r="BC159" i="8"/>
  <c r="BK159" i="8" s="1"/>
  <c r="BS159" i="8"/>
  <c r="CA159" i="8" s="1"/>
  <c r="BV158" i="8"/>
  <c r="CD158" i="8" s="1"/>
  <c r="BF158" i="8"/>
  <c r="BN158" i="8" s="1"/>
  <c r="BV156" i="8"/>
  <c r="CD156" i="8" s="1"/>
  <c r="BF156" i="8"/>
  <c r="BN156" i="8" s="1"/>
  <c r="BT156" i="8"/>
  <c r="CB156" i="8" s="1"/>
  <c r="BD156" i="8"/>
  <c r="BL156" i="8" s="1"/>
  <c r="BR155" i="8"/>
  <c r="BZ155" i="8" s="1"/>
  <c r="BB155" i="8"/>
  <c r="BJ155" i="8" s="1"/>
  <c r="BV154" i="8"/>
  <c r="CD154" i="8" s="1"/>
  <c r="BF154" i="8"/>
  <c r="BN154" i="8" s="1"/>
  <c r="BY153" i="8"/>
  <c r="CG153" i="8" s="1"/>
  <c r="BH153" i="8"/>
  <c r="BP153" i="8" s="1"/>
  <c r="BS151" i="8"/>
  <c r="CA151" i="8" s="1"/>
  <c r="BC151" i="8"/>
  <c r="BK151" i="8" s="1"/>
  <c r="BT150" i="8"/>
  <c r="CB150" i="8" s="1"/>
  <c r="BD150" i="8"/>
  <c r="BL150" i="8" s="1"/>
  <c r="BT148" i="8"/>
  <c r="CB148" i="8" s="1"/>
  <c r="BD148" i="8"/>
  <c r="BL148" i="8" s="1"/>
  <c r="BW79" i="8"/>
  <c r="CE79" i="8" s="1"/>
  <c r="BG79" i="8"/>
  <c r="BO79" i="8" s="1"/>
  <c r="BG30" i="8"/>
  <c r="BO30" i="8" s="1"/>
  <c r="BD65" i="8"/>
  <c r="BL65" i="8" s="1"/>
  <c r="BF147" i="8"/>
  <c r="BN147" i="8" s="1"/>
  <c r="BJ174" i="8"/>
  <c r="BG180" i="8"/>
  <c r="BO180" i="8" s="1"/>
  <c r="BG20" i="8"/>
  <c r="BO20" i="8" s="1"/>
  <c r="BG34" i="8"/>
  <c r="BO34" i="8" s="1"/>
  <c r="BH57" i="8"/>
  <c r="BP57" i="8" s="1"/>
  <c r="BC66" i="8"/>
  <c r="BK66" i="8" s="1"/>
  <c r="BK130" i="8"/>
  <c r="BF110" i="8"/>
  <c r="BN110" i="8" s="1"/>
  <c r="BF134" i="8"/>
  <c r="BN134" i="8" s="1"/>
  <c r="BE139" i="8"/>
  <c r="BM139" i="8" s="1"/>
  <c r="BE150" i="8"/>
  <c r="BM150" i="8" s="1"/>
  <c r="BG160" i="8"/>
  <c r="BO160" i="8" s="1"/>
  <c r="BE170" i="8"/>
  <c r="BM170" i="8" s="1"/>
  <c r="BE174" i="8"/>
  <c r="BM174" i="8" s="1"/>
  <c r="BE178" i="8"/>
  <c r="BM178" i="8" s="1"/>
  <c r="BJ182" i="8"/>
  <c r="BU195" i="8"/>
  <c r="CC195" i="8" s="1"/>
  <c r="BC184" i="8"/>
  <c r="BK184" i="8" s="1"/>
  <c r="BE199" i="8"/>
  <c r="BM199" i="8" s="1"/>
  <c r="BS161" i="8"/>
  <c r="CA161" i="8" s="1"/>
  <c r="BE183" i="8"/>
  <c r="BM183" i="8" s="1"/>
  <c r="BR197" i="8"/>
  <c r="BZ197" i="8" s="1"/>
  <c r="BE37" i="8"/>
  <c r="BM37" i="8" s="1"/>
  <c r="BJ150" i="8"/>
  <c r="BB153" i="8"/>
  <c r="BJ153" i="8" s="1"/>
  <c r="BF150" i="8"/>
  <c r="BN150" i="8" s="1"/>
  <c r="BG161" i="8"/>
  <c r="BO161" i="8" s="1"/>
  <c r="BD170" i="8"/>
  <c r="BL170" i="8" s="1"/>
  <c r="BD182" i="8"/>
  <c r="BL182" i="8" s="1"/>
  <c r="BD168" i="8"/>
  <c r="BL168" i="8" s="1"/>
  <c r="BG199" i="8"/>
  <c r="BO199" i="8" s="1"/>
  <c r="BX196" i="8"/>
  <c r="CF196" i="8" s="1"/>
  <c r="BF203" i="8"/>
  <c r="BN203" i="8" s="1"/>
  <c r="BY202" i="8"/>
  <c r="CG202" i="8" s="1"/>
  <c r="BY182" i="8"/>
  <c r="CG182" i="8" s="1"/>
  <c r="BX168" i="8"/>
  <c r="CF168" i="8" s="1"/>
  <c r="BY194" i="8"/>
  <c r="CG194" i="8" s="1"/>
  <c r="BW195" i="8"/>
  <c r="CE195" i="8" s="1"/>
  <c r="BJ154" i="8"/>
  <c r="BK198" i="8"/>
  <c r="BJ202" i="8"/>
  <c r="BO202" i="8"/>
  <c r="BK194" i="8"/>
  <c r="BI202" i="8"/>
  <c r="BQ202" i="8" s="1"/>
  <c r="BV192" i="8"/>
  <c r="CD192" i="8" s="1"/>
  <c r="BE192" i="8"/>
  <c r="BM192" i="8" s="1"/>
  <c r="BS192" i="8"/>
  <c r="CA192" i="8" s="1"/>
  <c r="BB192" i="8"/>
  <c r="BJ192" i="8" s="1"/>
  <c r="BI191" i="8"/>
  <c r="BQ191" i="8" s="1"/>
  <c r="BY191" i="8"/>
  <c r="CG191" i="8" s="1"/>
  <c r="BF191" i="8"/>
  <c r="BN191" i="8" s="1"/>
  <c r="BH189" i="8"/>
  <c r="BP189" i="8" s="1"/>
  <c r="BT189" i="8"/>
  <c r="CB189" i="8" s="1"/>
  <c r="BW157" i="8"/>
  <c r="CE157" i="8" s="1"/>
  <c r="BR157" i="8"/>
  <c r="BZ157" i="8" s="1"/>
  <c r="BX156" i="8"/>
  <c r="CF156" i="8" s="1"/>
  <c r="BC206" i="8"/>
  <c r="BK206" i="8" s="1"/>
  <c r="BU153" i="8"/>
  <c r="CC153" i="8" s="1"/>
  <c r="BT152" i="8"/>
  <c r="CB152" i="8" s="1"/>
  <c r="BX151" i="8"/>
  <c r="CF151" i="8" s="1"/>
  <c r="BV184" i="8"/>
  <c r="CD184" i="8" s="1"/>
  <c r="BG181" i="8"/>
  <c r="BR174" i="8"/>
  <c r="BZ174" i="8" s="1"/>
  <c r="BW167" i="8"/>
  <c r="CE167" i="8" s="1"/>
  <c r="BU165" i="8"/>
  <c r="CC165" i="8" s="1"/>
  <c r="BY136" i="8"/>
  <c r="CG136" i="8" s="1"/>
  <c r="BU136" i="8"/>
  <c r="CC136" i="8" s="1"/>
  <c r="BW118" i="8"/>
  <c r="CE118" i="8" s="1"/>
  <c r="BV117" i="8"/>
  <c r="CD117" i="8" s="1"/>
  <c r="BW85" i="8"/>
  <c r="CE85" i="8" s="1"/>
  <c r="BU83" i="8"/>
  <c r="CC83" i="8" s="1"/>
  <c r="BR81" i="8"/>
  <c r="BZ81" i="8" s="1"/>
  <c r="BV80" i="8"/>
  <c r="CD80" i="8" s="1"/>
  <c r="BW61" i="8"/>
  <c r="CE61" i="8" s="1"/>
  <c r="BS61" i="8"/>
  <c r="CA61" i="8" s="1"/>
  <c r="BR61" i="8"/>
  <c r="BZ61" i="8" s="1"/>
  <c r="BV60" i="8"/>
  <c r="CD60" i="8" s="1"/>
  <c r="BY59" i="8"/>
  <c r="CG59" i="8" s="1"/>
  <c r="BU59" i="8"/>
  <c r="CC59" i="8" s="1"/>
  <c r="BI210" i="8"/>
  <c r="BQ210" i="8" s="1"/>
  <c r="BY210" i="8"/>
  <c r="CG210" i="8" s="1"/>
  <c r="BC147" i="8"/>
  <c r="BK147" i="8" s="1"/>
  <c r="BS147" i="8"/>
  <c r="CA147" i="8" s="1"/>
  <c r="BY146" i="8"/>
  <c r="CG146" i="8" s="1"/>
  <c r="BX146" i="8"/>
  <c r="CF146" i="8" s="1"/>
  <c r="BH145" i="8"/>
  <c r="BP145" i="8" s="1"/>
  <c r="BY145" i="8"/>
  <c r="CG145" i="8" s="1"/>
  <c r="BC144" i="8"/>
  <c r="BK144" i="8" s="1"/>
  <c r="BS144" i="8"/>
  <c r="CA144" i="8" s="1"/>
  <c r="BY143" i="8"/>
  <c r="CG143" i="8" s="1"/>
  <c r="BX143" i="8"/>
  <c r="CF143" i="8" s="1"/>
  <c r="BW143" i="8"/>
  <c r="CE143" i="8" s="1"/>
  <c r="BX139" i="8"/>
  <c r="CF139" i="8" s="1"/>
  <c r="BW139" i="8"/>
  <c r="CE139" i="8" s="1"/>
  <c r="BY139" i="8"/>
  <c r="CG139" i="8" s="1"/>
  <c r="BV139" i="8"/>
  <c r="CD139" i="8" s="1"/>
  <c r="BF139" i="8"/>
  <c r="BN139" i="8" s="1"/>
  <c r="BR139" i="8"/>
  <c r="BZ139" i="8" s="1"/>
  <c r="BB139" i="8"/>
  <c r="BJ139" i="8" s="1"/>
  <c r="BY138" i="8"/>
  <c r="CG138" i="8" s="1"/>
  <c r="BX138" i="8"/>
  <c r="CF138" i="8" s="1"/>
  <c r="BH137" i="8"/>
  <c r="BP137" i="8" s="1"/>
  <c r="BY137" i="8"/>
  <c r="CG137" i="8" s="1"/>
  <c r="BR136" i="8"/>
  <c r="BZ136" i="8" s="1"/>
  <c r="BB136" i="8"/>
  <c r="BJ136" i="8" s="1"/>
  <c r="BX135" i="8"/>
  <c r="CF135" i="8" s="1"/>
  <c r="BY135" i="8"/>
  <c r="CG135" i="8" s="1"/>
  <c r="BU135" i="8"/>
  <c r="CC135" i="8" s="1"/>
  <c r="BE135" i="8"/>
  <c r="BM135" i="8" s="1"/>
  <c r="BB135" i="8"/>
  <c r="BJ135" i="8" s="1"/>
  <c r="BR135" i="8"/>
  <c r="BZ135" i="8" s="1"/>
  <c r="BG133" i="8"/>
  <c r="BO133" i="8" s="1"/>
  <c r="BW133" i="8"/>
  <c r="CE133" i="8" s="1"/>
  <c r="BS133" i="8"/>
  <c r="CA133" i="8" s="1"/>
  <c r="BC133" i="8"/>
  <c r="BK133" i="8" s="1"/>
  <c r="BS132" i="8"/>
  <c r="CA132" i="8" s="1"/>
  <c r="BC132" i="8"/>
  <c r="BK132" i="8" s="1"/>
  <c r="BR129" i="8"/>
  <c r="BZ129" i="8" s="1"/>
  <c r="BB129" i="8"/>
  <c r="BJ129" i="8" s="1"/>
  <c r="BV128" i="8"/>
  <c r="CD128" i="8" s="1"/>
  <c r="BF128" i="8"/>
  <c r="BN128" i="8" s="1"/>
  <c r="BR128" i="8"/>
  <c r="BZ128" i="8" s="1"/>
  <c r="BB128" i="8"/>
  <c r="BJ128" i="8" s="1"/>
  <c r="BX126" i="8"/>
  <c r="CF126" i="8" s="1"/>
  <c r="BH126" i="8"/>
  <c r="BP126" i="8" s="1"/>
  <c r="BV126" i="8"/>
  <c r="CD126" i="8" s="1"/>
  <c r="BF126" i="8"/>
  <c r="BN126" i="8" s="1"/>
  <c r="BW124" i="8"/>
  <c r="CE124" i="8" s="1"/>
  <c r="BX124" i="8"/>
  <c r="CF124" i="8" s="1"/>
  <c r="BV120" i="8"/>
  <c r="CD120" i="8" s="1"/>
  <c r="BF120" i="8"/>
  <c r="BN120" i="8" s="1"/>
  <c r="BS120" i="8"/>
  <c r="CA120" i="8" s="1"/>
  <c r="BC120" i="8"/>
  <c r="BK120" i="8" s="1"/>
  <c r="BF116" i="8"/>
  <c r="BN116" i="8" s="1"/>
  <c r="BV116" i="8"/>
  <c r="CD116" i="8" s="1"/>
  <c r="BY114" i="8"/>
  <c r="CG114" i="8" s="1"/>
  <c r="BX114" i="8"/>
  <c r="CF114" i="8" s="1"/>
  <c r="BE114" i="8"/>
  <c r="BM114" i="8" s="1"/>
  <c r="BU114" i="8"/>
  <c r="CC114" i="8" s="1"/>
  <c r="BW112" i="8"/>
  <c r="CE112" i="8" s="1"/>
  <c r="BX112" i="8"/>
  <c r="CF112" i="8" s="1"/>
  <c r="BW111" i="8"/>
  <c r="CE111" i="8" s="1"/>
  <c r="BX111" i="8"/>
  <c r="CF111" i="8" s="1"/>
  <c r="BY111" i="8"/>
  <c r="CG111" i="8" s="1"/>
  <c r="BG111" i="8"/>
  <c r="BO111" i="8" s="1"/>
  <c r="BS109" i="8"/>
  <c r="CA109" i="8" s="1"/>
  <c r="BC109" i="8"/>
  <c r="BK109" i="8" s="1"/>
  <c r="BS108" i="8"/>
  <c r="CA108" i="8" s="1"/>
  <c r="BC108" i="8"/>
  <c r="BK108" i="8" s="1"/>
  <c r="BV104" i="8"/>
  <c r="CD104" i="8" s="1"/>
  <c r="BF104" i="8"/>
  <c r="BN104" i="8" s="1"/>
  <c r="BU103" i="8"/>
  <c r="CC103" i="8" s="1"/>
  <c r="BE103" i="8"/>
  <c r="BM103" i="8" s="1"/>
  <c r="BT99" i="8"/>
  <c r="CB99" i="8" s="1"/>
  <c r="BD99" i="8"/>
  <c r="BL99" i="8" s="1"/>
  <c r="BW98" i="8"/>
  <c r="CE98" i="8" s="1"/>
  <c r="BX98" i="8"/>
  <c r="CF98" i="8" s="1"/>
  <c r="BG98" i="8"/>
  <c r="BO98" i="8" s="1"/>
  <c r="BR98" i="8"/>
  <c r="BZ98" i="8" s="1"/>
  <c r="BB98" i="8"/>
  <c r="BJ98" i="8" s="1"/>
  <c r="BV97" i="8"/>
  <c r="CD97" i="8" s="1"/>
  <c r="BF97" i="8"/>
  <c r="BN97" i="8" s="1"/>
  <c r="BS95" i="8"/>
  <c r="CA95" i="8" s="1"/>
  <c r="BC95" i="8"/>
  <c r="BK95" i="8" s="1"/>
  <c r="BY94" i="8"/>
  <c r="CG94" i="8" s="1"/>
  <c r="BX94" i="8"/>
  <c r="CF94" i="8" s="1"/>
  <c r="BW94" i="8"/>
  <c r="CE94" i="8" s="1"/>
  <c r="BG94" i="8"/>
  <c r="BO94" i="8" s="1"/>
  <c r="BU92" i="8"/>
  <c r="CC92" i="8" s="1"/>
  <c r="BE92" i="8"/>
  <c r="BM92" i="8" s="1"/>
  <c r="BS91" i="8"/>
  <c r="CA91" i="8" s="1"/>
  <c r="BC91" i="8"/>
  <c r="BK91" i="8" s="1"/>
  <c r="BR90" i="8"/>
  <c r="BZ90" i="8" s="1"/>
  <c r="BB90" i="8"/>
  <c r="BJ90" i="8" s="1"/>
  <c r="BW88" i="8"/>
  <c r="CE88" i="8" s="1"/>
  <c r="BG88" i="8"/>
  <c r="BO88" i="8" s="1"/>
  <c r="BU88" i="8"/>
  <c r="CC88" i="8" s="1"/>
  <c r="BE88" i="8"/>
  <c r="BM88" i="8" s="1"/>
  <c r="BR88" i="8"/>
  <c r="BZ88" i="8" s="1"/>
  <c r="BB88" i="8"/>
  <c r="BJ88" i="8" s="1"/>
  <c r="BR86" i="8"/>
  <c r="BZ86" i="8" s="1"/>
  <c r="BB86" i="8"/>
  <c r="BJ86" i="8" s="1"/>
  <c r="BV85" i="8"/>
  <c r="CD85" i="8" s="1"/>
  <c r="BF85" i="8"/>
  <c r="BN85" i="8" s="1"/>
  <c r="BT85" i="8"/>
  <c r="CB85" i="8" s="1"/>
  <c r="BD85" i="8"/>
  <c r="BL85" i="8" s="1"/>
  <c r="BR84" i="8"/>
  <c r="BZ84" i="8" s="1"/>
  <c r="BB84" i="8"/>
  <c r="BJ84" i="8" s="1"/>
  <c r="BT83" i="8"/>
  <c r="CB83" i="8" s="1"/>
  <c r="BD83" i="8"/>
  <c r="BL83" i="8" s="1"/>
  <c r="BS82" i="8"/>
  <c r="CA82" i="8" s="1"/>
  <c r="BC82" i="8"/>
  <c r="BK82" i="8" s="1"/>
  <c r="BW80" i="8"/>
  <c r="CE80" i="8" s="1"/>
  <c r="BG80" i="8"/>
  <c r="BO80" i="8" s="1"/>
  <c r="BS80" i="8"/>
  <c r="CA80" i="8" s="1"/>
  <c r="BC80" i="8"/>
  <c r="BK80" i="8" s="1"/>
  <c r="BV79" i="8"/>
  <c r="CD79" i="8" s="1"/>
  <c r="BF79" i="8"/>
  <c r="BN79" i="8" s="1"/>
  <c r="BX77" i="8"/>
  <c r="CF77" i="8" s="1"/>
  <c r="BY77" i="8"/>
  <c r="CG77" i="8" s="1"/>
  <c r="BW76" i="8"/>
  <c r="CE76" i="8" s="1"/>
  <c r="BG76" i="8"/>
  <c r="BO76" i="8" s="1"/>
  <c r="BS76" i="8"/>
  <c r="CA76" i="8" s="1"/>
  <c r="BC76" i="8"/>
  <c r="BK76" i="8" s="1"/>
  <c r="BS75" i="8"/>
  <c r="CA75" i="8" s="1"/>
  <c r="BC75" i="8"/>
  <c r="BK75" i="8" s="1"/>
  <c r="BY73" i="8"/>
  <c r="CG73" i="8" s="1"/>
  <c r="BX73" i="8"/>
  <c r="CF73" i="8" s="1"/>
  <c r="BT73" i="8"/>
  <c r="CB73" i="8" s="1"/>
  <c r="BD73" i="8"/>
  <c r="BL73" i="8" s="1"/>
  <c r="BR72" i="8"/>
  <c r="BZ72" i="8" s="1"/>
  <c r="BB72" i="8"/>
  <c r="BJ72" i="8" s="1"/>
  <c r="BX71" i="8"/>
  <c r="CF71" i="8" s="1"/>
  <c r="BW71" i="8"/>
  <c r="CE71" i="8" s="1"/>
  <c r="BY70" i="8"/>
  <c r="CG70" i="8" s="1"/>
  <c r="BX70" i="8"/>
  <c r="CF70" i="8" s="1"/>
  <c r="BW70" i="8"/>
  <c r="CE70" i="8" s="1"/>
  <c r="BU66" i="8"/>
  <c r="CC66" i="8" s="1"/>
  <c r="BE66" i="8"/>
  <c r="BM66" i="8" s="1"/>
  <c r="BX65" i="8"/>
  <c r="CF65" i="8" s="1"/>
  <c r="BY65" i="8"/>
  <c r="CG65" i="8" s="1"/>
  <c r="BH65" i="8"/>
  <c r="BP65" i="8" s="1"/>
  <c r="BU65" i="8"/>
  <c r="CC65" i="8" s="1"/>
  <c r="BE65" i="8"/>
  <c r="BM65" i="8" s="1"/>
  <c r="BX63" i="8"/>
  <c r="CF63" i="8" s="1"/>
  <c r="BW63" i="8"/>
  <c r="CE63" i="8" s="1"/>
  <c r="BG63" i="8"/>
  <c r="BO63" i="8" s="1"/>
  <c r="BX58" i="8"/>
  <c r="CF58" i="8" s="1"/>
  <c r="BW58" i="8"/>
  <c r="CE58" i="8" s="1"/>
  <c r="BY58" i="8"/>
  <c r="CG58" i="8" s="1"/>
  <c r="BT55" i="8"/>
  <c r="CB55" i="8" s="1"/>
  <c r="BD55" i="8"/>
  <c r="BL55" i="8" s="1"/>
  <c r="BR55" i="8"/>
  <c r="BZ55" i="8" s="1"/>
  <c r="BB55" i="8"/>
  <c r="BJ55" i="8" s="1"/>
  <c r="BY53" i="8"/>
  <c r="CG53" i="8" s="1"/>
  <c r="BI53" i="8"/>
  <c r="BQ53" i="8" s="1"/>
  <c r="BY52" i="8"/>
  <c r="CG52" i="8" s="1"/>
  <c r="BI52" i="8"/>
  <c r="BQ52" i="8" s="1"/>
  <c r="BU50" i="8"/>
  <c r="CC50" i="8" s="1"/>
  <c r="BE50" i="8"/>
  <c r="BM50" i="8" s="1"/>
  <c r="BX48" i="8"/>
  <c r="CF48" i="8" s="1"/>
  <c r="BH48" i="8"/>
  <c r="BP48" i="8" s="1"/>
  <c r="BF47" i="8"/>
  <c r="BN47" i="8" s="1"/>
  <c r="BV47" i="8"/>
  <c r="CD47" i="8" s="1"/>
  <c r="BR47" i="8"/>
  <c r="BZ47" i="8" s="1"/>
  <c r="BB47" i="8"/>
  <c r="BJ47" i="8" s="1"/>
  <c r="BY45" i="8"/>
  <c r="CG45" i="8" s="1"/>
  <c r="BI45" i="8"/>
  <c r="BQ45" i="8" s="1"/>
  <c r="BW44" i="8"/>
  <c r="CE44" i="8" s="1"/>
  <c r="BG44" i="8"/>
  <c r="BO44" i="8" s="1"/>
  <c r="BU44" i="8"/>
  <c r="CC44" i="8" s="1"/>
  <c r="BE44" i="8"/>
  <c r="BM44" i="8" s="1"/>
  <c r="BW43" i="8"/>
  <c r="CE43" i="8" s="1"/>
  <c r="BG43" i="8"/>
  <c r="BO43" i="8" s="1"/>
  <c r="BY41" i="8"/>
  <c r="CG41" i="8" s="1"/>
  <c r="BI41" i="8"/>
  <c r="BQ41" i="8" s="1"/>
  <c r="BS40" i="8"/>
  <c r="CA40" i="8" s="1"/>
  <c r="BC40" i="8"/>
  <c r="BK40" i="8" s="1"/>
  <c r="BH39" i="8"/>
  <c r="BP39" i="8" s="1"/>
  <c r="BX39" i="8"/>
  <c r="CF39" i="8" s="1"/>
  <c r="BT39" i="8"/>
  <c r="CB39" i="8" s="1"/>
  <c r="BD39" i="8"/>
  <c r="BL39" i="8" s="1"/>
  <c r="BT37" i="8"/>
  <c r="CB37" i="8" s="1"/>
  <c r="BD37" i="8"/>
  <c r="BL37" i="8" s="1"/>
  <c r="BY32" i="8"/>
  <c r="CG32" i="8" s="1"/>
  <c r="BI32" i="8"/>
  <c r="BQ32" i="8" s="1"/>
  <c r="BX32" i="8"/>
  <c r="CF32" i="8" s="1"/>
  <c r="BH32" i="8"/>
  <c r="BP32" i="8" s="1"/>
  <c r="BT32" i="8"/>
  <c r="CB32" i="8" s="1"/>
  <c r="BD32" i="8"/>
  <c r="BL32" i="8" s="1"/>
  <c r="BR32" i="8"/>
  <c r="BZ32" i="8" s="1"/>
  <c r="BB32" i="8"/>
  <c r="BJ32" i="8" s="1"/>
  <c r="BV31" i="8"/>
  <c r="CD31" i="8" s="1"/>
  <c r="BF31" i="8"/>
  <c r="BN31" i="8" s="1"/>
  <c r="BS31" i="8"/>
  <c r="CA31" i="8" s="1"/>
  <c r="BC31" i="8"/>
  <c r="BK31" i="8" s="1"/>
  <c r="BY30" i="8"/>
  <c r="CG30" i="8" s="1"/>
  <c r="BI30" i="8"/>
  <c r="BQ30" i="8" s="1"/>
  <c r="BW27" i="8"/>
  <c r="CE27" i="8" s="1"/>
  <c r="BG27" i="8"/>
  <c r="BO27" i="8" s="1"/>
  <c r="BU25" i="8"/>
  <c r="CC25" i="8" s="1"/>
  <c r="BE25" i="8"/>
  <c r="BM25" i="8" s="1"/>
  <c r="BS24" i="8"/>
  <c r="CA24" i="8" s="1"/>
  <c r="BC24" i="8"/>
  <c r="BK24" i="8" s="1"/>
  <c r="BT23" i="8"/>
  <c r="CB23" i="8" s="1"/>
  <c r="BD23" i="8"/>
  <c r="BL23" i="8" s="1"/>
  <c r="BR23" i="8"/>
  <c r="BZ23" i="8" s="1"/>
  <c r="BB23" i="8"/>
  <c r="BJ23" i="8" s="1"/>
  <c r="BT21" i="8"/>
  <c r="CB21" i="8" s="1"/>
  <c r="BD21" i="8"/>
  <c r="BL21" i="8" s="1"/>
  <c r="BU20" i="8"/>
  <c r="CC20" i="8" s="1"/>
  <c r="BE20" i="8"/>
  <c r="BM20" i="8" s="1"/>
  <c r="BW19" i="8"/>
  <c r="CE19" i="8" s="1"/>
  <c r="BG19" i="8"/>
  <c r="BO19" i="8" s="1"/>
  <c r="BT19" i="8"/>
  <c r="CB19" i="8" s="1"/>
  <c r="BD19" i="8"/>
  <c r="BL19" i="8" s="1"/>
  <c r="BX18" i="8"/>
  <c r="CF18" i="8" s="1"/>
  <c r="BW18" i="8"/>
  <c r="CE18" i="8" s="1"/>
  <c r="BY18" i="8"/>
  <c r="CG18" i="8" s="1"/>
  <c r="BT17" i="8"/>
  <c r="CB17" i="8" s="1"/>
  <c r="BD17" i="8"/>
  <c r="BL17" i="8" s="1"/>
  <c r="BX16" i="8"/>
  <c r="CF16" i="8" s="1"/>
  <c r="BH16" i="8"/>
  <c r="BP16" i="8" s="1"/>
  <c r="BW15" i="8"/>
  <c r="CE15" i="8" s="1"/>
  <c r="BG15" i="8"/>
  <c r="BO15" i="8" s="1"/>
  <c r="BR15" i="8"/>
  <c r="BZ15" i="8" s="1"/>
  <c r="BB15" i="8"/>
  <c r="BJ15" i="8" s="1"/>
  <c r="BX14" i="8"/>
  <c r="CF14" i="8" s="1"/>
  <c r="BW14" i="8"/>
  <c r="CE14" i="8" s="1"/>
  <c r="BY14" i="8"/>
  <c r="CG14" i="8" s="1"/>
  <c r="BF14" i="8"/>
  <c r="BN14" i="8" s="1"/>
  <c r="BH13" i="8"/>
  <c r="BP13" i="8" s="1"/>
  <c r="BX13" i="8"/>
  <c r="CF13" i="8" s="1"/>
  <c r="BV10" i="8"/>
  <c r="CD10" i="8" s="1"/>
  <c r="BF10" i="8"/>
  <c r="BN10" i="8" s="1"/>
  <c r="BT9" i="8"/>
  <c r="CB9" i="8" s="1"/>
  <c r="BD9" i="8"/>
  <c r="BL9" i="8" s="1"/>
  <c r="BT8" i="8"/>
  <c r="CB8" i="8" s="1"/>
  <c r="BD8" i="8"/>
  <c r="BL8" i="8" s="1"/>
  <c r="BT7" i="8"/>
  <c r="CB7" i="8" s="1"/>
  <c r="BD7" i="8"/>
  <c r="BL7" i="8" s="1"/>
  <c r="BE10" i="8"/>
  <c r="BM10" i="8" s="1"/>
  <c r="BD33" i="8"/>
  <c r="BL33" i="8" s="1"/>
  <c r="BE14" i="8"/>
  <c r="BM14" i="8" s="1"/>
  <c r="BD57" i="8"/>
  <c r="BL57" i="8" s="1"/>
  <c r="BH53" i="8"/>
  <c r="BP53" i="8" s="1"/>
  <c r="BF71" i="8"/>
  <c r="BN71" i="8" s="1"/>
  <c r="BF91" i="8"/>
  <c r="BN91" i="8" s="1"/>
  <c r="BO110" i="8"/>
  <c r="BD113" i="8"/>
  <c r="BL113" i="8" s="1"/>
  <c r="BD108" i="8"/>
  <c r="BL108" i="8" s="1"/>
  <c r="BD116" i="8"/>
  <c r="BL116" i="8" s="1"/>
  <c r="BD128" i="8"/>
  <c r="BL128" i="8" s="1"/>
  <c r="BF115" i="8"/>
  <c r="BN115" i="8" s="1"/>
  <c r="BF119" i="8"/>
  <c r="BN119" i="8" s="1"/>
  <c r="BD129" i="8"/>
  <c r="BL129" i="8" s="1"/>
  <c r="BG12" i="8"/>
  <c r="BO12" i="8" s="1"/>
  <c r="BH19" i="8"/>
  <c r="BP19" i="8" s="1"/>
  <c r="BH23" i="8"/>
  <c r="BP23" i="8" s="1"/>
  <c r="BH29" i="8"/>
  <c r="BP29" i="8" s="1"/>
  <c r="BE30" i="8"/>
  <c r="BM30" i="8" s="1"/>
  <c r="BF33" i="8"/>
  <c r="BN33" i="8" s="1"/>
  <c r="BE34" i="8"/>
  <c r="BM34" i="8" s="1"/>
  <c r="BF37" i="8"/>
  <c r="BN37" i="8" s="1"/>
  <c r="BH41" i="8"/>
  <c r="BP41" i="8" s="1"/>
  <c r="BF57" i="8"/>
  <c r="BN57" i="8" s="1"/>
  <c r="BD61" i="8"/>
  <c r="BL61" i="8" s="1"/>
  <c r="BB48" i="8"/>
  <c r="BJ48" i="8" s="1"/>
  <c r="BG50" i="8"/>
  <c r="BO50" i="8" s="1"/>
  <c r="BG54" i="8"/>
  <c r="BO54" i="8" s="1"/>
  <c r="BD69" i="8"/>
  <c r="BL69" i="8" s="1"/>
  <c r="BD77" i="8"/>
  <c r="BL77" i="8" s="1"/>
  <c r="BD81" i="8"/>
  <c r="BL81" i="8" s="1"/>
  <c r="BD93" i="8"/>
  <c r="BL93" i="8" s="1"/>
  <c r="BJ100" i="8"/>
  <c r="BB108" i="8"/>
  <c r="BJ108" i="8" s="1"/>
  <c r="BB112" i="8"/>
  <c r="BJ112" i="8" s="1"/>
  <c r="BO114" i="8"/>
  <c r="BD100" i="8"/>
  <c r="BL100" i="8" s="1"/>
  <c r="BD104" i="8"/>
  <c r="BL104" i="8" s="1"/>
  <c r="BC113" i="8"/>
  <c r="BK113" i="8" s="1"/>
  <c r="BC125" i="8"/>
  <c r="BK125" i="8" s="1"/>
  <c r="BF130" i="8"/>
  <c r="BN130" i="8" s="1"/>
  <c r="BF107" i="8"/>
  <c r="BN107" i="8" s="1"/>
  <c r="BH109" i="8"/>
  <c r="BP109" i="8" s="1"/>
  <c r="BK126" i="8"/>
  <c r="BH129" i="8"/>
  <c r="BP129" i="8" s="1"/>
  <c r="BG140" i="8"/>
  <c r="BO140" i="8" s="1"/>
  <c r="BU210" i="8"/>
  <c r="CC210" i="8" s="1"/>
  <c r="BC28" i="8"/>
  <c r="BK28" i="8" s="1"/>
  <c r="BB26" i="8"/>
  <c r="BJ26" i="8" s="1"/>
  <c r="BG31" i="8"/>
  <c r="BO31" i="8" s="1"/>
  <c r="BC36" i="8"/>
  <c r="BK36" i="8" s="1"/>
  <c r="BG40" i="8"/>
  <c r="BO40" i="8" s="1"/>
  <c r="BE60" i="8"/>
  <c r="BM60" i="8" s="1"/>
  <c r="BC52" i="8"/>
  <c r="BK52" i="8" s="1"/>
  <c r="BJ9" i="8"/>
  <c r="BJ13" i="8"/>
  <c r="BJ17" i="8"/>
  <c r="BJ25" i="8"/>
  <c r="BJ45" i="8"/>
  <c r="BB54" i="8"/>
  <c r="BJ54" i="8" s="1"/>
  <c r="BF69" i="8"/>
  <c r="BN69" i="8" s="1"/>
  <c r="BG107" i="8"/>
  <c r="BO107" i="8" s="1"/>
  <c r="BO134" i="8"/>
  <c r="BW144" i="8"/>
  <c r="CE144" i="8" s="1"/>
  <c r="BX61" i="8"/>
  <c r="CF61" i="8" s="1"/>
  <c r="BW103" i="8"/>
  <c r="CE103" i="8" s="1"/>
  <c r="BG103" i="8"/>
  <c r="BO103" i="8" s="1"/>
  <c r="BX147" i="8"/>
  <c r="CF147" i="8" s="1"/>
  <c r="BY147" i="8"/>
  <c r="CG147" i="8" s="1"/>
  <c r="BW147" i="8"/>
  <c r="CE147" i="8" s="1"/>
  <c r="BV146" i="8"/>
  <c r="CD146" i="8" s="1"/>
  <c r="BF146" i="8"/>
  <c r="BN146" i="8" s="1"/>
  <c r="BC145" i="8"/>
  <c r="BK145" i="8" s="1"/>
  <c r="BS145" i="8"/>
  <c r="CA145" i="8" s="1"/>
  <c r="BT144" i="8"/>
  <c r="CB144" i="8" s="1"/>
  <c r="BD144" i="8"/>
  <c r="BL144" i="8" s="1"/>
  <c r="BV143" i="8"/>
  <c r="CD143" i="8" s="1"/>
  <c r="BF143" i="8"/>
  <c r="BN143" i="8" s="1"/>
  <c r="BR143" i="8"/>
  <c r="BZ143" i="8" s="1"/>
  <c r="BB143" i="8"/>
  <c r="BJ143" i="8" s="1"/>
  <c r="BD141" i="8"/>
  <c r="BL141" i="8" s="1"/>
  <c r="BT141" i="8"/>
  <c r="CB141" i="8" s="1"/>
  <c r="BR140" i="8"/>
  <c r="BZ140" i="8" s="1"/>
  <c r="BB140" i="8"/>
  <c r="BJ140" i="8" s="1"/>
  <c r="BE134" i="8"/>
  <c r="BM134" i="8" s="1"/>
  <c r="BU134" i="8"/>
  <c r="CC134" i="8" s="1"/>
  <c r="BH133" i="8"/>
  <c r="BP133" i="8" s="1"/>
  <c r="BY133" i="8"/>
  <c r="CG133" i="8" s="1"/>
  <c r="BE133" i="8"/>
  <c r="BM133" i="8" s="1"/>
  <c r="BU133" i="8"/>
  <c r="CC133" i="8" s="1"/>
  <c r="BR133" i="8"/>
  <c r="BZ133" i="8" s="1"/>
  <c r="BB133" i="8"/>
  <c r="BJ133" i="8" s="1"/>
  <c r="BX131" i="8"/>
  <c r="CF131" i="8" s="1"/>
  <c r="BY131" i="8"/>
  <c r="CG131" i="8" s="1"/>
  <c r="BW131" i="8"/>
  <c r="CE131" i="8" s="1"/>
  <c r="BG131" i="8"/>
  <c r="BO131" i="8" s="1"/>
  <c r="BU131" i="8"/>
  <c r="CC131" i="8" s="1"/>
  <c r="BE131" i="8"/>
  <c r="BM131" i="8" s="1"/>
  <c r="BR131" i="8"/>
  <c r="BZ131" i="8" s="1"/>
  <c r="BB131" i="8"/>
  <c r="BJ131" i="8" s="1"/>
  <c r="BY130" i="8"/>
  <c r="CG130" i="8" s="1"/>
  <c r="BX130" i="8"/>
  <c r="CF130" i="8" s="1"/>
  <c r="BS129" i="8"/>
  <c r="CA129" i="8" s="1"/>
  <c r="BC129" i="8"/>
  <c r="BK129" i="8" s="1"/>
  <c r="BW128" i="8"/>
  <c r="CE128" i="8" s="1"/>
  <c r="BX128" i="8"/>
  <c r="CF128" i="8" s="1"/>
  <c r="BX127" i="8"/>
  <c r="CF127" i="8" s="1"/>
  <c r="BW127" i="8"/>
  <c r="CE127" i="8" s="1"/>
  <c r="BG127" i="8"/>
  <c r="BO127" i="8" s="1"/>
  <c r="BY127" i="8"/>
  <c r="CG127" i="8" s="1"/>
  <c r="BV127" i="8"/>
  <c r="CD127" i="8" s="1"/>
  <c r="BF127" i="8"/>
  <c r="BN127" i="8" s="1"/>
  <c r="BU127" i="8"/>
  <c r="CC127" i="8" s="1"/>
  <c r="BE127" i="8"/>
  <c r="BM127" i="8" s="1"/>
  <c r="BB125" i="8"/>
  <c r="BJ125" i="8" s="1"/>
  <c r="BR125" i="8"/>
  <c r="BZ125" i="8" s="1"/>
  <c r="BF124" i="8"/>
  <c r="BN124" i="8" s="1"/>
  <c r="BV124" i="8"/>
  <c r="CD124" i="8" s="1"/>
  <c r="BY118" i="8"/>
  <c r="CG118" i="8" s="1"/>
  <c r="BX118" i="8"/>
  <c r="CF118" i="8" s="1"/>
  <c r="BH118" i="8"/>
  <c r="BP118" i="8" s="1"/>
  <c r="BR117" i="8"/>
  <c r="BZ117" i="8" s="1"/>
  <c r="BB117" i="8"/>
  <c r="BJ117" i="8" s="1"/>
  <c r="BS116" i="8"/>
  <c r="CA116" i="8" s="1"/>
  <c r="BC116" i="8"/>
  <c r="BK116" i="8" s="1"/>
  <c r="BY115" i="8"/>
  <c r="CG115" i="8" s="1"/>
  <c r="BX115" i="8"/>
  <c r="CF115" i="8" s="1"/>
  <c r="BG115" i="8"/>
  <c r="BO115" i="8" s="1"/>
  <c r="BV112" i="8"/>
  <c r="CD112" i="8" s="1"/>
  <c r="BF112" i="8"/>
  <c r="BN112" i="8" s="1"/>
  <c r="BS112" i="8"/>
  <c r="CA112" i="8" s="1"/>
  <c r="BC112" i="8"/>
  <c r="BK112" i="8" s="1"/>
  <c r="BU111" i="8"/>
  <c r="CC111" i="8" s="1"/>
  <c r="BE111" i="8"/>
  <c r="BM111" i="8" s="1"/>
  <c r="BD103" i="8"/>
  <c r="BL103" i="8" s="1"/>
  <c r="BT103" i="8"/>
  <c r="CB103" i="8" s="1"/>
  <c r="BV102" i="8"/>
  <c r="CD102" i="8" s="1"/>
  <c r="BF102" i="8"/>
  <c r="BN102" i="8" s="1"/>
  <c r="BV100" i="8"/>
  <c r="CD100" i="8" s="1"/>
  <c r="BF100" i="8"/>
  <c r="BN100" i="8" s="1"/>
  <c r="BU99" i="8"/>
  <c r="CC99" i="8" s="1"/>
  <c r="BE99" i="8"/>
  <c r="BM99" i="8" s="1"/>
  <c r="BT98" i="8"/>
  <c r="CB98" i="8" s="1"/>
  <c r="BD98" i="8"/>
  <c r="BL98" i="8" s="1"/>
  <c r="BU97" i="8"/>
  <c r="CC97" i="8" s="1"/>
  <c r="BE97" i="8"/>
  <c r="BM97" i="8" s="1"/>
  <c r="BW96" i="8"/>
  <c r="CE96" i="8" s="1"/>
  <c r="BG96" i="8"/>
  <c r="BO96" i="8" s="1"/>
  <c r="BU96" i="8"/>
  <c r="CC96" i="8" s="1"/>
  <c r="BE96" i="8"/>
  <c r="BM96" i="8" s="1"/>
  <c r="BX95" i="8"/>
  <c r="CF95" i="8" s="1"/>
  <c r="BW95" i="8"/>
  <c r="CE95" i="8" s="1"/>
  <c r="BR94" i="8"/>
  <c r="BZ94" i="8" s="1"/>
  <c r="BB94" i="8"/>
  <c r="BJ94" i="8" s="1"/>
  <c r="BH92" i="8"/>
  <c r="BP92" i="8" s="1"/>
  <c r="BY92" i="8"/>
  <c r="CG92" i="8" s="1"/>
  <c r="BR92" i="8"/>
  <c r="BZ92" i="8" s="1"/>
  <c r="BB92" i="8"/>
  <c r="BJ92" i="8" s="1"/>
  <c r="BX91" i="8"/>
  <c r="CF91" i="8" s="1"/>
  <c r="BW91" i="8"/>
  <c r="CE91" i="8" s="1"/>
  <c r="BG91" i="8"/>
  <c r="BO91" i="8" s="1"/>
  <c r="BS87" i="8"/>
  <c r="CA87" i="8" s="1"/>
  <c r="BC87" i="8"/>
  <c r="BK87" i="8" s="1"/>
  <c r="BW86" i="8"/>
  <c r="CE86" i="8" s="1"/>
  <c r="BX86" i="8"/>
  <c r="CF86" i="8" s="1"/>
  <c r="BY86" i="8"/>
  <c r="CG86" i="8" s="1"/>
  <c r="BG86" i="8"/>
  <c r="BO86" i="8" s="1"/>
  <c r="BX85" i="8"/>
  <c r="CF85" i="8" s="1"/>
  <c r="BY85" i="8"/>
  <c r="CG85" i="8" s="1"/>
  <c r="BU81" i="8"/>
  <c r="CC81" i="8" s="1"/>
  <c r="BE81" i="8"/>
  <c r="BM81" i="8" s="1"/>
  <c r="BX78" i="8"/>
  <c r="CF78" i="8" s="1"/>
  <c r="BY78" i="8"/>
  <c r="CG78" i="8" s="1"/>
  <c r="BW78" i="8"/>
  <c r="CE78" i="8" s="1"/>
  <c r="BR78" i="8"/>
  <c r="BZ78" i="8" s="1"/>
  <c r="BB78" i="8"/>
  <c r="BJ78" i="8" s="1"/>
  <c r="BY76" i="8"/>
  <c r="CG76" i="8" s="1"/>
  <c r="BH76" i="8"/>
  <c r="BP76" i="8" s="1"/>
  <c r="BU76" i="8"/>
  <c r="CC76" i="8" s="1"/>
  <c r="BE76" i="8"/>
  <c r="BM76" i="8" s="1"/>
  <c r="BU73" i="8"/>
  <c r="CC73" i="8" s="1"/>
  <c r="BE73" i="8"/>
  <c r="BM73" i="8" s="1"/>
  <c r="BW72" i="8"/>
  <c r="CE72" i="8" s="1"/>
  <c r="BG72" i="8"/>
  <c r="BO72" i="8" s="1"/>
  <c r="BS71" i="8"/>
  <c r="CA71" i="8" s="1"/>
  <c r="BC71" i="8"/>
  <c r="BK71" i="8" s="1"/>
  <c r="BW68" i="8"/>
  <c r="CE68" i="8" s="1"/>
  <c r="BG68" i="8"/>
  <c r="BO68" i="8" s="1"/>
  <c r="BV67" i="8"/>
  <c r="CD67" i="8" s="1"/>
  <c r="BF67" i="8"/>
  <c r="BN67" i="8" s="1"/>
  <c r="BC67" i="8"/>
  <c r="BK67" i="8" s="1"/>
  <c r="BS67" i="8"/>
  <c r="CA67" i="8" s="1"/>
  <c r="BY64" i="8"/>
  <c r="CG64" i="8" s="1"/>
  <c r="BH64" i="8"/>
  <c r="BP64" i="8" s="1"/>
  <c r="BU64" i="8"/>
  <c r="CC64" i="8" s="1"/>
  <c r="BE64" i="8"/>
  <c r="BM64" i="8" s="1"/>
  <c r="BD64" i="8"/>
  <c r="BL64" i="8" s="1"/>
  <c r="BT64" i="8"/>
  <c r="CB64" i="8" s="1"/>
  <c r="BV63" i="8"/>
  <c r="CD63" i="8" s="1"/>
  <c r="BF63" i="8"/>
  <c r="BN63" i="8" s="1"/>
  <c r="BT63" i="8"/>
  <c r="CB63" i="8" s="1"/>
  <c r="BD63" i="8"/>
  <c r="BL63" i="8" s="1"/>
  <c r="BR63" i="8"/>
  <c r="BZ63" i="8" s="1"/>
  <c r="BB63" i="8"/>
  <c r="BJ63" i="8" s="1"/>
  <c r="BS60" i="8"/>
  <c r="CA60" i="8" s="1"/>
  <c r="BC60" i="8"/>
  <c r="BK60" i="8" s="1"/>
  <c r="BT59" i="8"/>
  <c r="CB59" i="8" s="1"/>
  <c r="BD59" i="8"/>
  <c r="BL59" i="8" s="1"/>
  <c r="BX56" i="8"/>
  <c r="CF56" i="8" s="1"/>
  <c r="BH56" i="8"/>
  <c r="BP56" i="8" s="1"/>
  <c r="BW56" i="8"/>
  <c r="CE56" i="8" s="1"/>
  <c r="BG56" i="8"/>
  <c r="BO56" i="8" s="1"/>
  <c r="BW55" i="8"/>
  <c r="CE55" i="8" s="1"/>
  <c r="BG55" i="8"/>
  <c r="BO55" i="8" s="1"/>
  <c r="BT52" i="8"/>
  <c r="CB52" i="8" s="1"/>
  <c r="BD52" i="8"/>
  <c r="BL52" i="8" s="1"/>
  <c r="BT51" i="8"/>
  <c r="CB51" i="8" s="1"/>
  <c r="BD51" i="8"/>
  <c r="BL51" i="8" s="1"/>
  <c r="BR51" i="8"/>
  <c r="BZ51" i="8" s="1"/>
  <c r="BB51" i="8"/>
  <c r="BJ51" i="8" s="1"/>
  <c r="BV50" i="8"/>
  <c r="CD50" i="8" s="1"/>
  <c r="BF50" i="8"/>
  <c r="BN50" i="8" s="1"/>
  <c r="BC50" i="8"/>
  <c r="BK50" i="8" s="1"/>
  <c r="BS50" i="8"/>
  <c r="CA50" i="8" s="1"/>
  <c r="BT49" i="8"/>
  <c r="CB49" i="8" s="1"/>
  <c r="BD49" i="8"/>
  <c r="BL49" i="8" s="1"/>
  <c r="BY48" i="8"/>
  <c r="CG48" i="8" s="1"/>
  <c r="BI48" i="8"/>
  <c r="BQ48" i="8" s="1"/>
  <c r="BT47" i="8"/>
  <c r="CB47" i="8" s="1"/>
  <c r="BD47" i="8"/>
  <c r="BL47" i="8" s="1"/>
  <c r="BW46" i="8"/>
  <c r="CE46" i="8" s="1"/>
  <c r="BX46" i="8"/>
  <c r="CF46" i="8" s="1"/>
  <c r="BY46" i="8"/>
  <c r="CG46" i="8" s="1"/>
  <c r="BV46" i="8"/>
  <c r="CD46" i="8" s="1"/>
  <c r="BF46" i="8"/>
  <c r="BN46" i="8" s="1"/>
  <c r="BT45" i="8"/>
  <c r="CB45" i="8" s="1"/>
  <c r="BD45" i="8"/>
  <c r="BL45" i="8" s="1"/>
  <c r="BX44" i="8"/>
  <c r="CF44" i="8" s="1"/>
  <c r="BH44" i="8"/>
  <c r="BP44" i="8" s="1"/>
  <c r="BU40" i="8"/>
  <c r="CC40" i="8" s="1"/>
  <c r="BE40" i="8"/>
  <c r="BM40" i="8" s="1"/>
  <c r="BS39" i="8"/>
  <c r="CA39" i="8" s="1"/>
  <c r="BC39" i="8"/>
  <c r="BK39" i="8" s="1"/>
  <c r="BX36" i="8"/>
  <c r="CF36" i="8" s="1"/>
  <c r="BH36" i="8"/>
  <c r="BP36" i="8" s="1"/>
  <c r="BU36" i="8"/>
  <c r="CC36" i="8" s="1"/>
  <c r="BE36" i="8"/>
  <c r="BM36" i="8" s="1"/>
  <c r="BR36" i="8"/>
  <c r="BZ36" i="8" s="1"/>
  <c r="BB36" i="8"/>
  <c r="BJ36" i="8" s="1"/>
  <c r="BW35" i="8"/>
  <c r="CE35" i="8" s="1"/>
  <c r="BG35" i="8"/>
  <c r="BO35" i="8" s="1"/>
  <c r="BV35" i="8"/>
  <c r="CD35" i="8" s="1"/>
  <c r="BF35" i="8"/>
  <c r="BN35" i="8" s="1"/>
  <c r="BT35" i="8"/>
  <c r="CB35" i="8" s="1"/>
  <c r="BD35" i="8"/>
  <c r="BL35" i="8" s="1"/>
  <c r="BX33" i="8"/>
  <c r="CF33" i="8" s="1"/>
  <c r="BH33" i="8"/>
  <c r="BP33" i="8" s="1"/>
  <c r="BU33" i="8"/>
  <c r="CC33" i="8" s="1"/>
  <c r="BE33" i="8"/>
  <c r="BM33" i="8" s="1"/>
  <c r="BS32" i="8"/>
  <c r="CA32" i="8" s="1"/>
  <c r="BC32" i="8"/>
  <c r="BK32" i="8" s="1"/>
  <c r="BX31" i="8"/>
  <c r="CF31" i="8" s="1"/>
  <c r="BH31" i="8"/>
  <c r="BP31" i="8" s="1"/>
  <c r="BS30" i="8"/>
  <c r="CA30" i="8" s="1"/>
  <c r="BC30" i="8"/>
  <c r="BK30" i="8" s="1"/>
  <c r="BV29" i="8"/>
  <c r="CD29" i="8" s="1"/>
  <c r="BF29" i="8"/>
  <c r="BN29" i="8" s="1"/>
  <c r="BW28" i="8"/>
  <c r="CE28" i="8" s="1"/>
  <c r="BG28" i="8"/>
  <c r="BO28" i="8" s="1"/>
  <c r="BT28" i="8"/>
  <c r="CB28" i="8" s="1"/>
  <c r="BD28" i="8"/>
  <c r="BL28" i="8" s="1"/>
  <c r="BH27" i="8"/>
  <c r="BP27" i="8" s="1"/>
  <c r="BX27" i="8"/>
  <c r="CF27" i="8" s="1"/>
  <c r="BT27" i="8"/>
  <c r="CB27" i="8" s="1"/>
  <c r="BD27" i="8"/>
  <c r="BL27" i="8" s="1"/>
  <c r="BR27" i="8"/>
  <c r="BZ27" i="8" s="1"/>
  <c r="BB27" i="8"/>
  <c r="BJ27" i="8" s="1"/>
  <c r="BV25" i="8"/>
  <c r="CD25" i="8" s="1"/>
  <c r="BF25" i="8"/>
  <c r="BN25" i="8" s="1"/>
  <c r="BI24" i="8"/>
  <c r="BQ24" i="8" s="1"/>
  <c r="BY24" i="8"/>
  <c r="CG24" i="8" s="1"/>
  <c r="BU24" i="8"/>
  <c r="CC24" i="8" s="1"/>
  <c r="BE24" i="8"/>
  <c r="BM24" i="8" s="1"/>
  <c r="BW22" i="8"/>
  <c r="CE22" i="8" s="1"/>
  <c r="BV22" i="8"/>
  <c r="CD22" i="8" s="1"/>
  <c r="BS22" i="8"/>
  <c r="CA22" i="8" s="1"/>
  <c r="BC22" i="8"/>
  <c r="BK22" i="8" s="1"/>
  <c r="BC20" i="8"/>
  <c r="BK20" i="8" s="1"/>
  <c r="BS20" i="8"/>
  <c r="CA20" i="8" s="1"/>
  <c r="BR20" i="8"/>
  <c r="BZ20" i="8" s="1"/>
  <c r="BB20" i="8"/>
  <c r="BJ20" i="8" s="1"/>
  <c r="BS18" i="8"/>
  <c r="CA18" i="8" s="1"/>
  <c r="BC18" i="8"/>
  <c r="BK18" i="8" s="1"/>
  <c r="BR16" i="8"/>
  <c r="BZ16" i="8" s="1"/>
  <c r="BB16" i="8"/>
  <c r="BJ16" i="8" s="1"/>
  <c r="BH12" i="8"/>
  <c r="BP12" i="8" s="1"/>
  <c r="BX12" i="8"/>
  <c r="CF12" i="8" s="1"/>
  <c r="BU12" i="8"/>
  <c r="CC12" i="8" s="1"/>
  <c r="BE12" i="8"/>
  <c r="BM12" i="8" s="1"/>
  <c r="BS12" i="8"/>
  <c r="CA12" i="8" s="1"/>
  <c r="BC12" i="8"/>
  <c r="BK12" i="8" s="1"/>
  <c r="BW11" i="8"/>
  <c r="CE11" i="8" s="1"/>
  <c r="BG11" i="8"/>
  <c r="BO11" i="8" s="1"/>
  <c r="BR11" i="8"/>
  <c r="BZ11" i="8" s="1"/>
  <c r="BB11" i="8"/>
  <c r="BJ11" i="8" s="1"/>
  <c r="BS8" i="8"/>
  <c r="CA8" i="8" s="1"/>
  <c r="BC8" i="8"/>
  <c r="BK8" i="8" s="1"/>
  <c r="BW7" i="8"/>
  <c r="CE7" i="8" s="1"/>
  <c r="BG7" i="8"/>
  <c r="BO7" i="8" s="1"/>
  <c r="BE18" i="8"/>
  <c r="BM18" i="8" s="1"/>
  <c r="BB30" i="8"/>
  <c r="BJ30" i="8" s="1"/>
  <c r="BI34" i="8"/>
  <c r="BQ34" i="8" s="1"/>
  <c r="BB58" i="8"/>
  <c r="BJ58" i="8" s="1"/>
  <c r="BG58" i="8"/>
  <c r="BO58" i="8" s="1"/>
  <c r="BH61" i="8"/>
  <c r="BP61" i="8" s="1"/>
  <c r="BF65" i="8"/>
  <c r="BN65" i="8" s="1"/>
  <c r="BH49" i="8"/>
  <c r="BP49" i="8" s="1"/>
  <c r="BE52" i="8"/>
  <c r="BM52" i="8" s="1"/>
  <c r="BC70" i="8"/>
  <c r="BK70" i="8" s="1"/>
  <c r="BF75" i="8"/>
  <c r="BN75" i="8" s="1"/>
  <c r="BC78" i="8"/>
  <c r="BK78" i="8" s="1"/>
  <c r="BF83" i="8"/>
  <c r="BN83" i="8" s="1"/>
  <c r="BC86" i="8"/>
  <c r="BK86" i="8" s="1"/>
  <c r="BC94" i="8"/>
  <c r="BK94" i="8" s="1"/>
  <c r="BC83" i="8"/>
  <c r="BK83" i="8" s="1"/>
  <c r="BE104" i="8"/>
  <c r="BM104" i="8" s="1"/>
  <c r="BD109" i="8"/>
  <c r="BL109" i="8" s="1"/>
  <c r="BB120" i="8"/>
  <c r="BJ120" i="8" s="1"/>
  <c r="BO130" i="8"/>
  <c r="BC106" i="8"/>
  <c r="BK106" i="8" s="1"/>
  <c r="BK114" i="8"/>
  <c r="BK118" i="8"/>
  <c r="BH121" i="8"/>
  <c r="BP121" i="8" s="1"/>
  <c r="BG136" i="8"/>
  <c r="BO136" i="8" s="1"/>
  <c r="BG144" i="8"/>
  <c r="BO144" i="8" s="1"/>
  <c r="BC10" i="8"/>
  <c r="BK10" i="8" s="1"/>
  <c r="BK17" i="8"/>
  <c r="BC26" i="8"/>
  <c r="BK26" i="8" s="1"/>
  <c r="BC43" i="8"/>
  <c r="BK43" i="8" s="1"/>
  <c r="BI17" i="8"/>
  <c r="BQ17" i="8" s="1"/>
  <c r="BE46" i="8"/>
  <c r="BM46" i="8" s="1"/>
  <c r="BE42" i="8"/>
  <c r="BM42" i="8" s="1"/>
  <c r="BB50" i="8"/>
  <c r="BJ50" i="8" s="1"/>
  <c r="BJ69" i="8"/>
  <c r="BD67" i="8"/>
  <c r="BL67" i="8" s="1"/>
  <c r="BD75" i="8"/>
  <c r="BL75" i="8" s="1"/>
  <c r="BD48" i="8"/>
  <c r="BL48" i="8" s="1"/>
  <c r="BF89" i="8"/>
  <c r="BN89" i="8" s="1"/>
  <c r="BC135" i="8"/>
  <c r="BK135" i="8" s="1"/>
  <c r="BW135" i="8"/>
  <c r="CE135" i="8" s="1"/>
  <c r="BE146" i="8"/>
  <c r="BM146" i="8" s="1"/>
  <c r="BU146" i="8"/>
  <c r="CC146" i="8" s="1"/>
  <c r="BT145" i="8"/>
  <c r="CB145" i="8" s="1"/>
  <c r="BD145" i="8"/>
  <c r="BL145" i="8" s="1"/>
  <c r="BU142" i="8"/>
  <c r="CC142" i="8" s="1"/>
  <c r="BE142" i="8"/>
  <c r="BM142" i="8" s="1"/>
  <c r="BC140" i="8"/>
  <c r="BK140" i="8" s="1"/>
  <c r="BS140" i="8"/>
  <c r="CA140" i="8" s="1"/>
  <c r="BT137" i="8"/>
  <c r="CB137" i="8" s="1"/>
  <c r="BD137" i="8"/>
  <c r="BL137" i="8" s="1"/>
  <c r="BS137" i="8"/>
  <c r="CA137" i="8" s="1"/>
  <c r="BC137" i="8"/>
  <c r="BK137" i="8" s="1"/>
  <c r="BT132" i="8"/>
  <c r="CB132" i="8" s="1"/>
  <c r="BD132" i="8"/>
  <c r="BL132" i="8" s="1"/>
  <c r="BV131" i="8"/>
  <c r="CD131" i="8" s="1"/>
  <c r="BF131" i="8"/>
  <c r="BN131" i="8" s="1"/>
  <c r="BE130" i="8"/>
  <c r="BM130" i="8" s="1"/>
  <c r="BU130" i="8"/>
  <c r="CC130" i="8" s="1"/>
  <c r="BY122" i="8"/>
  <c r="CG122" i="8" s="1"/>
  <c r="BH122" i="8"/>
  <c r="BP122" i="8" s="1"/>
  <c r="BT121" i="8"/>
  <c r="CB121" i="8" s="1"/>
  <c r="BD121" i="8"/>
  <c r="BL121" i="8" s="1"/>
  <c r="BR121" i="8"/>
  <c r="BZ121" i="8" s="1"/>
  <c r="BB121" i="8"/>
  <c r="BJ121" i="8" s="1"/>
  <c r="BW120" i="8"/>
  <c r="CE120" i="8" s="1"/>
  <c r="BX120" i="8"/>
  <c r="CF120" i="8" s="1"/>
  <c r="BX119" i="8"/>
  <c r="CF119" i="8" s="1"/>
  <c r="BG119" i="8"/>
  <c r="BO119" i="8" s="1"/>
  <c r="BE115" i="8"/>
  <c r="BM115" i="8" s="1"/>
  <c r="BU115" i="8"/>
  <c r="CC115" i="8" s="1"/>
  <c r="BR113" i="8"/>
  <c r="BZ113" i="8" s="1"/>
  <c r="BB113" i="8"/>
  <c r="BJ113" i="8" s="1"/>
  <c r="BY110" i="8"/>
  <c r="CG110" i="8" s="1"/>
  <c r="BX110" i="8"/>
  <c r="CF110" i="8" s="1"/>
  <c r="BH110" i="8"/>
  <c r="BP110" i="8" s="1"/>
  <c r="BU110" i="8"/>
  <c r="CC110" i="8" s="1"/>
  <c r="BE110" i="8"/>
  <c r="BM110" i="8" s="1"/>
  <c r="BW109" i="8"/>
  <c r="CE109" i="8" s="1"/>
  <c r="BG109" i="8"/>
  <c r="BO109" i="8" s="1"/>
  <c r="BR109" i="8"/>
  <c r="BZ109" i="8" s="1"/>
  <c r="BB109" i="8"/>
  <c r="BJ109" i="8" s="1"/>
  <c r="BV108" i="8"/>
  <c r="CD108" i="8" s="1"/>
  <c r="BF108" i="8"/>
  <c r="BN108" i="8" s="1"/>
  <c r="BU107" i="8"/>
  <c r="CC107" i="8" s="1"/>
  <c r="BE107" i="8"/>
  <c r="BM107" i="8" s="1"/>
  <c r="BY106" i="8"/>
  <c r="CG106" i="8" s="1"/>
  <c r="BH106" i="8"/>
  <c r="BP106" i="8" s="1"/>
  <c r="BW106" i="8"/>
  <c r="CE106" i="8" s="1"/>
  <c r="BG106" i="8"/>
  <c r="BO106" i="8" s="1"/>
  <c r="BU106" i="8"/>
  <c r="CC106" i="8" s="1"/>
  <c r="BE106" i="8"/>
  <c r="BM106" i="8" s="1"/>
  <c r="BD106" i="8"/>
  <c r="BL106" i="8" s="1"/>
  <c r="BT106" i="8"/>
  <c r="CB106" i="8" s="1"/>
  <c r="BB106" i="8"/>
  <c r="BJ106" i="8" s="1"/>
  <c r="BR106" i="8"/>
  <c r="BZ106" i="8" s="1"/>
  <c r="BX105" i="8"/>
  <c r="CF105" i="8" s="1"/>
  <c r="BW105" i="8"/>
  <c r="CE105" i="8" s="1"/>
  <c r="BV105" i="8"/>
  <c r="CD105" i="8" s="1"/>
  <c r="BF105" i="8"/>
  <c r="BN105" i="8" s="1"/>
  <c r="BS105" i="8"/>
  <c r="CA105" i="8" s="1"/>
  <c r="BC105" i="8"/>
  <c r="BK105" i="8" s="1"/>
  <c r="BR105" i="8"/>
  <c r="BZ105" i="8" s="1"/>
  <c r="BB105" i="8"/>
  <c r="BJ105" i="8" s="1"/>
  <c r="BW102" i="8"/>
  <c r="CE102" i="8" s="1"/>
  <c r="BX102" i="8"/>
  <c r="CF102" i="8" s="1"/>
  <c r="BX101" i="8"/>
  <c r="CF101" i="8" s="1"/>
  <c r="BW101" i="8"/>
  <c r="CE101" i="8" s="1"/>
  <c r="BY101" i="8"/>
  <c r="CG101" i="8" s="1"/>
  <c r="BG101" i="8"/>
  <c r="BO101" i="8" s="1"/>
  <c r="BW99" i="8"/>
  <c r="CE99" i="8" s="1"/>
  <c r="BG99" i="8"/>
  <c r="BO99" i="8" s="1"/>
  <c r="BS99" i="8"/>
  <c r="CA99" i="8" s="1"/>
  <c r="BC99" i="8"/>
  <c r="BK99" i="8" s="1"/>
  <c r="BF98" i="8"/>
  <c r="BN98" i="8" s="1"/>
  <c r="BV98" i="8"/>
  <c r="CD98" i="8" s="1"/>
  <c r="BV95" i="8"/>
  <c r="CD95" i="8" s="1"/>
  <c r="BF95" i="8"/>
  <c r="BN95" i="8" s="1"/>
  <c r="BE94" i="8"/>
  <c r="BM94" i="8" s="1"/>
  <c r="BU94" i="8"/>
  <c r="CC94" i="8" s="1"/>
  <c r="BV93" i="8"/>
  <c r="CD93" i="8" s="1"/>
  <c r="BF93" i="8"/>
  <c r="BN93" i="8" s="1"/>
  <c r="BU93" i="8"/>
  <c r="CC93" i="8" s="1"/>
  <c r="BE93" i="8"/>
  <c r="BM93" i="8" s="1"/>
  <c r="BW92" i="8"/>
  <c r="CE92" i="8" s="1"/>
  <c r="BG92" i="8"/>
  <c r="BO92" i="8" s="1"/>
  <c r="BW90" i="8"/>
  <c r="CE90" i="8" s="1"/>
  <c r="BX90" i="8"/>
  <c r="CF90" i="8" s="1"/>
  <c r="BY90" i="8"/>
  <c r="CG90" i="8" s="1"/>
  <c r="BG90" i="8"/>
  <c r="BO90" i="8" s="1"/>
  <c r="BX89" i="8"/>
  <c r="CF89" i="8" s="1"/>
  <c r="BY89" i="8"/>
  <c r="CG89" i="8" s="1"/>
  <c r="BT89" i="8"/>
  <c r="CB89" i="8" s="1"/>
  <c r="BD89" i="8"/>
  <c r="BL89" i="8" s="1"/>
  <c r="BX87" i="8"/>
  <c r="CF87" i="8" s="1"/>
  <c r="BG87" i="8"/>
  <c r="BO87" i="8" s="1"/>
  <c r="BS84" i="8"/>
  <c r="CA84" i="8" s="1"/>
  <c r="BC84" i="8"/>
  <c r="BK84" i="8" s="1"/>
  <c r="BX83" i="8"/>
  <c r="CF83" i="8" s="1"/>
  <c r="BW83" i="8"/>
  <c r="CE83" i="8" s="1"/>
  <c r="BW82" i="8"/>
  <c r="CE82" i="8" s="1"/>
  <c r="BX82" i="8"/>
  <c r="CF82" i="8" s="1"/>
  <c r="BR82" i="8"/>
  <c r="BZ82" i="8" s="1"/>
  <c r="BB82" i="8"/>
  <c r="BJ82" i="8" s="1"/>
  <c r="BV81" i="8"/>
  <c r="CD81" i="8" s="1"/>
  <c r="BF81" i="8"/>
  <c r="BN81" i="8" s="1"/>
  <c r="BU80" i="8"/>
  <c r="CC80" i="8" s="1"/>
  <c r="BE80" i="8"/>
  <c r="BM80" i="8" s="1"/>
  <c r="BR80" i="8"/>
  <c r="BZ80" i="8" s="1"/>
  <c r="BB80" i="8"/>
  <c r="BJ80" i="8" s="1"/>
  <c r="BS79" i="8"/>
  <c r="CA79" i="8" s="1"/>
  <c r="BC79" i="8"/>
  <c r="BK79" i="8" s="1"/>
  <c r="BV77" i="8"/>
  <c r="CD77" i="8" s="1"/>
  <c r="BF77" i="8"/>
  <c r="BN77" i="8" s="1"/>
  <c r="BU77" i="8"/>
  <c r="CC77" i="8" s="1"/>
  <c r="BE77" i="8"/>
  <c r="BM77" i="8" s="1"/>
  <c r="BR76" i="8"/>
  <c r="BZ76" i="8" s="1"/>
  <c r="BB76" i="8"/>
  <c r="BJ76" i="8" s="1"/>
  <c r="BX75" i="8"/>
  <c r="CF75" i="8" s="1"/>
  <c r="BW75" i="8"/>
  <c r="CE75" i="8" s="1"/>
  <c r="BY74" i="8"/>
  <c r="CG74" i="8" s="1"/>
  <c r="BX74" i="8"/>
  <c r="CF74" i="8" s="1"/>
  <c r="BW74" i="8"/>
  <c r="CE74" i="8" s="1"/>
  <c r="BV73" i="8"/>
  <c r="CD73" i="8" s="1"/>
  <c r="BF73" i="8"/>
  <c r="BN73" i="8" s="1"/>
  <c r="BY72" i="8"/>
  <c r="CG72" i="8" s="1"/>
  <c r="BH72" i="8"/>
  <c r="BP72" i="8" s="1"/>
  <c r="BU72" i="8"/>
  <c r="CC72" i="8" s="1"/>
  <c r="BE72" i="8"/>
  <c r="BM72" i="8" s="1"/>
  <c r="BS72" i="8"/>
  <c r="CA72" i="8" s="1"/>
  <c r="BC72" i="8"/>
  <c r="BK72" i="8" s="1"/>
  <c r="BU69" i="8"/>
  <c r="CC69" i="8" s="1"/>
  <c r="BE69" i="8"/>
  <c r="BM69" i="8" s="1"/>
  <c r="BX67" i="8"/>
  <c r="CF67" i="8" s="1"/>
  <c r="BW67" i="8"/>
  <c r="CE67" i="8" s="1"/>
  <c r="BG67" i="8"/>
  <c r="BO67" i="8" s="1"/>
  <c r="BX66" i="8"/>
  <c r="CF66" i="8" s="1"/>
  <c r="BW66" i="8"/>
  <c r="CE66" i="8" s="1"/>
  <c r="BY66" i="8"/>
  <c r="CG66" i="8" s="1"/>
  <c r="BG66" i="8"/>
  <c r="BO66" i="8" s="1"/>
  <c r="BW64" i="8"/>
  <c r="CE64" i="8" s="1"/>
  <c r="BG64" i="8"/>
  <c r="BO64" i="8" s="1"/>
  <c r="BX62" i="8"/>
  <c r="CF62" i="8" s="1"/>
  <c r="BY62" i="8"/>
  <c r="CG62" i="8" s="1"/>
  <c r="BW60" i="8"/>
  <c r="CE60" i="8" s="1"/>
  <c r="BG60" i="8"/>
  <c r="BO60" i="8" s="1"/>
  <c r="BW59" i="8"/>
  <c r="CE59" i="8" s="1"/>
  <c r="BX59" i="8"/>
  <c r="CF59" i="8" s="1"/>
  <c r="BG59" i="8"/>
  <c r="BO59" i="8" s="1"/>
  <c r="BY57" i="8"/>
  <c r="CG57" i="8" s="1"/>
  <c r="BI57" i="8"/>
  <c r="BQ57" i="8" s="1"/>
  <c r="BR56" i="8"/>
  <c r="BZ56" i="8" s="1"/>
  <c r="BB56" i="8"/>
  <c r="BJ56" i="8" s="1"/>
  <c r="BV55" i="8"/>
  <c r="CD55" i="8" s="1"/>
  <c r="BF55" i="8"/>
  <c r="BN55" i="8" s="1"/>
  <c r="BC55" i="8"/>
  <c r="BK55" i="8" s="1"/>
  <c r="BS55" i="8"/>
  <c r="CA55" i="8" s="1"/>
  <c r="BV54" i="8"/>
  <c r="CD54" i="8" s="1"/>
  <c r="BF54" i="8"/>
  <c r="BN54" i="8" s="1"/>
  <c r="BS54" i="8"/>
  <c r="CA54" i="8" s="1"/>
  <c r="BC54" i="8"/>
  <c r="BK54" i="8" s="1"/>
  <c r="BT53" i="8"/>
  <c r="CB53" i="8" s="1"/>
  <c r="BD53" i="8"/>
  <c r="BL53" i="8" s="1"/>
  <c r="BH52" i="8"/>
  <c r="BP52" i="8" s="1"/>
  <c r="BX52" i="8"/>
  <c r="CF52" i="8" s="1"/>
  <c r="BR52" i="8"/>
  <c r="BZ52" i="8" s="1"/>
  <c r="BB52" i="8"/>
  <c r="BJ52" i="8" s="1"/>
  <c r="BW51" i="8"/>
  <c r="CE51" i="8" s="1"/>
  <c r="BG51" i="8"/>
  <c r="BO51" i="8" s="1"/>
  <c r="BS51" i="8"/>
  <c r="CA51" i="8" s="1"/>
  <c r="BC51" i="8"/>
  <c r="BK51" i="8" s="1"/>
  <c r="BY49" i="8"/>
  <c r="CG49" i="8" s="1"/>
  <c r="BI49" i="8"/>
  <c r="BQ49" i="8" s="1"/>
  <c r="BU49" i="8"/>
  <c r="CC49" i="8" s="1"/>
  <c r="BE49" i="8"/>
  <c r="BM49" i="8" s="1"/>
  <c r="BU48" i="8"/>
  <c r="CC48" i="8" s="1"/>
  <c r="BE48" i="8"/>
  <c r="BM48" i="8" s="1"/>
  <c r="BS48" i="8"/>
  <c r="CA48" i="8" s="1"/>
  <c r="BC48" i="8"/>
  <c r="BK48" i="8" s="1"/>
  <c r="BW47" i="8"/>
  <c r="CE47" i="8" s="1"/>
  <c r="BX47" i="8"/>
  <c r="CF47" i="8" s="1"/>
  <c r="BG47" i="8"/>
  <c r="BO47" i="8" s="1"/>
  <c r="BC47" i="8"/>
  <c r="BK47" i="8" s="1"/>
  <c r="BS47" i="8"/>
  <c r="CA47" i="8" s="1"/>
  <c r="BU45" i="8"/>
  <c r="CC45" i="8" s="1"/>
  <c r="BE45" i="8"/>
  <c r="BM45" i="8" s="1"/>
  <c r="BY44" i="8"/>
  <c r="CG44" i="8" s="1"/>
  <c r="BI44" i="8"/>
  <c r="BQ44" i="8" s="1"/>
  <c r="BX43" i="8"/>
  <c r="CF43" i="8" s="1"/>
  <c r="BH43" i="8"/>
  <c r="BP43" i="8" s="1"/>
  <c r="BV43" i="8"/>
  <c r="CD43" i="8" s="1"/>
  <c r="BF43" i="8"/>
  <c r="BN43" i="8" s="1"/>
  <c r="BY42" i="8"/>
  <c r="CG42" i="8" s="1"/>
  <c r="BI42" i="8"/>
  <c r="BQ42" i="8" s="1"/>
  <c r="BV41" i="8"/>
  <c r="CD41" i="8" s="1"/>
  <c r="BF41" i="8"/>
  <c r="BN41" i="8" s="1"/>
  <c r="BT40" i="8"/>
  <c r="CB40" i="8" s="1"/>
  <c r="BD40" i="8"/>
  <c r="BL40" i="8" s="1"/>
  <c r="BR40" i="8"/>
  <c r="BZ40" i="8" s="1"/>
  <c r="BB40" i="8"/>
  <c r="BJ40" i="8" s="1"/>
  <c r="BV39" i="8"/>
  <c r="CD39" i="8" s="1"/>
  <c r="BF39" i="8"/>
  <c r="BN39" i="8" s="1"/>
  <c r="BU38" i="8"/>
  <c r="CC38" i="8" s="1"/>
  <c r="BE38" i="8"/>
  <c r="BM38" i="8" s="1"/>
  <c r="BY36" i="8"/>
  <c r="CG36" i="8" s="1"/>
  <c r="BI36" i="8"/>
  <c r="BQ36" i="8" s="1"/>
  <c r="BW36" i="8"/>
  <c r="CE36" i="8" s="1"/>
  <c r="BG36" i="8"/>
  <c r="BO36" i="8" s="1"/>
  <c r="BT36" i="8"/>
  <c r="CB36" i="8" s="1"/>
  <c r="BD36" i="8"/>
  <c r="BL36" i="8" s="1"/>
  <c r="BX35" i="8"/>
  <c r="CF35" i="8" s="1"/>
  <c r="BY35" i="8"/>
  <c r="CG35" i="8" s="1"/>
  <c r="BH35" i="8"/>
  <c r="BP35" i="8" s="1"/>
  <c r="BU32" i="8"/>
  <c r="CC32" i="8" s="1"/>
  <c r="BE32" i="8"/>
  <c r="BM32" i="8" s="1"/>
  <c r="BT31" i="8"/>
  <c r="CB31" i="8" s="1"/>
  <c r="BD31" i="8"/>
  <c r="BL31" i="8" s="1"/>
  <c r="BY28" i="8"/>
  <c r="CG28" i="8" s="1"/>
  <c r="BI28" i="8"/>
  <c r="BQ28" i="8" s="1"/>
  <c r="BX28" i="8"/>
  <c r="CF28" i="8" s="1"/>
  <c r="BH28" i="8"/>
  <c r="BP28" i="8" s="1"/>
  <c r="BU28" i="8"/>
  <c r="CC28" i="8" s="1"/>
  <c r="BE28" i="8"/>
  <c r="BM28" i="8" s="1"/>
  <c r="BR28" i="8"/>
  <c r="BZ28" i="8" s="1"/>
  <c r="BB28" i="8"/>
  <c r="BJ28" i="8" s="1"/>
  <c r="BV27" i="8"/>
  <c r="CD27" i="8" s="1"/>
  <c r="BF27" i="8"/>
  <c r="BN27" i="8" s="1"/>
  <c r="BC27" i="8"/>
  <c r="BK27" i="8" s="1"/>
  <c r="BS27" i="8"/>
  <c r="CA27" i="8" s="1"/>
  <c r="BU26" i="8"/>
  <c r="CC26" i="8" s="1"/>
  <c r="BE26" i="8"/>
  <c r="BM26" i="8" s="1"/>
  <c r="BT24" i="8"/>
  <c r="CB24" i="8" s="1"/>
  <c r="BD24" i="8"/>
  <c r="BL24" i="8" s="1"/>
  <c r="BR24" i="8"/>
  <c r="BZ24" i="8" s="1"/>
  <c r="BB24" i="8"/>
  <c r="BJ24" i="8" s="1"/>
  <c r="BW23" i="8"/>
  <c r="CE23" i="8" s="1"/>
  <c r="BG23" i="8"/>
  <c r="BO23" i="8" s="1"/>
  <c r="BI21" i="8"/>
  <c r="BQ21" i="8" s="1"/>
  <c r="BY21" i="8"/>
  <c r="CG21" i="8" s="1"/>
  <c r="BV21" i="8"/>
  <c r="CD21" i="8" s="1"/>
  <c r="BF21" i="8"/>
  <c r="BN21" i="8" s="1"/>
  <c r="BX20" i="8"/>
  <c r="CF20" i="8" s="1"/>
  <c r="BY20" i="8"/>
  <c r="CG20" i="8" s="1"/>
  <c r="BH20" i="8"/>
  <c r="BP20" i="8" s="1"/>
  <c r="BT20" i="8"/>
  <c r="CB20" i="8" s="1"/>
  <c r="BD20" i="8"/>
  <c r="BL20" i="8" s="1"/>
  <c r="BV18" i="8"/>
  <c r="CD18" i="8" s="1"/>
  <c r="BF18" i="8"/>
  <c r="BN18" i="8" s="1"/>
  <c r="BT16" i="8"/>
  <c r="CB16" i="8" s="1"/>
  <c r="BD16" i="8"/>
  <c r="BL16" i="8" s="1"/>
  <c r="BX15" i="8"/>
  <c r="CF15" i="8" s="1"/>
  <c r="BH15" i="8"/>
  <c r="BP15" i="8" s="1"/>
  <c r="BY13" i="8"/>
  <c r="CG13" i="8" s="1"/>
  <c r="BI13" i="8"/>
  <c r="BQ13" i="8" s="1"/>
  <c r="BV13" i="8"/>
  <c r="CD13" i="8" s="1"/>
  <c r="BF13" i="8"/>
  <c r="BN13" i="8" s="1"/>
  <c r="BT13" i="8"/>
  <c r="CB13" i="8" s="1"/>
  <c r="BD13" i="8"/>
  <c r="BL13" i="8" s="1"/>
  <c r="BB14" i="8"/>
  <c r="BJ14" i="8" s="1"/>
  <c r="BB22" i="8"/>
  <c r="BJ22" i="8" s="1"/>
  <c r="BD29" i="8"/>
  <c r="BL29" i="8" s="1"/>
  <c r="BB34" i="8"/>
  <c r="BJ34" i="8" s="1"/>
  <c r="BH11" i="8"/>
  <c r="BP11" i="8" s="1"/>
  <c r="BE22" i="8"/>
  <c r="BM22" i="8" s="1"/>
  <c r="BC34" i="8"/>
  <c r="BK34" i="8" s="1"/>
  <c r="BD41" i="8"/>
  <c r="BL41" i="8" s="1"/>
  <c r="BG62" i="8"/>
  <c r="BO62" i="8" s="1"/>
  <c r="BG102" i="8"/>
  <c r="BO102" i="8" s="1"/>
  <c r="BD105" i="8"/>
  <c r="BL105" i="8" s="1"/>
  <c r="BD117" i="8"/>
  <c r="BL117" i="8" s="1"/>
  <c r="BD112" i="8"/>
  <c r="BL112" i="8" s="1"/>
  <c r="BF111" i="8"/>
  <c r="BN111" i="8" s="1"/>
  <c r="BH125" i="8"/>
  <c r="BP125" i="8" s="1"/>
  <c r="BG145" i="8"/>
  <c r="BO145" i="8" s="1"/>
  <c r="BH206" i="8"/>
  <c r="BP206" i="8" s="1"/>
  <c r="BH8" i="8"/>
  <c r="BP8" i="8" s="1"/>
  <c r="BO13" i="8"/>
  <c r="BH24" i="8"/>
  <c r="BP24" i="8" s="1"/>
  <c r="BE16" i="8"/>
  <c r="BM16" i="8" s="1"/>
  <c r="BI25" i="8"/>
  <c r="BQ25" i="8" s="1"/>
  <c r="BB12" i="8"/>
  <c r="BJ12" i="8" s="1"/>
  <c r="BK21" i="8"/>
  <c r="BC35" i="8"/>
  <c r="BK35" i="8" s="1"/>
  <c r="BG39" i="8"/>
  <c r="BO39" i="8" s="1"/>
  <c r="BC46" i="8"/>
  <c r="BK46" i="8" s="1"/>
  <c r="BF51" i="8"/>
  <c r="BN51" i="8" s="1"/>
  <c r="BE56" i="8"/>
  <c r="BM56" i="8" s="1"/>
  <c r="BE29" i="8"/>
  <c r="BM29" i="8" s="1"/>
  <c r="BJ49" i="8"/>
  <c r="BC56" i="8"/>
  <c r="BK56" i="8" s="1"/>
  <c r="BD43" i="8"/>
  <c r="BL43" i="8" s="1"/>
  <c r="BJ57" i="8"/>
  <c r="BJ65" i="8"/>
  <c r="BG70" i="8"/>
  <c r="BO70" i="8" s="1"/>
  <c r="BG74" i="8"/>
  <c r="BO74" i="8" s="1"/>
  <c r="BG78" i="8"/>
  <c r="BO78" i="8" s="1"/>
  <c r="BG82" i="8"/>
  <c r="BO82" i="8" s="1"/>
  <c r="BE119" i="8"/>
  <c r="BM119" i="8" s="1"/>
  <c r="BF101" i="8"/>
  <c r="BN101" i="8" s="1"/>
  <c r="BG125" i="8"/>
  <c r="BO125" i="8" s="1"/>
  <c r="BY134" i="8"/>
  <c r="CG134" i="8" s="1"/>
  <c r="BR144" i="8"/>
  <c r="BZ144" i="8" s="1"/>
  <c r="BT12" i="8"/>
  <c r="CB12" i="8" s="1"/>
  <c r="BJ104" i="8"/>
  <c r="BK110" i="8"/>
  <c r="BK122" i="8"/>
  <c r="BO21" i="8"/>
  <c r="BK9" i="8"/>
  <c r="BK13" i="8"/>
  <c r="BJ73" i="8"/>
  <c r="BJ77" i="8"/>
  <c r="BJ81" i="8"/>
  <c r="BO85" i="8"/>
  <c r="BK89" i="8"/>
  <c r="BK97" i="8"/>
  <c r="BK146" i="8"/>
  <c r="BO17" i="8"/>
  <c r="BJ21" i="8"/>
  <c r="BK142" i="8"/>
  <c r="BL107" i="8"/>
  <c r="BO9" i="8"/>
  <c r="BO25" i="8"/>
  <c r="BJ29" i="8"/>
  <c r="BJ33" i="8"/>
  <c r="BJ37" i="8"/>
  <c r="BJ53" i="8"/>
  <c r="BO65" i="8"/>
  <c r="BO61" i="8"/>
  <c r="BJ85" i="8"/>
  <c r="BK100" i="8"/>
  <c r="BK93" i="8"/>
  <c r="BJ134" i="8"/>
  <c r="BK138" i="8"/>
  <c r="BO69" i="8"/>
  <c r="BO73" i="8"/>
  <c r="BO77" i="8"/>
  <c r="BO81" i="8"/>
  <c r="BJ130" i="8"/>
  <c r="BO142" i="8"/>
  <c r="BK104" i="8"/>
  <c r="BJ138" i="8"/>
  <c r="BO146" i="8"/>
  <c r="BJ206" i="8"/>
  <c r="BE160" i="8"/>
  <c r="BM160" i="8" s="1"/>
  <c r="BG147" i="8"/>
  <c r="BO147" i="8" s="1"/>
  <c r="BX188" i="8"/>
  <c r="CF188" i="8" s="1"/>
  <c r="BR184" i="8"/>
  <c r="BZ184" i="8" s="1"/>
  <c r="BX183" i="8"/>
  <c r="CF183" i="8" s="1"/>
  <c r="BD181" i="8"/>
  <c r="BL181" i="8" s="1"/>
  <c r="BR179" i="8"/>
  <c r="BZ179" i="8" s="1"/>
  <c r="BB164" i="8"/>
  <c r="BJ164" i="8" s="1"/>
  <c r="BU161" i="8"/>
  <c r="CC161" i="8" s="1"/>
  <c r="BD161" i="8"/>
  <c r="BL161" i="8" s="1"/>
  <c r="BU157" i="8"/>
  <c r="CC157" i="8" s="1"/>
  <c r="BE147" i="8"/>
  <c r="BM147" i="8" s="1"/>
  <c r="BC124" i="8"/>
  <c r="BK124" i="8" s="1"/>
  <c r="BR124" i="8"/>
  <c r="BZ124" i="8" s="1"/>
  <c r="BX123" i="8"/>
  <c r="CF123" i="8" s="1"/>
  <c r="BX88" i="8"/>
  <c r="CF88" i="8" s="1"/>
  <c r="BW87" i="8"/>
  <c r="CE87" i="8" s="1"/>
  <c r="BV87" i="8"/>
  <c r="CD87" i="8" s="1"/>
  <c r="BU87" i="8"/>
  <c r="CC87" i="8" s="1"/>
  <c r="BF62" i="8"/>
  <c r="BN62" i="8" s="1"/>
  <c r="BE61" i="8"/>
  <c r="BM61" i="8" s="1"/>
  <c r="BU15" i="8"/>
  <c r="CC15" i="8" s="1"/>
  <c r="BW210" i="8"/>
  <c r="CE210" i="8" s="1"/>
  <c r="BV210" i="8"/>
  <c r="CD210" i="8" s="1"/>
  <c r="BC210" i="8"/>
  <c r="BK210" i="8" s="1"/>
  <c r="BR210" i="8"/>
  <c r="BZ210" i="8" s="1"/>
  <c r="BI206" i="8"/>
  <c r="BQ206" i="8" s="1"/>
  <c r="BV206" i="8"/>
  <c r="CD206" i="8" s="1"/>
  <c r="BU206" i="8"/>
  <c r="CC206" i="8" s="1"/>
  <c r="BH205" i="8"/>
  <c r="BP205" i="8" s="1"/>
  <c r="BW205" i="8"/>
  <c r="CE205" i="8" s="1"/>
  <c r="BD205" i="8"/>
  <c r="BL205" i="8" s="1"/>
  <c r="BC205" i="8"/>
  <c r="BK205" i="8" s="1"/>
  <c r="BB205" i="8"/>
  <c r="BJ205" i="8" s="1"/>
  <c r="BX204" i="8"/>
  <c r="CF204" i="8" s="1"/>
  <c r="BF204" i="8"/>
  <c r="BN204" i="8" s="1"/>
  <c r="BC204" i="8"/>
  <c r="BK204" i="8" s="1"/>
  <c r="BR204" i="8"/>
  <c r="BZ204" i="8" s="1"/>
  <c r="BX169" i="8"/>
  <c r="CF169" i="8" s="1"/>
  <c r="BH148" i="8"/>
  <c r="BP148" i="8" s="1"/>
  <c r="BI89" i="8"/>
  <c r="BQ89" i="8" s="1"/>
  <c r="BI69" i="8"/>
  <c r="BQ69" i="8" s="1"/>
  <c r="BU68" i="8"/>
  <c r="CC68" i="8" s="1"/>
  <c r="BD68" i="8"/>
  <c r="BL68" i="8" s="1"/>
  <c r="BF66" i="8"/>
  <c r="BN66" i="8" s="1"/>
  <c r="BF42" i="8"/>
  <c r="BN42" i="8" s="1"/>
  <c r="BR42" i="8"/>
  <c r="BZ42" i="8" s="1"/>
  <c r="BO41" i="8"/>
  <c r="BK41" i="8"/>
  <c r="BX40" i="8"/>
  <c r="CF40" i="8" s="1"/>
  <c r="BY38" i="8"/>
  <c r="CG38" i="8" s="1"/>
  <c r="BW38" i="8"/>
  <c r="CE38" i="8" s="1"/>
  <c r="BS38" i="8"/>
  <c r="CA38" i="8" s="1"/>
  <c r="BR38" i="8"/>
  <c r="BZ38" i="8" s="1"/>
  <c r="BC11" i="8"/>
  <c r="BK11" i="8" s="1"/>
  <c r="BI198" i="8"/>
  <c r="BQ198" i="8" s="1"/>
  <c r="BB177" i="8"/>
  <c r="BJ177" i="8" s="1"/>
  <c r="BT157" i="8"/>
  <c r="CB157" i="8" s="1"/>
  <c r="BU156" i="8"/>
  <c r="CC156" i="8" s="1"/>
  <c r="BX155" i="8"/>
  <c r="CF155" i="8" s="1"/>
  <c r="BT155" i="8"/>
  <c r="CB155" i="8" s="1"/>
  <c r="BY154" i="8"/>
  <c r="CG154" i="8" s="1"/>
  <c r="BC154" i="8"/>
  <c r="BK154" i="8" s="1"/>
  <c r="BG143" i="8"/>
  <c r="BO143" i="8" s="1"/>
  <c r="BU143" i="8"/>
  <c r="CC143" i="8" s="1"/>
  <c r="BH142" i="8"/>
  <c r="BP142" i="8" s="1"/>
  <c r="BX142" i="8"/>
  <c r="CF142" i="8" s="1"/>
  <c r="BV142" i="8"/>
  <c r="CD142" i="8" s="1"/>
  <c r="BT142" i="8"/>
  <c r="CB142" i="8" s="1"/>
  <c r="BR141" i="8"/>
  <c r="BZ141" i="8" s="1"/>
  <c r="BT140" i="8"/>
  <c r="CB140" i="8" s="1"/>
  <c r="BS139" i="8"/>
  <c r="CA139" i="8" s="1"/>
  <c r="BV138" i="8"/>
  <c r="CD138" i="8" s="1"/>
  <c r="BT138" i="8"/>
  <c r="CB138" i="8" s="1"/>
  <c r="BW137" i="8"/>
  <c r="CE137" i="8" s="1"/>
  <c r="BT136" i="8"/>
  <c r="CB136" i="8" s="1"/>
  <c r="BD134" i="8"/>
  <c r="BL134" i="8" s="1"/>
  <c r="BH124" i="8"/>
  <c r="BP124" i="8" s="1"/>
  <c r="BT124" i="8"/>
  <c r="CB124" i="8" s="1"/>
  <c r="BY123" i="8"/>
  <c r="CG123" i="8" s="1"/>
  <c r="BW123" i="8"/>
  <c r="CE123" i="8" s="1"/>
  <c r="BU123" i="8"/>
  <c r="CC123" i="8" s="1"/>
  <c r="BS123" i="8"/>
  <c r="CA123" i="8" s="1"/>
  <c r="BR123" i="8"/>
  <c r="BZ123" i="8" s="1"/>
  <c r="BW121" i="8"/>
  <c r="CE121" i="8" s="1"/>
  <c r="BS121" i="8"/>
  <c r="CA121" i="8" s="1"/>
  <c r="BT120" i="8"/>
  <c r="CB120" i="8" s="1"/>
  <c r="BY119" i="8"/>
  <c r="CG119" i="8" s="1"/>
  <c r="BW119" i="8"/>
  <c r="CE119" i="8" s="1"/>
  <c r="BV118" i="8"/>
  <c r="CD118" i="8" s="1"/>
  <c r="BY117" i="8"/>
  <c r="CG117" i="8" s="1"/>
  <c r="BS117" i="8"/>
  <c r="CA117" i="8" s="1"/>
  <c r="BW115" i="8"/>
  <c r="CE115" i="8" s="1"/>
  <c r="BB115" i="8"/>
  <c r="BJ115" i="8" s="1"/>
  <c r="BU86" i="8"/>
  <c r="CC86" i="8" s="1"/>
  <c r="BU84" i="8"/>
  <c r="CC84" i="8" s="1"/>
  <c r="BY82" i="8"/>
  <c r="CG82" i="8" s="1"/>
  <c r="BU82" i="8"/>
  <c r="CC82" i="8" s="1"/>
  <c r="BT79" i="8"/>
  <c r="CB79" i="8" s="1"/>
  <c r="BW62" i="8"/>
  <c r="CE62" i="8" s="1"/>
  <c r="BS62" i="8"/>
  <c r="CA62" i="8" s="1"/>
  <c r="BR62" i="8"/>
  <c r="BZ62" i="8" s="1"/>
  <c r="BV61" i="8"/>
  <c r="CD61" i="8" s="1"/>
  <c r="BR60" i="8"/>
  <c r="BZ60" i="8" s="1"/>
  <c r="BV59" i="8"/>
  <c r="CD59" i="8" s="1"/>
  <c r="BU58" i="8"/>
  <c r="CC58" i="8" s="1"/>
  <c r="BS58" i="8"/>
  <c r="CA58" i="8" s="1"/>
  <c r="BU54" i="8"/>
  <c r="CC54" i="8" s="1"/>
  <c r="BS44" i="8"/>
  <c r="CA44" i="8" s="1"/>
  <c r="BY10" i="8"/>
  <c r="CG10" i="8" s="1"/>
  <c r="BW8" i="8"/>
  <c r="CE8" i="8" s="1"/>
  <c r="BR8" i="8"/>
  <c r="BZ8" i="8" s="1"/>
  <c r="BX7" i="8"/>
  <c r="CF7" i="8" s="1"/>
  <c r="BX6" i="8"/>
  <c r="CF6" i="8" s="1"/>
  <c r="BF7" i="8"/>
  <c r="BN7" i="8" s="1"/>
  <c r="BV7" i="8"/>
  <c r="CD7" i="8" s="1"/>
  <c r="BB7" i="8"/>
  <c r="BJ7" i="8" s="1"/>
  <c r="BW156" i="8"/>
  <c r="CE156" i="8" s="1"/>
  <c r="BX136" i="8"/>
  <c r="CF136" i="8" s="1"/>
  <c r="BG158" i="8"/>
  <c r="BO158" i="8" s="1"/>
  <c r="BW158" i="8"/>
  <c r="CE158" i="8" s="1"/>
  <c r="BW141" i="8"/>
  <c r="CE141" i="8" s="1"/>
  <c r="BX141" i="8"/>
  <c r="CF141" i="8" s="1"/>
  <c r="BW122" i="8"/>
  <c r="CE122" i="8" s="1"/>
  <c r="BX122" i="8"/>
  <c r="CF122" i="8" s="1"/>
  <c r="BY116" i="8"/>
  <c r="CG116" i="8" s="1"/>
  <c r="BX116" i="8"/>
  <c r="CF116" i="8" s="1"/>
  <c r="BW84" i="8"/>
  <c r="CE84" i="8" s="1"/>
  <c r="BY84" i="8"/>
  <c r="CG84" i="8" s="1"/>
  <c r="BX84" i="8"/>
  <c r="CF84" i="8" s="1"/>
  <c r="BW81" i="8"/>
  <c r="CE81" i="8" s="1"/>
  <c r="BX81" i="8"/>
  <c r="CF81" i="8" s="1"/>
  <c r="BY80" i="8"/>
  <c r="CG80" i="8" s="1"/>
  <c r="BX80" i="8"/>
  <c r="CF80" i="8" s="1"/>
  <c r="BY79" i="8"/>
  <c r="CG79" i="8" s="1"/>
  <c r="BX79" i="8"/>
  <c r="CF79" i="8" s="1"/>
  <c r="BY60" i="8"/>
  <c r="CG60" i="8" s="1"/>
  <c r="BX60" i="8"/>
  <c r="CF60" i="8" s="1"/>
  <c r="BD198" i="8"/>
  <c r="BL198" i="8" s="1"/>
  <c r="BE168" i="8"/>
  <c r="BM168" i="8" s="1"/>
  <c r="BI114" i="8"/>
  <c r="BQ114" i="8" s="1"/>
  <c r="BD200" i="8"/>
  <c r="BL200" i="8" s="1"/>
  <c r="BC199" i="8"/>
  <c r="BD177" i="8"/>
  <c r="BL177" i="8" s="1"/>
  <c r="BT154" i="8"/>
  <c r="CB154" i="8" s="1"/>
  <c r="BD135" i="8"/>
  <c r="BL135" i="8" s="1"/>
  <c r="BB126" i="8"/>
  <c r="BJ126" i="8" s="1"/>
  <c r="BR126" i="8"/>
  <c r="BZ126" i="8" s="1"/>
  <c r="BD78" i="8"/>
  <c r="BL78" i="8" s="1"/>
  <c r="BG57" i="8"/>
  <c r="BO57" i="8" s="1"/>
  <c r="BE86" i="8"/>
  <c r="BM86" i="8" s="1"/>
  <c r="BB64" i="8"/>
  <c r="BJ64" i="8" s="1"/>
  <c r="BR203" i="8"/>
  <c r="BZ203" i="8" s="1"/>
  <c r="BR202" i="8"/>
  <c r="BZ202" i="8" s="1"/>
  <c r="BH201" i="8"/>
  <c r="BP201" i="8" s="1"/>
  <c r="BC196" i="8"/>
  <c r="BK196" i="8" s="1"/>
  <c r="BI194" i="8"/>
  <c r="BQ194" i="8" s="1"/>
  <c r="BH193" i="8"/>
  <c r="BP193" i="8" s="1"/>
  <c r="BG188" i="8"/>
  <c r="BC188" i="8"/>
  <c r="BK188" i="8" s="1"/>
  <c r="BG187" i="8"/>
  <c r="BO187" i="8" s="1"/>
  <c r="BR185" i="8"/>
  <c r="BZ185" i="8" s="1"/>
  <c r="BH182" i="8"/>
  <c r="BP182" i="8" s="1"/>
  <c r="BX173" i="8"/>
  <c r="CF173" i="8" s="1"/>
  <c r="BY158" i="8"/>
  <c r="CG158" i="8" s="1"/>
  <c r="BC153" i="8"/>
  <c r="BK153" i="8" s="1"/>
  <c r="BH141" i="8"/>
  <c r="BP141" i="8" s="1"/>
  <c r="BE138" i="8"/>
  <c r="BM138" i="8" s="1"/>
  <c r="BC136" i="8"/>
  <c r="BK136" i="8" s="1"/>
  <c r="BF135" i="8"/>
  <c r="BN135" i="8" s="1"/>
  <c r="BD127" i="8"/>
  <c r="BL127" i="8" s="1"/>
  <c r="BI122" i="8"/>
  <c r="BQ122" i="8" s="1"/>
  <c r="BH120" i="8"/>
  <c r="BP120" i="8" s="1"/>
  <c r="BH119" i="8"/>
  <c r="BP119" i="8" s="1"/>
  <c r="BC119" i="8"/>
  <c r="BK119" i="8" s="1"/>
  <c r="BB119" i="8"/>
  <c r="BJ119" i="8" s="1"/>
  <c r="BE118" i="8"/>
  <c r="BM118" i="8" s="1"/>
  <c r="BB118" i="8"/>
  <c r="BJ118" i="8" s="1"/>
  <c r="BE117" i="8"/>
  <c r="BM117" i="8" s="1"/>
  <c r="BE105" i="8"/>
  <c r="BM105" i="8" s="1"/>
  <c r="BH103" i="8"/>
  <c r="BP103" i="8" s="1"/>
  <c r="BB103" i="8"/>
  <c r="BJ103" i="8" s="1"/>
  <c r="BE98" i="8"/>
  <c r="BM98" i="8" s="1"/>
  <c r="BB97" i="8"/>
  <c r="BJ97" i="8" s="1"/>
  <c r="BD96" i="8"/>
  <c r="BL96" i="8" s="1"/>
  <c r="BB96" i="8"/>
  <c r="BJ96" i="8" s="1"/>
  <c r="BG93" i="8"/>
  <c r="BI91" i="8"/>
  <c r="BQ91" i="8" s="1"/>
  <c r="BB91" i="8"/>
  <c r="BJ91" i="8" s="1"/>
  <c r="BE90" i="8"/>
  <c r="BM90" i="8" s="1"/>
  <c r="BD87" i="8"/>
  <c r="BL87" i="8" s="1"/>
  <c r="BD80" i="8"/>
  <c r="BL80" i="8" s="1"/>
  <c r="BB79" i="8"/>
  <c r="BJ79" i="8" s="1"/>
  <c r="BB75" i="8"/>
  <c r="BJ75" i="8" s="1"/>
  <c r="BF74" i="8"/>
  <c r="BN74" i="8" s="1"/>
  <c r="BB71" i="8"/>
  <c r="BJ71" i="8" s="1"/>
  <c r="BF70" i="8"/>
  <c r="BN70" i="8" s="1"/>
  <c r="BD60" i="8"/>
  <c r="BL60" i="8" s="1"/>
  <c r="BH59" i="8"/>
  <c r="BP59" i="8" s="1"/>
  <c r="BB59" i="8"/>
  <c r="BJ59" i="8" s="1"/>
  <c r="BD58" i="8"/>
  <c r="BL58" i="8" s="1"/>
  <c r="BI56" i="8"/>
  <c r="BQ56" i="8" s="1"/>
  <c r="BI50" i="8"/>
  <c r="BQ50" i="8" s="1"/>
  <c r="BG48" i="8"/>
  <c r="BO48" i="8" s="1"/>
  <c r="BC37" i="8"/>
  <c r="BK37" i="8" s="1"/>
  <c r="BC33" i="8"/>
  <c r="BK33" i="8" s="1"/>
  <c r="BD30" i="8"/>
  <c r="BL30" i="8" s="1"/>
  <c r="BG26" i="8"/>
  <c r="BO26" i="8" s="1"/>
  <c r="BD25" i="8"/>
  <c r="BL25" i="8" s="1"/>
  <c r="BD15" i="8"/>
  <c r="BL15" i="8" s="1"/>
  <c r="BG14" i="8"/>
  <c r="BO14" i="8" s="1"/>
  <c r="BE191" i="8"/>
  <c r="BM191" i="8" s="1"/>
  <c r="BD191" i="8"/>
  <c r="BL191" i="8" s="1"/>
  <c r="BH190" i="8"/>
  <c r="BP190" i="8" s="1"/>
  <c r="BG190" i="8"/>
  <c r="BO190" i="8" s="1"/>
  <c r="BT190" i="8"/>
  <c r="CB190" i="8" s="1"/>
  <c r="BC190" i="8"/>
  <c r="BK190" i="8" s="1"/>
  <c r="BB190" i="8"/>
  <c r="BJ190" i="8" s="1"/>
  <c r="BW189" i="8"/>
  <c r="CE189" i="8" s="1"/>
  <c r="BV189" i="8"/>
  <c r="CD189" i="8" s="1"/>
  <c r="BS189" i="8"/>
  <c r="CA189" i="8" s="1"/>
  <c r="BR189" i="8"/>
  <c r="BZ189" i="8" s="1"/>
  <c r="BI181" i="8"/>
  <c r="BQ181" i="8" s="1"/>
  <c r="BO181" i="8"/>
  <c r="BF181" i="8"/>
  <c r="BN181" i="8" s="1"/>
  <c r="BU181" i="8"/>
  <c r="CC181" i="8" s="1"/>
  <c r="BR178" i="8"/>
  <c r="BZ178" i="8" s="1"/>
  <c r="BB173" i="8"/>
  <c r="BJ173" i="8" s="1"/>
  <c r="BV171" i="8"/>
  <c r="CD171" i="8" s="1"/>
  <c r="BH170" i="8"/>
  <c r="BP170" i="8" s="1"/>
  <c r="BT167" i="8"/>
  <c r="CB167" i="8" s="1"/>
  <c r="BC166" i="8"/>
  <c r="BK166" i="8" s="1"/>
  <c r="BV165" i="8"/>
  <c r="CD165" i="8" s="1"/>
  <c r="BE164" i="8"/>
  <c r="BM164" i="8" s="1"/>
  <c r="BW163" i="8"/>
  <c r="CE163" i="8" s="1"/>
  <c r="BB160" i="8"/>
  <c r="BJ160" i="8" s="1"/>
  <c r="BB157" i="8"/>
  <c r="BJ157" i="8" s="1"/>
  <c r="BR150" i="8"/>
  <c r="BZ150" i="8" s="1"/>
  <c r="BI143" i="8"/>
  <c r="BQ143" i="8" s="1"/>
  <c r="BI140" i="8"/>
  <c r="BQ140" i="8" s="1"/>
  <c r="BI126" i="8"/>
  <c r="BQ126" i="8" s="1"/>
  <c r="BY126" i="8"/>
  <c r="CG126" i="8" s="1"/>
  <c r="BU124" i="8"/>
  <c r="CC124" i="8" s="1"/>
  <c r="BD123" i="8"/>
  <c r="BL123" i="8" s="1"/>
  <c r="BB122" i="8"/>
  <c r="BJ122" i="8" s="1"/>
  <c r="BG121" i="8"/>
  <c r="BO121" i="8" s="1"/>
  <c r="BH115" i="8"/>
  <c r="BP115" i="8" s="1"/>
  <c r="BG112" i="8"/>
  <c r="BO112" i="8" s="1"/>
  <c r="BI110" i="8"/>
  <c r="BQ110" i="8" s="1"/>
  <c r="BB102" i="8"/>
  <c r="BJ102" i="8" s="1"/>
  <c r="BR101" i="8"/>
  <c r="BZ101" i="8" s="1"/>
  <c r="BB95" i="8"/>
  <c r="BJ95" i="8" s="1"/>
  <c r="BC77" i="8"/>
  <c r="BK77" i="8" s="1"/>
  <c r="BD74" i="8"/>
  <c r="BL74" i="8" s="1"/>
  <c r="BR74" i="8"/>
  <c r="BZ74" i="8" s="1"/>
  <c r="BC73" i="8"/>
  <c r="BK73" i="8" s="1"/>
  <c r="BR70" i="8"/>
  <c r="BZ70" i="8" s="1"/>
  <c r="BE63" i="8"/>
  <c r="BM63" i="8" s="1"/>
  <c r="BH55" i="8"/>
  <c r="BP55" i="8" s="1"/>
  <c r="BW53" i="8"/>
  <c r="CE53" i="8" s="1"/>
  <c r="BR46" i="8"/>
  <c r="BZ46" i="8" s="1"/>
  <c r="BW42" i="8"/>
  <c r="CE42" i="8" s="1"/>
  <c r="BW24" i="8"/>
  <c r="CE24" i="8" s="1"/>
  <c r="BG16" i="8"/>
  <c r="BO16" i="8" s="1"/>
  <c r="BV11" i="8"/>
  <c r="CD11" i="8" s="1"/>
  <c r="BV9" i="8"/>
  <c r="CD9" i="8" s="1"/>
  <c r="BI8" i="8"/>
  <c r="BQ8" i="8" s="1"/>
  <c r="BU8" i="8"/>
  <c r="CC8" i="8" s="1"/>
  <c r="BC7" i="8"/>
  <c r="BK7" i="8" s="1"/>
  <c r="BV6" i="8"/>
  <c r="CD6" i="8" s="1"/>
  <c r="BE201" i="8"/>
  <c r="BM201" i="8" s="1"/>
  <c r="BH199" i="8"/>
  <c r="BP199" i="8" s="1"/>
  <c r="BD199" i="8"/>
  <c r="BL199" i="8" s="1"/>
  <c r="BH186" i="8"/>
  <c r="BP186" i="8" s="1"/>
  <c r="BG186" i="8"/>
  <c r="BO186" i="8" s="1"/>
  <c r="BC182" i="8"/>
  <c r="BK182" i="8" s="1"/>
  <c r="BV177" i="8"/>
  <c r="CD177" i="8" s="1"/>
  <c r="BR176" i="8"/>
  <c r="BZ176" i="8" s="1"/>
  <c r="BF175" i="8"/>
  <c r="BN175" i="8" s="1"/>
  <c r="BR175" i="8"/>
  <c r="BZ175" i="8" s="1"/>
  <c r="BX174" i="8"/>
  <c r="CF174" i="8" s="1"/>
  <c r="BI152" i="8"/>
  <c r="BQ152" i="8" s="1"/>
  <c r="BR152" i="8"/>
  <c r="BZ152" i="8" s="1"/>
  <c r="BI148" i="8"/>
  <c r="BQ148" i="8" s="1"/>
  <c r="BF148" i="8"/>
  <c r="BN148" i="8" s="1"/>
  <c r="BI146" i="8"/>
  <c r="BC141" i="8"/>
  <c r="BK141" i="8" s="1"/>
  <c r="BX140" i="8"/>
  <c r="CF140" i="8" s="1"/>
  <c r="BI138" i="8"/>
  <c r="BQ138" i="8" s="1"/>
  <c r="BI134" i="8"/>
  <c r="BQ134" i="8" s="1"/>
  <c r="BD131" i="8"/>
  <c r="BL131" i="8" s="1"/>
  <c r="BH130" i="8"/>
  <c r="BG129" i="8"/>
  <c r="BO129" i="8" s="1"/>
  <c r="BF129" i="8"/>
  <c r="BN129" i="8" s="1"/>
  <c r="BE129" i="8"/>
  <c r="BM129" i="8" s="1"/>
  <c r="BC127" i="8"/>
  <c r="BK127" i="8" s="1"/>
  <c r="BD126" i="8"/>
  <c r="BL126" i="8" s="1"/>
  <c r="BH116" i="8"/>
  <c r="BP116" i="8" s="1"/>
  <c r="BB114" i="8"/>
  <c r="BJ114" i="8" s="1"/>
  <c r="BH112" i="8"/>
  <c r="BP112" i="8" s="1"/>
  <c r="BB111" i="8"/>
  <c r="BJ111" i="8" s="1"/>
  <c r="BB110" i="8"/>
  <c r="BJ110" i="8" s="1"/>
  <c r="BB89" i="8"/>
  <c r="BJ89" i="8" s="1"/>
  <c r="BB83" i="8"/>
  <c r="BJ83" i="8" s="1"/>
  <c r="BF82" i="8"/>
  <c r="BN82" i="8" s="1"/>
  <c r="BE82" i="8"/>
  <c r="BM82" i="8" s="1"/>
  <c r="BI81" i="8"/>
  <c r="BQ81" i="8" s="1"/>
  <c r="BH81" i="8"/>
  <c r="BP81" i="8" s="1"/>
  <c r="BE78" i="8"/>
  <c r="BM78" i="8" s="1"/>
  <c r="BI77" i="8"/>
  <c r="BQ77" i="8" s="1"/>
  <c r="BI67" i="8"/>
  <c r="BQ67" i="8" s="1"/>
  <c r="BC65" i="8"/>
  <c r="BK65" i="8" s="1"/>
  <c r="BC64" i="8"/>
  <c r="BK64" i="8" s="1"/>
  <c r="BD56" i="8"/>
  <c r="BL56" i="8" s="1"/>
  <c r="BD44" i="8"/>
  <c r="BL44" i="8" s="1"/>
  <c r="BB43" i="8"/>
  <c r="BJ43" i="8" s="1"/>
  <c r="BC25" i="8"/>
  <c r="BK25" i="8" s="1"/>
  <c r="BE21" i="8"/>
  <c r="BM21" i="8" s="1"/>
  <c r="BE17" i="8"/>
  <c r="BM17" i="8" s="1"/>
  <c r="BI16" i="8"/>
  <c r="BQ16" i="8" s="1"/>
  <c r="BG189" i="8"/>
  <c r="BO189" i="8" s="1"/>
  <c r="BB204" i="8"/>
  <c r="BJ204" i="8" s="1"/>
  <c r="BG210" i="8"/>
  <c r="BO210" i="8" s="1"/>
  <c r="BE181" i="8"/>
  <c r="BM181" i="8" s="1"/>
  <c r="BX191" i="8"/>
  <c r="CF191" i="8" s="1"/>
  <c r="BY205" i="8"/>
  <c r="CG205" i="8" s="1"/>
  <c r="BV204" i="8"/>
  <c r="CD204" i="8" s="1"/>
  <c r="BW190" i="8"/>
  <c r="CE190" i="8" s="1"/>
  <c r="BH210" i="8"/>
  <c r="BP210" i="8" s="1"/>
  <c r="BF206" i="8"/>
  <c r="BN206" i="8" s="1"/>
  <c r="BG204" i="8"/>
  <c r="BO204" i="8" s="1"/>
  <c r="BF192" i="8"/>
  <c r="BN192" i="8" s="1"/>
  <c r="BG132" i="8"/>
  <c r="BO132" i="8" s="1"/>
  <c r="BX132" i="8"/>
  <c r="CF132" i="8" s="1"/>
  <c r="BC128" i="8"/>
  <c r="BK128" i="8" s="1"/>
  <c r="BS128" i="8"/>
  <c r="CA128" i="8" s="1"/>
  <c r="BG108" i="8"/>
  <c r="BO108" i="8" s="1"/>
  <c r="BX108" i="8"/>
  <c r="CF108" i="8" s="1"/>
  <c r="BY107" i="8"/>
  <c r="CG107" i="8" s="1"/>
  <c r="BW107" i="8"/>
  <c r="CE107" i="8" s="1"/>
  <c r="BH100" i="8"/>
  <c r="BP100" i="8" s="1"/>
  <c r="BX100" i="8"/>
  <c r="CF100" i="8" s="1"/>
  <c r="BB99" i="8"/>
  <c r="BJ99" i="8" s="1"/>
  <c r="BR99" i="8"/>
  <c r="BZ99" i="8" s="1"/>
  <c r="BH93" i="8"/>
  <c r="BP93" i="8" s="1"/>
  <c r="BX93" i="8"/>
  <c r="CF93" i="8" s="1"/>
  <c r="BC92" i="8"/>
  <c r="BK92" i="8" s="1"/>
  <c r="BS92" i="8"/>
  <c r="CA92" i="8" s="1"/>
  <c r="BC88" i="8"/>
  <c r="BK88" i="8" s="1"/>
  <c r="BS88" i="8"/>
  <c r="CA88" i="8" s="1"/>
  <c r="BW69" i="8"/>
  <c r="CE69" i="8" s="1"/>
  <c r="BX69" i="8"/>
  <c r="CF69" i="8" s="1"/>
  <c r="BB39" i="8"/>
  <c r="BJ39" i="8" s="1"/>
  <c r="BR39" i="8"/>
  <c r="BZ39" i="8" s="1"/>
  <c r="BU191" i="8"/>
  <c r="CC191" i="8" s="1"/>
  <c r="BD189" i="8"/>
  <c r="BL189" i="8" s="1"/>
  <c r="BV191" i="8"/>
  <c r="CD191" i="8" s="1"/>
  <c r="BD190" i="8"/>
  <c r="BL190" i="8" s="1"/>
  <c r="BW204" i="8"/>
  <c r="CE204" i="8" s="1"/>
  <c r="BY206" i="8"/>
  <c r="CG206" i="8" s="1"/>
  <c r="BT191" i="8"/>
  <c r="CB191" i="8" s="1"/>
  <c r="BS205" i="8"/>
  <c r="CA205" i="8" s="1"/>
  <c r="BS190" i="8"/>
  <c r="CA190" i="8" s="1"/>
  <c r="BW181" i="8"/>
  <c r="CE181" i="8" s="1"/>
  <c r="BR181" i="8"/>
  <c r="BZ181" i="8" s="1"/>
  <c r="BB181" i="8"/>
  <c r="BJ181" i="8" s="1"/>
  <c r="BJ191" i="8"/>
  <c r="BF210" i="8"/>
  <c r="BN210" i="8" s="1"/>
  <c r="BR190" i="8"/>
  <c r="BZ190" i="8" s="1"/>
  <c r="BQ187" i="8"/>
  <c r="BF189" i="8"/>
  <c r="BN189" i="8" s="1"/>
  <c r="BO188" i="8"/>
  <c r="BB186" i="8"/>
  <c r="BJ186" i="8" s="1"/>
  <c r="BD173" i="8"/>
  <c r="BL173" i="8" s="1"/>
  <c r="BT173" i="8"/>
  <c r="CB173" i="8" s="1"/>
  <c r="BD169" i="8"/>
  <c r="BL169" i="8" s="1"/>
  <c r="BT169" i="8"/>
  <c r="CB169" i="8" s="1"/>
  <c r="BD146" i="8"/>
  <c r="BT146" i="8"/>
  <c r="CB146" i="8" s="1"/>
  <c r="BI54" i="8"/>
  <c r="BQ54" i="8" s="1"/>
  <c r="BY54" i="8"/>
  <c r="CG54" i="8" s="1"/>
  <c r="BG6" i="8"/>
  <c r="BO6" i="8" s="1"/>
  <c r="BW6" i="8"/>
  <c r="CE6" i="8" s="1"/>
  <c r="BG192" i="8"/>
  <c r="BO192" i="8" s="1"/>
  <c r="BI185" i="8"/>
  <c r="BQ185" i="8" s="1"/>
  <c r="BH185" i="8"/>
  <c r="BP185" i="8" s="1"/>
  <c r="BT185" i="8"/>
  <c r="CB185" i="8" s="1"/>
  <c r="BX181" i="8"/>
  <c r="CF181" i="8" s="1"/>
  <c r="BV181" i="8"/>
  <c r="CD181" i="8" s="1"/>
  <c r="BD206" i="8"/>
  <c r="BL206" i="8" s="1"/>
  <c r="BK199" i="8"/>
  <c r="BF197" i="8"/>
  <c r="BN197" i="8" s="1"/>
  <c r="BD195" i="8"/>
  <c r="BL195" i="8" s="1"/>
  <c r="BG194" i="8"/>
  <c r="BO194" i="8" s="1"/>
  <c r="BB187" i="8"/>
  <c r="BJ187" i="8" s="1"/>
  <c r="BI184" i="8"/>
  <c r="BQ184" i="8" s="1"/>
  <c r="BI180" i="8"/>
  <c r="BQ180" i="8" s="1"/>
  <c r="BE180" i="8"/>
  <c r="BM180" i="8" s="1"/>
  <c r="BX178" i="8"/>
  <c r="CF178" i="8" s="1"/>
  <c r="BI177" i="8"/>
  <c r="BQ177" i="8" s="1"/>
  <c r="BY177" i="8"/>
  <c r="CG177" i="8" s="1"/>
  <c r="BH162" i="8"/>
  <c r="BP162" i="8" s="1"/>
  <c r="BC200" i="8"/>
  <c r="BK200" i="8" s="1"/>
  <c r="BF199" i="8"/>
  <c r="BN199" i="8" s="1"/>
  <c r="BH198" i="8"/>
  <c r="BP198" i="8" s="1"/>
  <c r="BI197" i="8"/>
  <c r="BQ197" i="8" s="1"/>
  <c r="BE197" i="8"/>
  <c r="BM197" i="8" s="1"/>
  <c r="BB194" i="8"/>
  <c r="BJ194" i="8" s="1"/>
  <c r="BE193" i="8"/>
  <c r="BM193" i="8" s="1"/>
  <c r="BD184" i="8"/>
  <c r="BL184" i="8" s="1"/>
  <c r="BR183" i="8"/>
  <c r="BZ183" i="8" s="1"/>
  <c r="BG182" i="8"/>
  <c r="BO182" i="8" s="1"/>
  <c r="BI176" i="8"/>
  <c r="BQ176" i="8" s="1"/>
  <c r="BE176" i="8"/>
  <c r="BM176" i="8" s="1"/>
  <c r="BI173" i="8"/>
  <c r="BQ173" i="8" s="1"/>
  <c r="BI169" i="8"/>
  <c r="BQ169" i="8" s="1"/>
  <c r="BB168" i="8"/>
  <c r="BJ168" i="8" s="1"/>
  <c r="BV167" i="8"/>
  <c r="CD167" i="8" s="1"/>
  <c r="BB165" i="8"/>
  <c r="BJ165" i="8" s="1"/>
  <c r="BG162" i="8"/>
  <c r="BO162" i="8" s="1"/>
  <c r="BQ146" i="8"/>
  <c r="BD210" i="8"/>
  <c r="BL210" i="8" s="1"/>
  <c r="BG206" i="8"/>
  <c r="BO206" i="8" s="1"/>
  <c r="BI201" i="8"/>
  <c r="BQ201" i="8" s="1"/>
  <c r="BD201" i="8"/>
  <c r="BL201" i="8" s="1"/>
  <c r="BG198" i="8"/>
  <c r="BO198" i="8" s="1"/>
  <c r="BB196" i="8"/>
  <c r="BJ196" i="8" s="1"/>
  <c r="BE194" i="8"/>
  <c r="BM194" i="8" s="1"/>
  <c r="BI190" i="8"/>
  <c r="BQ190" i="8" s="1"/>
  <c r="BT186" i="8"/>
  <c r="CB186" i="8" s="1"/>
  <c r="BF183" i="8"/>
  <c r="BN183" i="8" s="1"/>
  <c r="BH181" i="8"/>
  <c r="BP181" i="8" s="1"/>
  <c r="BF179" i="8"/>
  <c r="BN179" i="8" s="1"/>
  <c r="BG178" i="8"/>
  <c r="BO178" i="8" s="1"/>
  <c r="BI172" i="8"/>
  <c r="BQ172" i="8" s="1"/>
  <c r="BC170" i="8"/>
  <c r="BK170" i="8" s="1"/>
  <c r="BR170" i="8"/>
  <c r="BZ170" i="8" s="1"/>
  <c r="BV169" i="8"/>
  <c r="CD169" i="8" s="1"/>
  <c r="BH166" i="8"/>
  <c r="BP166" i="8" s="1"/>
  <c r="BB161" i="8"/>
  <c r="BJ161" i="8" s="1"/>
  <c r="BD157" i="8"/>
  <c r="BL157" i="8" s="1"/>
  <c r="BY149" i="8"/>
  <c r="CG149" i="8" s="1"/>
  <c r="BB147" i="8"/>
  <c r="BJ147" i="8" s="1"/>
  <c r="BG138" i="8"/>
  <c r="BO138" i="8" s="1"/>
  <c r="BG128" i="8"/>
  <c r="BO128" i="8" s="1"/>
  <c r="BE125" i="8"/>
  <c r="BM125" i="8" s="1"/>
  <c r="BD122" i="8"/>
  <c r="BL122" i="8" s="1"/>
  <c r="BC111" i="8"/>
  <c r="BK111" i="8" s="1"/>
  <c r="BE109" i="8"/>
  <c r="BM109" i="8" s="1"/>
  <c r="BI95" i="8"/>
  <c r="BQ95" i="8" s="1"/>
  <c r="BD95" i="8"/>
  <c r="BL95" i="8" s="1"/>
  <c r="BC81" i="8"/>
  <c r="BK81" i="8" s="1"/>
  <c r="BH79" i="8"/>
  <c r="BP79" i="8" s="1"/>
  <c r="BD70" i="8"/>
  <c r="BL70" i="8" s="1"/>
  <c r="BC69" i="8"/>
  <c r="BK69" i="8" s="1"/>
  <c r="BE67" i="8"/>
  <c r="BM67" i="8" s="1"/>
  <c r="BD66" i="8"/>
  <c r="BL66" i="8" s="1"/>
  <c r="BI60" i="8"/>
  <c r="BE47" i="8"/>
  <c r="BM47" i="8" s="1"/>
  <c r="BI46" i="8"/>
  <c r="BQ46" i="8" s="1"/>
  <c r="BH45" i="8"/>
  <c r="BP45" i="8" s="1"/>
  <c r="BC45" i="8"/>
  <c r="BK45" i="8" s="1"/>
  <c r="BC42" i="8"/>
  <c r="BK42" i="8" s="1"/>
  <c r="BF15" i="8"/>
  <c r="BN15" i="8" s="1"/>
  <c r="BC174" i="8"/>
  <c r="BK174" i="8" s="1"/>
  <c r="BB172" i="8"/>
  <c r="BJ172" i="8" s="1"/>
  <c r="BF171" i="8"/>
  <c r="BN171" i="8" s="1"/>
  <c r="BB169" i="8"/>
  <c r="BJ169" i="8" s="1"/>
  <c r="BI165" i="8"/>
  <c r="BQ165" i="8" s="1"/>
  <c r="BD165" i="8"/>
  <c r="BL165" i="8" s="1"/>
  <c r="BI156" i="8"/>
  <c r="BQ156" i="8" s="1"/>
  <c r="BD153" i="8"/>
  <c r="BL153" i="8" s="1"/>
  <c r="BE141" i="8"/>
  <c r="BM141" i="8" s="1"/>
  <c r="BH131" i="8"/>
  <c r="BP131" i="8" s="1"/>
  <c r="BB123" i="8"/>
  <c r="BJ123" i="8" s="1"/>
  <c r="BE121" i="8"/>
  <c r="BM121" i="8" s="1"/>
  <c r="BI102" i="8"/>
  <c r="BQ102" i="8" s="1"/>
  <c r="BD102" i="8"/>
  <c r="BL102" i="8" s="1"/>
  <c r="BH99" i="8"/>
  <c r="BP99" i="8" s="1"/>
  <c r="BO93" i="8"/>
  <c r="BH88" i="8"/>
  <c r="BP88" i="8" s="1"/>
  <c r="BC85" i="8"/>
  <c r="BK85" i="8" s="1"/>
  <c r="BH83" i="8"/>
  <c r="BP83" i="8" s="1"/>
  <c r="BF78" i="8"/>
  <c r="BN78" i="8" s="1"/>
  <c r="BD72" i="8"/>
  <c r="BL72" i="8" s="1"/>
  <c r="BC68" i="8"/>
  <c r="BK68" i="8" s="1"/>
  <c r="BE57" i="8"/>
  <c r="BM57" i="8" s="1"/>
  <c r="BE55" i="8"/>
  <c r="BM55" i="8" s="1"/>
  <c r="BF53" i="8"/>
  <c r="BN53" i="8" s="1"/>
  <c r="BH51" i="8"/>
  <c r="BP51" i="8" s="1"/>
  <c r="BD26" i="8"/>
  <c r="BL26" i="8" s="1"/>
  <c r="BF23" i="8"/>
  <c r="BN23" i="8" s="1"/>
  <c r="BH21" i="8"/>
  <c r="BP21" i="8" s="1"/>
  <c r="BI20" i="8"/>
  <c r="BQ20" i="8" s="1"/>
  <c r="BG18" i="8"/>
  <c r="BO18" i="8" s="1"/>
  <c r="BF11" i="8"/>
  <c r="BN11" i="8" s="1"/>
  <c r="BB156" i="8"/>
  <c r="BJ156" i="8" s="1"/>
  <c r="BI151" i="8"/>
  <c r="BQ151" i="8" s="1"/>
  <c r="BH150" i="8"/>
  <c r="BP150" i="8" s="1"/>
  <c r="BI147" i="8"/>
  <c r="BQ147" i="8" s="1"/>
  <c r="BB146" i="8"/>
  <c r="BJ146" i="8" s="1"/>
  <c r="BF136" i="8"/>
  <c r="BN136" i="8" s="1"/>
  <c r="BH132" i="8"/>
  <c r="BP132" i="8" s="1"/>
  <c r="BF132" i="8"/>
  <c r="BN132" i="8" s="1"/>
  <c r="BH128" i="8"/>
  <c r="BP128" i="8" s="1"/>
  <c r="BE126" i="8"/>
  <c r="BM126" i="8" s="1"/>
  <c r="BF125" i="8"/>
  <c r="BN125" i="8" s="1"/>
  <c r="BC123" i="8"/>
  <c r="BK123" i="8" s="1"/>
  <c r="BE122" i="8"/>
  <c r="BI118" i="8"/>
  <c r="BQ118" i="8" s="1"/>
  <c r="BD118" i="8"/>
  <c r="BL118" i="8" s="1"/>
  <c r="BG117" i="8"/>
  <c r="BO117" i="8" s="1"/>
  <c r="BD114" i="8"/>
  <c r="BL114" i="8" s="1"/>
  <c r="BE113" i="8"/>
  <c r="BM113" i="8" s="1"/>
  <c r="BD110" i="8"/>
  <c r="BL110" i="8" s="1"/>
  <c r="BB107" i="8"/>
  <c r="BJ107" i="8" s="1"/>
  <c r="BH104" i="8"/>
  <c r="BP104" i="8" s="1"/>
  <c r="BE101" i="8"/>
  <c r="BM101" i="8" s="1"/>
  <c r="BG100" i="8"/>
  <c r="BO100" i="8" s="1"/>
  <c r="BH97" i="8"/>
  <c r="BP97" i="8" s="1"/>
  <c r="BF94" i="8"/>
  <c r="BN94" i="8" s="1"/>
  <c r="BB93" i="8"/>
  <c r="BJ93" i="8" s="1"/>
  <c r="BF90" i="8"/>
  <c r="BN90" i="8" s="1"/>
  <c r="BC90" i="8"/>
  <c r="BK90" i="8" s="1"/>
  <c r="BH89" i="8"/>
  <c r="BP89" i="8" s="1"/>
  <c r="BI87" i="8"/>
  <c r="BQ87" i="8" s="1"/>
  <c r="BB87" i="8"/>
  <c r="BJ87" i="8" s="1"/>
  <c r="BI85" i="8"/>
  <c r="BQ85" i="8" s="1"/>
  <c r="BH85" i="8"/>
  <c r="BP85" i="8" s="1"/>
  <c r="BD84" i="8"/>
  <c r="BL84" i="8" s="1"/>
  <c r="BD82" i="8"/>
  <c r="BL82" i="8" s="1"/>
  <c r="BH77" i="8"/>
  <c r="BP77" i="8" s="1"/>
  <c r="BD76" i="8"/>
  <c r="BL76" i="8" s="1"/>
  <c r="BH69" i="8"/>
  <c r="BP69" i="8" s="1"/>
  <c r="BH68" i="8"/>
  <c r="BP68" i="8" s="1"/>
  <c r="BB68" i="8"/>
  <c r="BJ68" i="8" s="1"/>
  <c r="BB66" i="8"/>
  <c r="BJ66" i="8" s="1"/>
  <c r="BI64" i="8"/>
  <c r="BQ64" i="8" s="1"/>
  <c r="BC63" i="8"/>
  <c r="BK63" i="8" s="1"/>
  <c r="BD62" i="8"/>
  <c r="BL62" i="8" s="1"/>
  <c r="BC61" i="8"/>
  <c r="BK61" i="8" s="1"/>
  <c r="BF58" i="8"/>
  <c r="BN58" i="8" s="1"/>
  <c r="BC57" i="8"/>
  <c r="BK57" i="8" s="1"/>
  <c r="BG52" i="8"/>
  <c r="BO52" i="8" s="1"/>
  <c r="BE51" i="8"/>
  <c r="BM51" i="8" s="1"/>
  <c r="BH47" i="8"/>
  <c r="BP47" i="8" s="1"/>
  <c r="BF45" i="8"/>
  <c r="BN45" i="8" s="1"/>
  <c r="BF44" i="8"/>
  <c r="BN44" i="8" s="1"/>
  <c r="BE43" i="8"/>
  <c r="BM43" i="8" s="1"/>
  <c r="BE41" i="8"/>
  <c r="BB41" i="8"/>
  <c r="BJ41" i="8" s="1"/>
  <c r="BF38" i="8"/>
  <c r="BN38" i="8" s="1"/>
  <c r="BI37" i="8"/>
  <c r="BQ37" i="8" s="1"/>
  <c r="BH25" i="8"/>
  <c r="BP25" i="8" s="1"/>
  <c r="BG22" i="8"/>
  <c r="BO22" i="8" s="1"/>
  <c r="BC19" i="8"/>
  <c r="BK19" i="8" s="1"/>
  <c r="BH17" i="8"/>
  <c r="BP17" i="8" s="1"/>
  <c r="BC16" i="8"/>
  <c r="BK16" i="8" s="1"/>
  <c r="BC15" i="8"/>
  <c r="BK15" i="8" s="1"/>
  <c r="BE13" i="8"/>
  <c r="BM13" i="8" s="1"/>
  <c r="BE6" i="8"/>
  <c r="BM6" i="8" s="1"/>
  <c r="BC162" i="8"/>
  <c r="BK162" i="8" s="1"/>
  <c r="BH158" i="8"/>
  <c r="BP158" i="8" s="1"/>
  <c r="BC158" i="8"/>
  <c r="BK158" i="8" s="1"/>
  <c r="BY155" i="8"/>
  <c r="CG155" i="8" s="1"/>
  <c r="BH154" i="8"/>
  <c r="BP154" i="8" s="1"/>
  <c r="BI153" i="8"/>
  <c r="BQ153" i="8" s="1"/>
  <c r="BD149" i="8"/>
  <c r="BL149" i="8" s="1"/>
  <c r="BE145" i="8"/>
  <c r="BM145" i="8" s="1"/>
  <c r="BB142" i="8"/>
  <c r="BJ142" i="8" s="1"/>
  <c r="BH134" i="8"/>
  <c r="BP134" i="8" s="1"/>
  <c r="BC134" i="8"/>
  <c r="BK134" i="8" s="1"/>
  <c r="BC131" i="8"/>
  <c r="BK131" i="8" s="1"/>
  <c r="BD130" i="8"/>
  <c r="BL130" i="8" s="1"/>
  <c r="BH127" i="8"/>
  <c r="BP127" i="8" s="1"/>
  <c r="BB127" i="8"/>
  <c r="BJ127" i="8" s="1"/>
  <c r="BG124" i="8"/>
  <c r="BO124" i="8" s="1"/>
  <c r="BH123" i="8"/>
  <c r="BP123" i="8" s="1"/>
  <c r="BG120" i="8"/>
  <c r="BO120" i="8" s="1"/>
  <c r="BG116" i="8"/>
  <c r="BO116" i="8" s="1"/>
  <c r="BC115" i="8"/>
  <c r="BK115" i="8" s="1"/>
  <c r="BH111" i="8"/>
  <c r="BP111" i="8" s="1"/>
  <c r="BH108" i="8"/>
  <c r="BP108" i="8" s="1"/>
  <c r="BH107" i="8"/>
  <c r="BP107" i="8" s="1"/>
  <c r="BI106" i="8"/>
  <c r="BQ106" i="8" s="1"/>
  <c r="BC103" i="8"/>
  <c r="BK103" i="8" s="1"/>
  <c r="BC98" i="8"/>
  <c r="BK98" i="8" s="1"/>
  <c r="BH96" i="8"/>
  <c r="BP96" i="8" s="1"/>
  <c r="BC96" i="8"/>
  <c r="BK96" i="8" s="1"/>
  <c r="BD92" i="8"/>
  <c r="BL92" i="8" s="1"/>
  <c r="BD91" i="8"/>
  <c r="BL91" i="8" s="1"/>
  <c r="BG89" i="8"/>
  <c r="BO89" i="8" s="1"/>
  <c r="BD88" i="8"/>
  <c r="BL88" i="8" s="1"/>
  <c r="BF86" i="8"/>
  <c r="BN86" i="8" s="1"/>
  <c r="BH75" i="8"/>
  <c r="BP75" i="8" s="1"/>
  <c r="BE74" i="8"/>
  <c r="BM74" i="8" s="1"/>
  <c r="BI73" i="8"/>
  <c r="BQ73" i="8" s="1"/>
  <c r="BB67" i="8"/>
  <c r="BJ67" i="8" s="1"/>
  <c r="BC49" i="8"/>
  <c r="BK49" i="8" s="1"/>
  <c r="BB35" i="8"/>
  <c r="BJ35" i="8" s="1"/>
  <c r="BF34" i="8"/>
  <c r="BN34" i="8" s="1"/>
  <c r="BI33" i="8"/>
  <c r="BQ33" i="8" s="1"/>
  <c r="BB31" i="8"/>
  <c r="BJ31" i="8" s="1"/>
  <c r="BC29" i="8"/>
  <c r="BK29" i="8" s="1"/>
  <c r="BF26" i="8"/>
  <c r="BN26" i="8" s="1"/>
  <c r="BI12" i="8"/>
  <c r="BQ12" i="8" s="1"/>
  <c r="BH9" i="8"/>
  <c r="BP9" i="8" s="1"/>
  <c r="BE9" i="8"/>
  <c r="BM9" i="8" s="1"/>
  <c r="BB11" i="6"/>
  <c r="BG11" i="6"/>
  <c r="BF13" i="6"/>
  <c r="BB17" i="6"/>
  <c r="BN7" i="6"/>
  <c r="BV7" i="6" s="1"/>
  <c r="BE9" i="6"/>
  <c r="BK17" i="6"/>
  <c r="BS17" i="6" s="1"/>
  <c r="BV175" i="8"/>
  <c r="CD175" i="8" s="1"/>
  <c r="BX177" i="8"/>
  <c r="CF177" i="8" s="1"/>
  <c r="BG195" i="8"/>
  <c r="BO195" i="8" s="1"/>
  <c r="BF193" i="8"/>
  <c r="BN193" i="8" s="1"/>
  <c r="BB176" i="8"/>
  <c r="BJ176" i="8" s="1"/>
  <c r="BH174" i="8"/>
  <c r="BP174" i="8" s="1"/>
  <c r="BG170" i="8"/>
  <c r="BO170" i="8" s="1"/>
  <c r="BG166" i="8"/>
  <c r="BO166" i="8" s="1"/>
  <c r="BI161" i="8"/>
  <c r="BQ161" i="8" s="1"/>
  <c r="BI157" i="8"/>
  <c r="BQ157" i="8" s="1"/>
  <c r="BE156" i="8"/>
  <c r="BM156" i="8" s="1"/>
  <c r="BG154" i="8"/>
  <c r="BO154" i="8" s="1"/>
  <c r="BH152" i="8"/>
  <c r="BP152" i="8" s="1"/>
  <c r="BE151" i="8"/>
  <c r="BM151" i="8" s="1"/>
  <c r="BC150" i="8"/>
  <c r="BK150" i="8" s="1"/>
  <c r="BL146" i="8"/>
  <c r="BB145" i="8"/>
  <c r="BJ145" i="8" s="1"/>
  <c r="BF144" i="8"/>
  <c r="BN144" i="8" s="1"/>
  <c r="BC143" i="8"/>
  <c r="BK143" i="8" s="1"/>
  <c r="BG135" i="8"/>
  <c r="BO135" i="8" s="1"/>
  <c r="BS166" i="8"/>
  <c r="CA166" i="8" s="1"/>
  <c r="BI192" i="8"/>
  <c r="BQ192" i="8" s="1"/>
  <c r="BH191" i="8"/>
  <c r="BP191" i="8" s="1"/>
  <c r="BC186" i="8"/>
  <c r="BK186" i="8" s="1"/>
  <c r="BC178" i="8"/>
  <c r="BK178" i="8" s="1"/>
  <c r="BH173" i="8"/>
  <c r="BP173" i="8" s="1"/>
  <c r="BI168" i="8"/>
  <c r="BQ168" i="8" s="1"/>
  <c r="BI164" i="8"/>
  <c r="BQ164" i="8" s="1"/>
  <c r="BF163" i="8"/>
  <c r="BN163" i="8" s="1"/>
  <c r="BI160" i="8"/>
  <c r="BQ160" i="8" s="1"/>
  <c r="BF159" i="8"/>
  <c r="BN159" i="8" s="1"/>
  <c r="BF155" i="8"/>
  <c r="BN155" i="8" s="1"/>
  <c r="BF152" i="8"/>
  <c r="BN152" i="8" s="1"/>
  <c r="BG151" i="8"/>
  <c r="BO151" i="8" s="1"/>
  <c r="BR148" i="8"/>
  <c r="BZ148" i="8" s="1"/>
  <c r="BH146" i="8"/>
  <c r="BP146" i="8" s="1"/>
  <c r="BH144" i="8"/>
  <c r="BP144" i="8" s="1"/>
  <c r="BE136" i="8"/>
  <c r="BM136" i="8" s="1"/>
  <c r="BF194" i="8"/>
  <c r="BN194" i="8" s="1"/>
  <c r="BC192" i="8"/>
  <c r="BK192" i="8" s="1"/>
  <c r="BE190" i="8"/>
  <c r="BM190" i="8" s="1"/>
  <c r="BD185" i="8"/>
  <c r="BL185" i="8" s="1"/>
  <c r="BB180" i="8"/>
  <c r="BJ180" i="8" s="1"/>
  <c r="BH178" i="8"/>
  <c r="BP178" i="8" s="1"/>
  <c r="BH177" i="8"/>
  <c r="BP177" i="8" s="1"/>
  <c r="BG174" i="8"/>
  <c r="BO174" i="8" s="1"/>
  <c r="BE172" i="8"/>
  <c r="BM172" i="8" s="1"/>
  <c r="BH169" i="8"/>
  <c r="BP169" i="8" s="1"/>
  <c r="BH165" i="8"/>
  <c r="BP165" i="8" s="1"/>
  <c r="BH161" i="8"/>
  <c r="BP161" i="8" s="1"/>
  <c r="BH157" i="8"/>
  <c r="BP157" i="8" s="1"/>
  <c r="BX153" i="8"/>
  <c r="CF153" i="8" s="1"/>
  <c r="BB151" i="8"/>
  <c r="BJ151" i="8" s="1"/>
  <c r="BI149" i="8"/>
  <c r="BQ149" i="8" s="1"/>
  <c r="BC149" i="8"/>
  <c r="BK149" i="8" s="1"/>
  <c r="BI142" i="8"/>
  <c r="BQ142" i="8" s="1"/>
  <c r="BB141" i="8"/>
  <c r="BJ141" i="8" s="1"/>
  <c r="BF140" i="8"/>
  <c r="BN140" i="8" s="1"/>
  <c r="BH138" i="8"/>
  <c r="BP138" i="8" s="1"/>
  <c r="BI137" i="8"/>
  <c r="BQ137" i="8" s="1"/>
  <c r="BE137" i="8"/>
  <c r="BM137" i="8" s="1"/>
  <c r="BM122" i="8"/>
  <c r="BG139" i="8"/>
  <c r="BO139" i="8" s="1"/>
  <c r="BP130" i="8"/>
  <c r="BB137" i="8"/>
  <c r="BJ137" i="8" s="1"/>
  <c r="BE70" i="8"/>
  <c r="BM70" i="8" s="1"/>
  <c r="BM41" i="8"/>
  <c r="BF30" i="8"/>
  <c r="BN30" i="8" s="1"/>
  <c r="BI29" i="8"/>
  <c r="BQ29" i="8" s="1"/>
  <c r="BH73" i="8"/>
  <c r="BP73" i="8" s="1"/>
  <c r="BH71" i="8"/>
  <c r="BP71" i="8" s="1"/>
  <c r="BC53" i="8"/>
  <c r="BK53" i="8" s="1"/>
  <c r="BF49" i="8"/>
  <c r="BN49" i="8" s="1"/>
  <c r="BD46" i="8"/>
  <c r="BL46" i="8" s="1"/>
  <c r="BD34" i="8"/>
  <c r="BL34" i="8" s="1"/>
  <c r="BG33" i="8"/>
  <c r="BO33" i="8" s="1"/>
  <c r="BC23" i="8"/>
  <c r="BK23" i="8" s="1"/>
  <c r="BF19" i="8"/>
  <c r="BN19" i="8" s="1"/>
  <c r="BG10" i="8"/>
  <c r="BO10" i="8" s="1"/>
  <c r="BQ60" i="8"/>
  <c r="BG37" i="8"/>
  <c r="BO37" i="8" s="1"/>
  <c r="BC6" i="8"/>
  <c r="BK6" i="8" s="1"/>
  <c r="BI10" i="6"/>
  <c r="BQ10" i="6" s="1"/>
  <c r="BM10" i="6"/>
  <c r="BU10" i="6" s="1"/>
  <c r="BG10" i="6"/>
  <c r="BI11" i="6"/>
  <c r="BQ11" i="6" s="1"/>
  <c r="BL11" i="6"/>
  <c r="BT11" i="6" s="1"/>
  <c r="BM11" i="6"/>
  <c r="BU11" i="6" s="1"/>
  <c r="BG12" i="6"/>
  <c r="BN9" i="6"/>
  <c r="BV9" i="6" s="1"/>
  <c r="BG14" i="6"/>
  <c r="BA6" i="6"/>
  <c r="BD7" i="6"/>
  <c r="BK8" i="6"/>
  <c r="BS8" i="6" s="1"/>
  <c r="BJ9" i="6"/>
  <c r="BR9" i="6" s="1"/>
  <c r="BI17" i="6"/>
  <c r="BQ17" i="6" s="1"/>
  <c r="BA11" i="6"/>
  <c r="BH7" i="6"/>
  <c r="BP7" i="6" s="1"/>
  <c r="BN15" i="6"/>
  <c r="BV15" i="6" s="1"/>
  <c r="BD11" i="6"/>
  <c r="BD6" i="6"/>
  <c r="BJ13" i="6"/>
  <c r="BR13" i="6" s="1"/>
  <c r="BN13" i="6"/>
  <c r="BV13" i="6" s="1"/>
  <c r="BF14" i="6"/>
  <c r="BA15" i="6"/>
  <c r="BM15" i="6"/>
  <c r="BU15" i="6" s="1"/>
  <c r="BA17" i="6"/>
  <c r="BB13" i="6"/>
  <c r="BL6" i="6"/>
  <c r="BT6" i="6" s="1"/>
  <c r="BI6" i="6"/>
  <c r="BQ6" i="6" s="1"/>
  <c r="BA7" i="6"/>
  <c r="BJ8" i="6"/>
  <c r="BR8" i="6" s="1"/>
  <c r="BF8" i="6"/>
  <c r="BM9" i="6"/>
  <c r="BU9" i="6" s="1"/>
  <c r="BF10" i="6"/>
  <c r="BE12" i="6"/>
  <c r="BK13" i="6"/>
  <c r="BS13" i="6" s="1"/>
  <c r="BL13" i="6"/>
  <c r="BT13" i="6" s="1"/>
  <c r="BE13" i="6"/>
  <c r="BO13" i="6"/>
  <c r="BW13" i="6" s="1"/>
  <c r="AZ14" i="6"/>
  <c r="BK14" i="6"/>
  <c r="BS14" i="6" s="1"/>
  <c r="BJ16" i="6"/>
  <c r="BR16" i="6" s="1"/>
  <c r="AZ17" i="6"/>
  <c r="BO17" i="6"/>
  <c r="BW17" i="6" s="1"/>
  <c r="BF15" i="6"/>
  <c r="BJ17" i="6"/>
  <c r="BR17" i="6" s="1"/>
  <c r="BM6" i="6"/>
  <c r="BU6" i="6" s="1"/>
  <c r="BF6" i="6"/>
  <c r="BB7" i="6"/>
  <c r="BN8" i="6"/>
  <c r="BV8" i="6" s="1"/>
  <c r="AZ9" i="6"/>
  <c r="BD9" i="6"/>
  <c r="BJ14" i="6"/>
  <c r="BR14" i="6" s="1"/>
  <c r="BO16" i="6"/>
  <c r="BW16" i="6" s="1"/>
  <c r="BN16" i="6"/>
  <c r="BV16" i="6" s="1"/>
  <c r="BL17" i="6"/>
  <c r="BT17" i="6" s="1"/>
  <c r="BE17" i="6"/>
  <c r="BE15" i="6"/>
  <c r="BJ6" i="6"/>
  <c r="BR6" i="6" s="1"/>
  <c r="BC6" i="6"/>
  <c r="BO8" i="6"/>
  <c r="BW8" i="6" s="1"/>
  <c r="BB8" i="6"/>
  <c r="BL10" i="6"/>
  <c r="BT10" i="6" s="1"/>
  <c r="BJ10" i="6"/>
  <c r="BR10" i="6" s="1"/>
  <c r="BN10" i="6"/>
  <c r="BV10" i="6" s="1"/>
  <c r="BC12" i="6"/>
  <c r="BO12" i="6"/>
  <c r="BW12" i="6" s="1"/>
  <c r="BJ12" i="6"/>
  <c r="BR12" i="6" s="1"/>
  <c r="BA13" i="6"/>
  <c r="BN14" i="6"/>
  <c r="BV14" i="6" s="1"/>
  <c r="BB15" i="6"/>
  <c r="BD15" i="6"/>
  <c r="BO15" i="6"/>
  <c r="BW15" i="6" s="1"/>
  <c r="AZ16" i="6"/>
  <c r="BK16" i="6"/>
  <c r="BS16" i="6" s="1"/>
  <c r="BB6" i="6"/>
  <c r="BE11" i="6"/>
  <c r="BD13" i="6"/>
  <c r="BB14" i="6"/>
  <c r="BH6" i="6"/>
  <c r="BP6" i="6" s="1"/>
  <c r="BK6" i="6"/>
  <c r="BS6" i="6" s="1"/>
  <c r="BG7" i="6"/>
  <c r="BE7" i="6"/>
  <c r="BH8" i="6"/>
  <c r="BP8" i="6" s="1"/>
  <c r="BA8" i="6"/>
  <c r="BC8" i="6"/>
  <c r="BM8" i="6"/>
  <c r="BU8" i="6" s="1"/>
  <c r="BK9" i="6"/>
  <c r="BS9" i="6" s="1"/>
  <c r="BH10" i="6"/>
  <c r="BP10" i="6" s="1"/>
  <c r="BE10" i="6"/>
  <c r="AZ11" i="6"/>
  <c r="BF11" i="6"/>
  <c r="BI12" i="6"/>
  <c r="BQ12" i="6" s="1"/>
  <c r="BH13" i="6"/>
  <c r="BP13" i="6" s="1"/>
  <c r="BC14" i="6"/>
  <c r="BM14" i="6"/>
  <c r="BU14" i="6" s="1"/>
  <c r="BJ15" i="6"/>
  <c r="BR15" i="6" s="1"/>
  <c r="BK15" i="6"/>
  <c r="BS15" i="6" s="1"/>
  <c r="BL15" i="6"/>
  <c r="BT15" i="6" s="1"/>
  <c r="BC16" i="6"/>
  <c r="BM16" i="6"/>
  <c r="BU16" i="6" s="1"/>
  <c r="BF16" i="6"/>
  <c r="BG17" i="6"/>
  <c r="BG16" i="6"/>
  <c r="BG8" i="6"/>
  <c r="BA10" i="6"/>
  <c r="BD17" i="6"/>
  <c r="BD10" i="6"/>
  <c r="BB16" i="6"/>
  <c r="BL9" i="6"/>
  <c r="BT9" i="6" s="1"/>
  <c r="BI7" i="6"/>
  <c r="BQ7" i="6" s="1"/>
  <c r="BM7" i="6"/>
  <c r="BU7" i="6" s="1"/>
  <c r="AZ8" i="6"/>
  <c r="BL8" i="6"/>
  <c r="BT8" i="6" s="1"/>
  <c r="BB9" i="6"/>
  <c r="BF9" i="6"/>
  <c r="BO10" i="6"/>
  <c r="BW10" i="6" s="1"/>
  <c r="AZ12" i="6"/>
  <c r="BM12" i="6"/>
  <c r="BU12" i="6" s="1"/>
  <c r="BF12" i="6"/>
  <c r="BL14" i="6"/>
  <c r="BT14" i="6" s="1"/>
  <c r="BC15" i="6"/>
  <c r="BL16" i="6"/>
  <c r="BT16" i="6" s="1"/>
  <c r="BF17" i="6"/>
  <c r="BE6" i="6"/>
  <c r="BN6" i="6"/>
  <c r="BV6" i="6" s="1"/>
  <c r="BG6" i="6"/>
  <c r="AZ7" i="6"/>
  <c r="BK7" i="6"/>
  <c r="BS7" i="6" s="1"/>
  <c r="BL7" i="6"/>
  <c r="BT7" i="6" s="1"/>
  <c r="BA9" i="6"/>
  <c r="BO9" i="6"/>
  <c r="BW9" i="6" s="1"/>
  <c r="BC10" i="6"/>
  <c r="BJ11" i="6"/>
  <c r="BR11" i="6" s="1"/>
  <c r="BC11" i="6"/>
  <c r="BO11" i="6"/>
  <c r="BW11" i="6" s="1"/>
  <c r="BL12" i="6"/>
  <c r="BT12" i="6" s="1"/>
  <c r="BB12" i="6"/>
  <c r="BC13" i="6"/>
  <c r="BM13" i="6"/>
  <c r="BU13" i="6" s="1"/>
  <c r="BG13" i="6"/>
  <c r="BI14" i="6"/>
  <c r="BQ14" i="6" s="1"/>
  <c r="BO14" i="6"/>
  <c r="BW14" i="6" s="1"/>
  <c r="AZ15" i="6"/>
  <c r="BG15" i="6"/>
  <c r="BI16" i="6"/>
  <c r="BQ16" i="6" s="1"/>
  <c r="BC17" i="6"/>
  <c r="BM17" i="6"/>
  <c r="BU17" i="6" s="1"/>
  <c r="BG9" i="6"/>
  <c r="BF7" i="6"/>
  <c r="BE16" i="6"/>
  <c r="BE14" i="6"/>
  <c r="BE8" i="6"/>
  <c r="BD16" i="6"/>
  <c r="BD14" i="6"/>
  <c r="BD12" i="6"/>
  <c r="BD8" i="6"/>
  <c r="BH11" i="6"/>
  <c r="BP11" i="6" s="1"/>
  <c r="BH9" i="6"/>
  <c r="BP9" i="6" s="1"/>
  <c r="BJ7" i="6"/>
  <c r="BR7" i="6" s="1"/>
  <c r="BI8" i="6"/>
  <c r="BQ8" i="6" s="1"/>
  <c r="BI9" i="6"/>
  <c r="BQ9" i="6" s="1"/>
  <c r="BB10" i="6"/>
  <c r="BK11" i="6"/>
  <c r="BS11" i="6" s="1"/>
  <c r="BH12" i="6"/>
  <c r="BP12" i="6" s="1"/>
  <c r="BK12" i="6"/>
  <c r="BS12" i="6" s="1"/>
  <c r="BH14" i="6"/>
  <c r="BP14" i="6" s="1"/>
  <c r="BH15" i="6"/>
  <c r="BP15" i="6" s="1"/>
  <c r="BH16" i="6"/>
  <c r="BP16" i="6" s="1"/>
  <c r="BN17" i="6"/>
  <c r="BV17" i="6" s="1"/>
  <c r="BC9" i="6"/>
  <c r="BA16" i="6"/>
  <c r="BA14" i="6"/>
  <c r="BA12" i="6"/>
  <c r="AZ6" i="6"/>
  <c r="AZ10" i="6"/>
  <c r="BC7" i="6"/>
  <c r="BO6" i="6"/>
  <c r="BW6" i="6" s="1"/>
  <c r="BK10" i="6"/>
  <c r="BS10" i="6" s="1"/>
  <c r="BN11" i="6"/>
  <c r="BV11" i="6" s="1"/>
  <c r="BN12" i="6"/>
  <c r="BV12" i="6" s="1"/>
  <c r="BI13" i="6"/>
  <c r="BQ13" i="6" s="1"/>
  <c r="BI15" i="6"/>
  <c r="BQ15" i="6" s="1"/>
  <c r="BH17" i="6"/>
  <c r="BP17" i="6" s="1"/>
  <c r="AZ13" i="6"/>
</calcChain>
</file>

<file path=xl/sharedStrings.xml><?xml version="1.0" encoding="utf-8"?>
<sst xmlns="http://schemas.openxmlformats.org/spreadsheetml/2006/main" count="3992" uniqueCount="1218">
  <si>
    <t>Name</t>
  </si>
  <si>
    <t>Sequence</t>
  </si>
  <si>
    <t>GAAD1-F</t>
  </si>
  <si>
    <r>
      <t>TGTTCGGTTCCCTCTACCAA</t>
    </r>
    <r>
      <rPr>
        <sz val="11"/>
        <color theme="1"/>
        <rFont val="Calibri"/>
        <family val="2"/>
        <scheme val="minor"/>
      </rPr>
      <t xml:space="preserve"> (SEQ ID NO:</t>
    </r>
  </si>
  <si>
    <t>GAAD1-R</t>
  </si>
  <si>
    <r>
      <t>CAACATCCATCACCTTGACTGA</t>
    </r>
    <r>
      <rPr>
        <sz val="11"/>
        <color theme="1"/>
        <rFont val="Calibri"/>
        <family val="2"/>
        <scheme val="minor"/>
      </rPr>
      <t xml:space="preserve"> (SEQ ID NO:60)</t>
    </r>
  </si>
  <si>
    <t>GAAD1-P (FAM)</t>
  </si>
  <si>
    <r>
      <t>CACAGAACCGTCGCTTCAGCAACA</t>
    </r>
    <r>
      <rPr>
        <sz val="11"/>
        <color theme="1"/>
        <rFont val="Calibri"/>
        <family val="2"/>
        <scheme val="minor"/>
      </rPr>
      <t xml:space="preserve"> (SEQ ID NO:61)</t>
    </r>
  </si>
  <si>
    <t>IVR1-F</t>
  </si>
  <si>
    <r>
      <t>TGGCGGACGACGACTTGT</t>
    </r>
    <r>
      <rPr>
        <sz val="11"/>
        <color theme="1"/>
        <rFont val="Calibri"/>
        <family val="2"/>
        <scheme val="minor"/>
      </rPr>
      <t xml:space="preserve"> (SEQ ID NO:62)</t>
    </r>
  </si>
  <si>
    <t>IVR1-R</t>
  </si>
  <si>
    <r>
      <t>AAAGTTTGGAGGCTGCCGT</t>
    </r>
    <r>
      <rPr>
        <sz val="11"/>
        <color theme="1"/>
        <rFont val="Calibri"/>
        <family val="2"/>
        <scheme val="minor"/>
      </rPr>
      <t xml:space="preserve"> (SEQ ID NO:63)</t>
    </r>
  </si>
  <si>
    <t>IVR1-P (HEX)</t>
  </si>
  <si>
    <r>
      <t>CGAGCAGACCGCCGTGTACTTCTACC</t>
    </r>
    <r>
      <rPr>
        <sz val="11"/>
        <color theme="1"/>
        <rFont val="Calibri"/>
        <family val="2"/>
        <scheme val="minor"/>
      </rPr>
      <t xml:space="preserve"> (SEQ ID NO:64)</t>
    </r>
  </si>
  <si>
    <t>SPC1A</t>
  </si>
  <si>
    <r>
      <t>CTTAGCTGGATAACGCCAC</t>
    </r>
    <r>
      <rPr>
        <sz val="11"/>
        <color theme="1"/>
        <rFont val="Calibri"/>
        <family val="2"/>
        <scheme val="minor"/>
      </rPr>
      <t xml:space="preserve"> (SEQ ID NO:65)</t>
    </r>
  </si>
  <si>
    <t>SPC1S</t>
  </si>
  <si>
    <r>
      <t>GACCGTAAGGCTTGATGAA</t>
    </r>
    <r>
      <rPr>
        <sz val="11"/>
        <color theme="1"/>
        <rFont val="Calibri"/>
        <family val="2"/>
        <scheme val="minor"/>
      </rPr>
      <t xml:space="preserve"> (SEQ ID NO:66)</t>
    </r>
  </si>
  <si>
    <t>TQSPEC (CY5*)</t>
  </si>
  <si>
    <r>
      <t>CGAGATTCTCCGCGCTGTAGA</t>
    </r>
    <r>
      <rPr>
        <sz val="11"/>
        <color theme="1"/>
        <rFont val="Calibri"/>
        <family val="2"/>
        <scheme val="minor"/>
      </rPr>
      <t xml:space="preserve"> (SEQ ID NO:67)</t>
    </r>
  </si>
  <si>
    <t>Gene Name</t>
  </si>
  <si>
    <t>NCBI ID</t>
  </si>
  <si>
    <t>beetle base
ID</t>
  </si>
  <si>
    <t>dsRNA 
sequence</t>
  </si>
  <si>
    <t>Level</t>
  </si>
  <si>
    <t>Contig</t>
  </si>
  <si>
    <t xml:space="preserve"> *Abs(Dif)-LSD of 
% mort</t>
  </si>
  <si>
    <t>Description</t>
  </si>
  <si>
    <t>Arp1</t>
  </si>
  <si>
    <t>XM_964734.2</t>
  </si>
  <si>
    <t>TC030579</t>
  </si>
  <si>
    <t>CGACACCGAACACATCAACTACACGCTGCCCGACGGCAACGTCATCCAAATCGGGCCGGCGCGCTTCCGCGCCCCCGAAGTCCTCTTCAGGCCGGACCTCATCGGCGAGGAGTGCGAAGGCCTGCACGAGGTGCTGGTGTACGCCATTCAGAAGTCGGACCTGGACTTGCGCAAGGTCCTCTTCAAGAATATTGTGCTGTCAGGCGGTTCCACGTTGTTTAAAGGGTTTGGTGATCGGTTGTTGTCCGAAATAAAGAAATTGTCGCCGAAAGACGTGCAGATTAAAATTTCCGCACCGCAGGAACGGCTGTATTCGACGTGGATCGGGGGGTCCATTCTGGCGTCGTTAGATACGTTCAAGAAGATGGTTGTGTCGAAAAGAGAGTTCGATGAGGAGGGGCAGAGGGCGGTACATAGGAAA</t>
  </si>
  <si>
    <t xml:space="preserve"> 100 ± 0</t>
  </si>
  <si>
    <t>Arp1-1-406</t>
  </si>
  <si>
    <t>Arp1-1</t>
  </si>
  <si>
    <t>lcl_female_beetles_ovary_15days_comp3747_c0_seq1</t>
  </si>
  <si>
    <t>0.74 ± 0.04</t>
  </si>
  <si>
    <t>12.66</t>
  </si>
  <si>
    <t>&lt;.0001</t>
  </si>
  <si>
    <t>0.43</t>
  </si>
  <si>
    <t xml:space="preserve">dsRNA for feeding bioassay </t>
  </si>
  <si>
    <t>l(3)72Ab</t>
  </si>
  <si>
    <t>XM_965461.1</t>
  </si>
  <si>
    <t xml:space="preserve">TC031972 </t>
  </si>
  <si>
    <t>TAACGACCCACACGTCAAAACAAATCTTCTCATTCAAGCACATTTGTGTCGACTTCAGCTTGGTGCTGAGCTTCAAGGCGATACAGAAATTGTACTAAGCAAAGCAATTCGACTTATTCAAGCTTGTGTTGATGTACTTAGTTCAAATGGATGGCTTTCGCCAGCTGTGGCCGCTATGGAATTGGCTCAAATGGTGACACAAGCAATGTGGAGTAAAGATTCGTATTTGAAGCAATTGCCTCACTTTACGACAGAAATTATTAAGAGGTGTACGGATAAAGGAGTCGAAACCGTGTTTGATATAATGGAATTGGAAGATGAAGACAGGTCAAAGCTGTTGCAGTTGAGCGATAGTCAAATGGCTGATGTTGCCAGATTTTGTAATCGGTATCCAAATATTGAATTAAGTTACGAAGTTTTGGATAAAGATAAGATACATTCCGGGTCTTCAGTGCATGTAGCTGTGCAACTTGAGAGGGAGGATGAAGTGAATGGGCCTGT</t>
  </si>
  <si>
    <t xml:space="preserve"> 97.22 ± 0</t>
  </si>
  <si>
    <t>Brr2-1-401</t>
  </si>
  <si>
    <t>Brr2-1</t>
  </si>
  <si>
    <t>lcl_pupae_stage2_comp447_c0_seq1</t>
  </si>
  <si>
    <t>21.05</t>
  </si>
  <si>
    <t>0.32</t>
  </si>
  <si>
    <t>cas</t>
  </si>
  <si>
    <t>XM_962930.1</t>
  </si>
  <si>
    <t>TC015935</t>
  </si>
  <si>
    <t>CAAGACCAAATCCTCCCTGAGCTTAAAAGAACCGACGTCGACGAATTACCGGTCCTTAAGGCCGATGCAATCAAATATTTGCTAACTTTTCGCTCTGTCTTACCCAGTGAAATGGTCGTTGCAACCATTCCTTTGCTAATTCAACACTTGACGAGCGAAAGTGCAGTCATTCACACTTATGCTGCTTGTACTATTGAAAAAATCCTAATCATGAAAGACGGCAACAATCAGAATATTTTAAACGGGGCCTCTTTGGAGCCCTTAGCCAGTCAGCTGCTGGTTAATCTTTTCGCGATTTTGGACAAACCGGTGTCGGAGGAGAACGAATACGTTATGAAAACCGTAATGAGGACTTTTTCCACGTTGCAAGACCGAGTCATTCCGTATTTGCAATCAGCTTTGCCCAAACTCACCGAGAAGCTGCAAATGGTTGCGAAAAATCCATCCAAGCCTCATTTTAATCATTATTTATTTGAAACCATTTCCCTGGCGATTAAGATTGTGTGTAAAACGAACGCGTCAGCGGTTACGTCGTTTGAGGATATTTTGTTTCCGATTTTTCAAGGCA</t>
  </si>
  <si>
    <t xml:space="preserve"> 88.89 ± 0.8</t>
  </si>
  <si>
    <t>Cas-1-511</t>
  </si>
  <si>
    <t>Cas-1</t>
  </si>
  <si>
    <t>lcl_eggs_08_10_comp3365_c0_seq1</t>
  </si>
  <si>
    <t>27.06 ± 3.36</t>
  </si>
  <si>
    <t>0.68 ± 0.07</t>
  </si>
  <si>
    <t>-3.81</t>
  </si>
  <si>
    <t>0.3616</t>
  </si>
  <si>
    <t>0.31</t>
  </si>
  <si>
    <t>Cchl</t>
  </si>
  <si>
    <t>XM_961483.2</t>
  </si>
  <si>
    <t>TC011725</t>
  </si>
  <si>
    <t>TGCCAAAAAGCACGAGTTTCACAAAACCTTCACACACGGGGAAATACCGCCGGAGTGTCCCATGCACCGGCCCAAGGGGGCGTCGGAGTGTCCCGTCAACCATGGCGAGATCAACCCACTTAACATGATGGGGCCAGCCAACCAGAACCCATCGCCGGGACAACCCTTCCCGCTGCCCACCGAAAGACAAGTCTCCAACATTCCGAAAGCCATCGTCCAGGAGGGGGAGGCCCCCTTCTGGGTGTACCCCAGCCAACAAATGTTTTGGAACGCAATGTTGCGTAAAGGGTGGCGTTGGAAGGACGGGGACGTTACGCAAAAGGACATGGACGATATTATCAAAATCCACAACGCGAATAACGAGCAGGCGTGGCTTGAAGTCCTAAAATGGGAGGCGCTACATGCCAAAGAGTGTGGTAACCCAAAATTGAAAAGTTTTGGCGGGAAAGCAACCACTTACAGCCCTAGAGCTCGAATTCGATGGTTGCTAGGTTACGAATTGCCATTTGATCGCCATGATTGGATTGTTGACAGGTGTGGC</t>
  </si>
  <si>
    <t>CchI-1-370</t>
  </si>
  <si>
    <t>CchI-1</t>
  </si>
  <si>
    <t>contig19875</t>
  </si>
  <si>
    <t xml:space="preserve"> 9.22 ± 1.47</t>
  </si>
  <si>
    <t>0.77 ± 0.01</t>
  </si>
  <si>
    <t>-18.46</t>
  </si>
  <si>
    <t>0.4</t>
  </si>
  <si>
    <t>Cdc27</t>
  </si>
  <si>
    <t>XM_964716.1</t>
  </si>
  <si>
    <t>TC006902</t>
  </si>
  <si>
    <t xml:space="preserve">CGAACCTCCTATCCCAACCAAAACTGACCGAATCCAACAACCACCACCAATCGCTAGCAAAGCGCGTGAAAGCGCAAGTCGATCAATTCATCAATCGCAAAGAACCGATCCTCCAAAACTGCAAACCCCTATTCAGCCAATCGACAAACGTCACCAAAACCCCAACAATCTCCCTTGCCGTACAGCCATGTCAAAACGTCAGACGCAGCTCACGCCTCTTCACCAACAGCTACTCAGTCAAAGAAAACAACAAATCGCCCAATCGAACCAAATTCGCCACACCCAAGTCGCCCTCGCGGAAAACCAAACAACGAATGGCGAAATGCAATTTAAACAAAACCACAGCCTACACCGAACTCAACACACGCAACCGCATCGAGAAGGAAAAAACCGAAACGGTGACTTCGACCGACGCAAAAATCGAGAAAAGTGCAATAAGTAATAGTAGTAGTGTCGAGAGTTGCGTCCAGCAGGCGATTCTAATGCAGAAGCAAAGTGCCGAAGGGCTGATGGTCCTCTTG </t>
  </si>
  <si>
    <t>Cdc27-1-509</t>
  </si>
  <si>
    <t>CchI-3</t>
  </si>
  <si>
    <t>eggs_08_12_comp99986_c0_seq1</t>
  </si>
  <si>
    <t>0.67 ± 0.05</t>
  </si>
  <si>
    <t>0.41</t>
  </si>
  <si>
    <t xml:space="preserve"> </t>
  </si>
  <si>
    <t>Cdc6</t>
  </si>
  <si>
    <t>XM_001813172.1</t>
  </si>
  <si>
    <t>TC013003</t>
  </si>
  <si>
    <t xml:space="preserve">AGACGAAGAACCCGAAAACCAATCATAATATCAGATAGTGAAGAAGAAAATGTGCCTGAGACCGAGAAATCGCCGTTCAAAAAGCCCCCAAACACCCCCTACAAAACCAAATCCAGAACTCCCCCCGAAGATCGGACTGTGACGCCCCCCAAACAACGCAAAATGAGTGAAAATAATGAGAATCTACAAACTCCCCCATCCACACCCACAATTTTGCTCGAAAGACTGTCGCTGCTGAGTCCCAACGAAAAATCAAACCGGAAAAAGTTATTTCAAGAAGACGATTTGTATCAGAATGCCAGGAGAGCTTTACACAGTTCATGTCCCACGAATTTGCCAGGTCGTGAAAAGGAGTTGGGGGATTTGAAACAGTTTATTTTGCAACATTTGGACGAAGGAACTTCCGGTACTTTGTATATAAGTGGGCCCCCAGGAACGGGCAAGACCGCTTCGTTGAACTTGGTTTTGGAGGATCCTCAAATCTCATCAGGGATTGAACACGTTTATGTTAATTGTACGTCGATCAAGTCCTCAGGGTCGATTTTTTCGAGGATTGCCAAGGATTTAGGG </t>
  </si>
  <si>
    <t>Cdc6-1-416</t>
  </si>
  <si>
    <t>Cdc6-1</t>
  </si>
  <si>
    <t>female_beetles_ovary_15days_comp29606_c0_seq1</t>
  </si>
  <si>
    <t>12.32 ± 3.72</t>
  </si>
  <si>
    <t>0.66 ± 0</t>
  </si>
  <si>
    <t>dsRNA for feeding bioassay from two different transcripts</t>
  </si>
  <si>
    <t>Cdc6-2-444</t>
  </si>
  <si>
    <t>Cdc6-2</t>
  </si>
  <si>
    <t>pupae_stage1_comp12702_c0_seq4</t>
  </si>
  <si>
    <t>29.41 ± 3.39</t>
  </si>
  <si>
    <t>0.78 ± 0</t>
  </si>
  <si>
    <t>0.46</t>
  </si>
  <si>
    <t>CG12104</t>
  </si>
  <si>
    <t>XM_969426.1</t>
  </si>
  <si>
    <t>TC012723</t>
  </si>
  <si>
    <t xml:space="preserve">GCGGCCAAGAAAGAATACCTGAAAGCGCTCGCCGCCTACCGG
GCCAGTTTAGTGTCGAAAGGCGCCGGCGAGGGCGACGGCATGTACGGCAACTACGGCAGTTACAACGCCG
GCGCCCCCCAATACGGGGGCTACACCCCGCAAGGCGCCATCCCGTCGCCCCCCATGTCCTCAGCGGCGAC
GCCGCCCACCCAGCAGCCCCCCATCGGCAAGAAGCCGGCCATGATGTCGCAACAGCAACAGCAACAACAG
CACCAAAACATGATGCAGTCGCCAATGGGCCAAGTGCACATGCAGCACATGCAGCAACAGCACAACAGCT
ACATGCAACAGGTTCCTCAACAGCAGCACATGCCCGTGTCGCCGCAGCAGCCGCACATGCAGCAGCACGT
CAGTCCGCCCCCGATGGTCTCGAGTTCGCCGCCCGTCTCGGCGGCGGCGCCGCCCCCGGCCACCGCCGCC
CAGCAGGCCCAAGGACAGATGAGACCCCCCAACTCGTGTATACGGCACGGCTGCCCCAACCCGGCCATCA
ACAACGCCGAGTGGGAGGACGAGTACTGCAGTAATGAGTGCGTCGTGAGCC
</t>
  </si>
  <si>
    <t xml:space="preserve"> 63.89 ± 2.12</t>
  </si>
  <si>
    <t>CG12104-1-356</t>
  </si>
  <si>
    <t>CG12104-1</t>
  </si>
  <si>
    <t>lcl_eggs_08_12_comp1067_c0_seq1</t>
  </si>
  <si>
    <t>29.41 ± 11.00</t>
  </si>
  <si>
    <t>0.48 ± 0.07</t>
  </si>
  <si>
    <t>CG12104-2-312</t>
  </si>
  <si>
    <t>CG12104-2</t>
  </si>
  <si>
    <t>lcl_eggs_08_05_comp21784_c0_seq1</t>
  </si>
  <si>
    <t>26.47 ± 13.04</t>
  </si>
  <si>
    <t>0.41 ± 0.14</t>
  </si>
  <si>
    <t>0.1</t>
  </si>
  <si>
    <t>CG1703</t>
  </si>
  <si>
    <t>XM_966469.1</t>
  </si>
  <si>
    <t>TC004420</t>
  </si>
  <si>
    <t>TTTGACGCGAAAACAGGAGAAGAACAGAACGAAAATGCAGAAACAAGAGGACGAAACAGCCCCAACTGAACTTCTACAAAAACCGAAAGAATATTTCGTCAAATTTTCATTTCCGGAACCTCCGCCTCTACAACCCCCAATTTTGGGGCTTCATAACGTAACTTTTGCATATTCGGGCCAAAAACCCCTCTTCCGAAACACCGACTTCGGTATCGATATGAGCAGCAGAGTGGCAATAGTTGGTCCGAACGGAGTCGGAAAATCCACATTTTTGAAATTATTAACCGGTGATTTGGACCCGCAACAAGGGGAAGTCCGGAAAAATCATCGTTTGAGGATTGGTCGTTTTGATCAACATTCAGGTGAGCATTTAACGGCCGAAGAAACACCCGCTGAATATCTGATGCGATTGTTTGATCTGCCGTACGAAAAATCCCGAAAGCAATTGGGGACTTTTGGTCTAGCGAGTCATGCTCACACTATCAAAATGAAGGACTTGTCCGGGGGACAGAAAGCACGAGTGGCTTTAGCCGAATTGTGTCTTAACGCACCGGATGTTCTCATTTTGGATGAACCGACGAA</t>
  </si>
  <si>
    <t xml:space="preserve"> 77.78 ± 1.6</t>
  </si>
  <si>
    <t>CG1703-1-403</t>
  </si>
  <si>
    <t>CG1703-1</t>
  </si>
  <si>
    <t>lcl_female_beetles_ovary_15days_comp787_c0_seq1</t>
  </si>
  <si>
    <t xml:space="preserve"> 7.63 ± 2.90</t>
  </si>
  <si>
    <t>0.61 ± 0.06</t>
  </si>
  <si>
    <t>CG2063-PA</t>
  </si>
  <si>
    <t>XM_961444.1</t>
  </si>
  <si>
    <t>TC003747</t>
  </si>
  <si>
    <t xml:space="preserve">GCCTGAAGAGACCGAAACGAATGAAGATGGCGTACAAATACCCCCTGAGCCCCCAGGCCACTGCTCGGCCGATTTACAAGAAAAAATCGCAAAGTTGTACGAAAAAATGCAACACCAACAATTGGACATGAATGCACTGATTCAGAAACGCAAAGATTTCCGAAATCCGAGTATTTATGAGAAGTTGATCCAGTTTTGTGCGATAAATGAATTAGGCACAAATTACCCTCCAACGATTTACGACCCGTTAAAGTGGGATAAGGAATCCTATTATGAAGAACTAGCCAAAGTTCAAAAAGTTGAAATGGACAAGCGGGAG </t>
  </si>
  <si>
    <t xml:space="preserve"> 97.44 ± 0.76</t>
  </si>
  <si>
    <t>iB-00606-953-649</t>
  </si>
  <si>
    <t>comp324709_c0_seq1</t>
  </si>
  <si>
    <t>22.16 ± 4.51</t>
  </si>
  <si>
    <t>0.47 ± 0.13</t>
  </si>
  <si>
    <t>0.04</t>
  </si>
  <si>
    <t>CCACTTAGAAGTTCTACTACTTTGCCTTTTCTTTCCTTATCACGTTTGTCCATTTCAGCTTTTTGTACTTTTGCTAATTCTTCGTAGTAGGATTCTTTGTTCCATTTAAGGGGGTCATATATTGAAGGGGGATAGTTTGTACCTAATTCATTTAGATCACAGAATTGTATTAGTTTCTCATAAATACTAGGATTCCTAAATTCTTTCTTTTTTTGAATATGGGCATTCATATCCATTTGTTGAGTTTGCATTGTCTCAAACAATTTAGTTATTTTGTCCTGCAACTCAGCGGAACAACGGCCAGGAGGTTCAGGAGGAATCATGCTATCTGCTTCCTTAGAACTACTACTTTCTCGCGTGTTATCAGTCATTATAATAACTTCGTGTGGTATATCTTCAACATCACCTTCTTCATCAGAAACAATTGTATCATCTTGATAAGACACCAACTTAGCGACTTTTGATGTTATTTTTATAGGGGCAGGACTGATAGGCTGTGGTGAAGAATTACTAGATCGGTAGCCTTCTGGTGTGTTTGGTGAGGCCATTGTGACTTCTCTTTCAGTGGAATTTTCTTGGTCATCATGATCTTCTTCACCTTCTGAATCTGTATATGTAGCGGTTAAAGAAGCTAGTGCCGTCATGTTGT</t>
  </si>
  <si>
    <t>CG2909</t>
  </si>
  <si>
    <t>XM_965359.1</t>
  </si>
  <si>
    <t>TC014931</t>
  </si>
  <si>
    <t xml:space="preserve">GGTGACCACAAAACCCTCCTCCTTTCGGAAAACAACAACACAGAACCCGTCCCTGATGTCAGTTTGAGCCAAATAATTGAGAAAAGTTCACAATTCCCTATTGAGTTCCCTTTGGAATCAGTACGTTGTTGTCAACTTCAAAATCACACCGCCGTAAAAACCCTAGAAAAGAACATAAATTCGGCGTATCCGGTGATTCACGAACATGCGCTGTATTTATGCGCAGTTTTCCTGCTGCATCAAGGGAAGTACGGGGAAAAGAAGGAGTTTTACAAAGAGATGTCGCTGTTGCAGTTTATTGATAGGTTGTTGAATAAACGGGCGGTTGTGTTCATGGGGCCTGTGGACCATTATTTACTTTTGAACAAAACAAGTGGTTCAGGCCGGTGGGAAACAATTGGGACAAGTAGCGAAACGCCGCCTCTGGTTTTGGAAAACTGTCTCAGTTACGATGAAATAAAATTATCGGCGTTATTGTCAGTCTCGTCGTTTAGTTACTTTATCAATAATGGGGACCGCAATAATATGGGCTATTTTGAGGAAAATCGGAGCAGAGTTGAAGAGAATGGGGTGATAATTGGGGTG </t>
  </si>
  <si>
    <t>CG2909-1-440</t>
  </si>
  <si>
    <t>CG2909-1</t>
  </si>
  <si>
    <t>eggs_08_08_comp14214_c1_seq1</t>
  </si>
  <si>
    <t>15.10 ± 4.87</t>
  </si>
  <si>
    <t>0.27 ± 0.11</t>
  </si>
  <si>
    <t>CG34184</t>
  </si>
  <si>
    <t>XM_015981502.1</t>
  </si>
  <si>
    <t>TC004760</t>
  </si>
  <si>
    <t>CGATCCGATTTCCGTATGGTCCGATCCAAGGGCCTTTCATGGGGATATTTCTAGCCCTGTCTCTCCCTTTGGAACTGCCGGATTACAACGTGTTTTTCTCTTATAATTTGGAAGCCAATTACGAGCTGCCCCAAAACGAGACAGACTTCACCTACCCTCCTTTGGTCTCGAGATCATGGGGGCGCAAATATTTCTACGATATCTTGGAGTTCAAAATGAAATCACATGGGTATCCCGGGAAAAACTGCTTATTACGGGCCATATGCGAAACGTCGCTTTACAGTTCGGAAAATACCGGTATTTTGGGCGATATGCTGCACGTATTGTTGACTCCGTCAAGTTCGACGGATAACGTTCTTTCCGATTATGGCAAAGCGGAACTGTATGGAAAGAGCCGAAAAAATTGCCGAAAATACACCAAGAAGTGCTCAATTAGTTTTTTAGATTTAGTTAGCCAGGTCGGACATTAC</t>
  </si>
  <si>
    <t>CG34184-1-270</t>
  </si>
  <si>
    <t>CG34184-1</t>
  </si>
  <si>
    <t>MoltingStage_1st_2nd_instar_comp19936_c0_seq1</t>
  </si>
  <si>
    <t>18.20 ± 0.21</t>
  </si>
  <si>
    <t>0.43 ± 0.06</t>
  </si>
  <si>
    <t>CG34184-2-447</t>
  </si>
  <si>
    <t>CG34184-2</t>
  </si>
  <si>
    <t>eggs_08_15_comp34854_c0_seq1</t>
  </si>
  <si>
    <t>0.97 ± 0.02</t>
  </si>
  <si>
    <t>CG34184-2_v1</t>
  </si>
  <si>
    <t>2.94±2.94</t>
  </si>
  <si>
    <t>-0.02±0.07</t>
  </si>
  <si>
    <t>TTCCAATATCCAGGGGGCTCAGATCCTTTTATGGGGATTTTAGTAACGGTGGCAGTTCCTGTTGAAGCCGGAACTCCTGGAGAAGTTTTACTGTCAACCCTTTTGGAAGCCAACTATGTGATTCCAAGTAACCAAACTCGGTTTACCTGGCCACCCGATTACCCTGCAACTACTTCAGAAAGGATGTTTTTATACAAT</t>
  </si>
  <si>
    <t>dsRNA for plant expression</t>
  </si>
  <si>
    <t>CG34184-2_v2</t>
  </si>
  <si>
    <t>8.82±2.94</t>
  </si>
  <si>
    <t>0.52±0.05</t>
  </si>
  <si>
    <t>GTCTCCTTGGGGATATTCTTCATATCCTATTAACACCATCTAGTTCCAAAATGGAGGAGCAGCTTGTTGAATACGAAGAAGCTGAACGCCAAGGAAAAGAAAACACATGTGAAAAATACTATAAGAAATGCCCCCATAGCATATTAGACTCC</t>
  </si>
  <si>
    <t>CG6843</t>
  </si>
  <si>
    <t>XM_966328.2</t>
  </si>
  <si>
    <t>TC012381</t>
  </si>
  <si>
    <t xml:space="preserve">CGACGAGAGCAGTGAAGACGAAAAGCCAAGAAACAAATCATCGAAGAAACGACACGATAGCGAAGATAGTGATGATTACAGGAAACACAAGAAGAAGGAGAAAAAAAGAGACTGTTCTGATGATGATGCACAAAGGAGAAAAAAATCCGACAGGAGCCACCAAAAAAATAAAACTTCAAAAGATTCCCACTCACATAGAAACAGGAGTAGAAGTCCCGATATTAAAAAATCTAATACTAAGAGAAGAAGTAGCAGTAGCGAGTCTGAAAGTGAAGAAGACGTAAGAAACAGACACTCCAAGAAATACGACAGTGACGATTCCGGTTCTTCCAAGCACAAAAAGCGCAATTACGGTCTTGTAAGTTCAGATGGTAAAAAAATTCCGTTATCAAGAAAACACGATGATGTAAAAATATCTAAGCCAAAAGTACCTGAACCTCCTCCCCCAGTCCAAAGAC </t>
  </si>
  <si>
    <t>CG6843-1-442</t>
  </si>
  <si>
    <t>CG6843-1</t>
  </si>
  <si>
    <t>eggs_08_05_comp4231_c0_seq1</t>
  </si>
  <si>
    <t>0.82 ± 0.03</t>
  </si>
  <si>
    <t>Chc</t>
  </si>
  <si>
    <t>XM_962736.1</t>
  </si>
  <si>
    <t>TC015014</t>
  </si>
  <si>
    <t xml:space="preserve">CTTTTCAAATCCGAGGCGAGATATTTAGTCAGACG
GCGGGACCCGGAATTATGGGCCGAAGTCTTGCAGGAAAGTAACCCGTACAGGAGACAATTGATCGATCAA
GTGGTCCAGACAGCGCTGAGCGAAACGCAAGACCCGGAGGACATCTCCGTGACTGTCAAAGCCTTCATGA
CTGCTGACCTTCCAAATGAATTGATCGAGTTGCTTGAGAAAATCGTCCTGGACAGTTCGGTTTTCTCCGA
TCACCGAAACTTGCAAAACCTCCTGATCCTAACGGCGATCAAAGCCGATGCCACCCGAGTCATGGACTAC
ATCAACCGTCTAGATAATTACGACGCTCCTGATATCGCAAATATCGCAATAAATAACCATTTATACGAGG
AGGCGTTTGCAATTTTCAAGAAATTCGACGTTAACACTTCAGCCATTCAGGTTCTGATCGAGCAGGTGAA
CAATTTGGATCGTGCGTATGAGTTTGCGGAGCGTTGTAA
</t>
  </si>
  <si>
    <t xml:space="preserve"> 69.44 ± 2.12</t>
  </si>
  <si>
    <t>Chc-1-419</t>
  </si>
  <si>
    <t>Chc-1</t>
  </si>
  <si>
    <t>lcl_eggs_08_15_comp3258_c0_seq2</t>
  </si>
  <si>
    <t>30.88 ± 14.48</t>
  </si>
  <si>
    <t>0.61 ± 0.13</t>
  </si>
  <si>
    <t>0.29</t>
  </si>
  <si>
    <t>DCTN1-p150</t>
  </si>
  <si>
    <t>XM_967301.2</t>
  </si>
  <si>
    <t>TC012455</t>
  </si>
  <si>
    <t xml:space="preserve">TAATTGCCCCCATATCGTCGTTGGGACACCGGGACGCATCCTCGCCTTGGTCCGGTCCAAGAAACTCAATCTCAAGCATCTCAAACATTTCATTCTTGACGAGTGCGACAAGATGCTGGAGTTATTAGATATGAGGAGGGACGTGCAAGAAATTTACCGTAACACGCCGCACGGCAAGCAAGTAATGATGTTCAGCGCCACCCTAAGTAAAGAAATTCGCCCCGTCTGCAAGAAGTTTATGCAAGATCCGATGGAAGTTTATGTGGACGATGAAGCGAAATTAACTCTGCACGGACTTCAGCAACATTACGTTAAACTAAAGGAAAATGAGAAAAACAAAAAATTGTTTGAGCTGCTTGATGTTTTGGAATTTAACCAGGTTGTTATTTTCGTCAAATCAGTCCAACGATGTATTGCTTTGGCGCAACTATTGAC </t>
  </si>
  <si>
    <t xml:space="preserve"> 86.11 ± 0.8</t>
  </si>
  <si>
    <t xml:space="preserve">GI-1-403 </t>
  </si>
  <si>
    <t>GI-1</t>
  </si>
  <si>
    <t>lcl_08_10_comp4425_c0_seq5</t>
  </si>
  <si>
    <t>29.69 ± 5.17</t>
  </si>
  <si>
    <t>0.75 ± 0.05</t>
  </si>
  <si>
    <t>0.44</t>
  </si>
  <si>
    <t xml:space="preserve">GI-2-405 </t>
  </si>
  <si>
    <t>GI-2</t>
  </si>
  <si>
    <t>lcl_08_15_comp19440_c0_seq5</t>
  </si>
  <si>
    <t xml:space="preserve"> 2.94 ± 2.94</t>
  </si>
  <si>
    <t>0.36 ± 0.08</t>
  </si>
  <si>
    <t>0.0009</t>
  </si>
  <si>
    <t>dre4</t>
  </si>
  <si>
    <t>XM_967384.1</t>
  </si>
  <si>
    <t>TC014294</t>
  </si>
  <si>
    <t>GCGTCGATGTTTCTCAGGTTGATATGTGCTATCCTGCCATAATCCAGTCAGGGGGCAACTACAGCCTAAAATTCAGTGTAGTGAGTGACAAGAACACTCTACACTTTGGGGCCATCATATGCTCGCTGGGCGCCCGGTACAAGTCCTACTGTTCAAACATTGTCCGCACGTTGCTTGTGAACCCAAACGAACAAGTACAAAACAATTATAATTTCCTCGTTACCCTTGAAGAAGAGGTTTTGAAAAAATTGCAAGCCGGGACAAAGCTTTCAGAGGTATACGAAGCCGGTTACAACTTTGTTAAGAAAGAAAAGCCTGAACTGGCGGATAATCTGACCAAAAATTTCGGTTTCGCAACGGGGATTGAATTCAAAGAGAGCTCGCTTATGATCGGCCCAAAAACAACTCTCCCGGCGAAAAAGGGAATGGTCTTCAACGTCAACATGGGTTTTAGCAACCTGGAGAACAAAGATGCGACCGATAAAGAGGGCAAAACGTACGCGCTGTTTATTGGCGACACTGTGATGGTGAATGAAGGCCAA</t>
  </si>
  <si>
    <t>dre4-1-459</t>
  </si>
  <si>
    <t>dre4-1</t>
  </si>
  <si>
    <t>female_beetles_ovary_15days_comp2249_c0_seq1</t>
  </si>
  <si>
    <t>0.89 ± 0.07</t>
  </si>
  <si>
    <t>TTTTAGTTCTTTTACCTCGGGAACTCTAGGCATTTGATTGACACTTTTGTATGACACAGTATTTTTTCTCACTTTCTCTTTATCTTTAGATCCAGATTGTTTTGCCAAACGCTCTTTTGCTTTTTCA</t>
  </si>
  <si>
    <t>dre4-1_v1</t>
  </si>
  <si>
    <t>91.12 ± 1.99</t>
  </si>
  <si>
    <t>0.98 ± 0.01</t>
  </si>
  <si>
    <t>dsRNA from same transcript as dre4-1-459 designed for plant expression</t>
  </si>
  <si>
    <t>dre4-1_v2</t>
  </si>
  <si>
    <t>90.77 ± 2.63</t>
  </si>
  <si>
    <t>0.89 ± 0.05</t>
  </si>
  <si>
    <t>TAACAGTTTCATACTTCTGGTCCACATATAATTTTAGTTCTTTTACCTCGGGAACTCTAGGCATTTGATTGACACTTTTGTATGACACAGTATTTTTTCTCACTTTCTCTTTATCTTTAGATCCAGATTGTTTTGCCAAACGCTCTTTTGCTTTTTCATTTAGTTGAGCTGCCAA</t>
  </si>
  <si>
    <t>dUTPase</t>
  </si>
  <si>
    <t>XM_968608.1</t>
  </si>
  <si>
    <t>TC008662</t>
  </si>
  <si>
    <t xml:space="preserve">TCGTGCTTTCGTCCACTCAACAACCCCTCAAGAATCCGAAGAAAAGAAAATGCCTACATCTAGTCTTGTCTTGAAATACACCAAAGTGGTCCCCGAGGCCTACCCTCCGACCAAAGGTTCAGTTAAAGCCGCCGGTTATGATCTGAAGAGTGCTTTCGACTGCGTGGTCCCAGCCCGAGGTAAGGCCCTCGTGGACACCGGCATCAAAATCCAGCTCCCGGAAGGGTGCTACGGACGGATCGCCCCTAGGTCGGGTCTAGCAGTCAAGAATTTCATCGATGTTGGCGCCGGGGTCGTGGATGAGGACTACAGGGGGGTCCTCAAGGTGGTCCTATTCAACCATTCAGATACTGCCTTTGAAGTCAAGAGTGGCGACCGCATTGCACAGCTAATTTGTGAGCGGATCTATTACCCCGA </t>
  </si>
  <si>
    <t>dUTPase-1-426</t>
  </si>
  <si>
    <t>dUTPase-1</t>
  </si>
  <si>
    <t>adult_male_d15_noOvaries_comp4143_c0_seq1</t>
  </si>
  <si>
    <t>0.79 ± 0.06</t>
  </si>
  <si>
    <t>dUTPase-2-286</t>
  </si>
  <si>
    <t>dUTPase-2</t>
  </si>
  <si>
    <t>eggs_08_05_comp7117_c0_seq1</t>
  </si>
  <si>
    <t>16.04 ± 1.56</t>
  </si>
  <si>
    <t>-0.33 ± 0.29</t>
  </si>
  <si>
    <t>0.02</t>
  </si>
  <si>
    <t>fkh</t>
  </si>
  <si>
    <t>NM_001039414.2</t>
  </si>
  <si>
    <t>TC013245</t>
  </si>
  <si>
    <t xml:space="preserve">CCTTCAACGACTGCTTCGTCAAAGTCCCCCGGACCCCGGACAAGCCCGGGAAGGGCTCCTTCTGGAGCCTGCACCCGGACTCGGGCAACATGTTCGAGAACGGCTGCTACCTCCGGCGGCAAAAGCGCTTCAAAGACGAGAAAAAGGAGCTAATTAGGCAGACCCACAAGAGCCCCTCGCATTCGGTGGACAACAGCAACAGCTCCGAGAAGAAGTCGTCGATACAACACGGCGACGACGCCCATAAAACCCACCACTTGGACAAGAACCCCGAGAACACGCTGGGCACTATGCTGAGCATCCACCCGTCGAAGCTCGACGTCGAGCAAATGAATCTTCTGCACTCGAATGATCTGAACATGCACCAGCAGCACCACCAGCAGAACATGTCGCATGAGGAGCTCTCGGCGATGGTGAATCGGTGTCACCCGCTGAGCCTGTCCAGCGACCACCAGGCCATGCTGCACCACAACCCCATGAGCCACCACTTGAAGCAAGAACCGTCAGGTTTCACTTCCTCGAATCATCCCTTTTCCATAAACAGGCTGCTGCCCACCGCCGAAAGCAAGGCCGACATCAAAAT </t>
  </si>
  <si>
    <t>fkh-1-446</t>
  </si>
  <si>
    <t>fsh-1</t>
  </si>
  <si>
    <t>eggs_08_10_comp3971_c0_seq2</t>
  </si>
  <si>
    <t>0.61 ± 0.07</t>
  </si>
  <si>
    <t>0.38</t>
  </si>
  <si>
    <t>fkh-3-407</t>
  </si>
  <si>
    <t>fsh-2</t>
  </si>
  <si>
    <t>eggs_08_05_comp2352_c1_seq5</t>
  </si>
  <si>
    <t>15.44 ± 5.52</t>
  </si>
  <si>
    <t>0.04 ± 0.03</t>
  </si>
  <si>
    <t>-0.28</t>
  </si>
  <si>
    <t>gcm2</t>
  </si>
  <si>
    <t>XM_970010.2</t>
  </si>
  <si>
    <t>TC014730</t>
  </si>
  <si>
    <t xml:space="preserve">GTGCCGGGTCTACTCCTCATCATCCTCCGACTGGGACATCAACGACAGCGCAATCCCCCGCATCAACGAATTCGACTCCTTCTCCGAATGGGCCGATGGCCACTGCCGTTTAGTCTACCGTGCCGACAACGAAGACGCCAAACGGCACTCCTCCGGCTGGGCCATGCGGAACACCAACAACCACAACGTGCACATCCTGAAGAAGAGCTGTCTGGGAGTCCTCGTCTGCTCCCTGCGCTGCACCCTCGCCAACGGCGAGCGCGTGCATCTGCGGCCCGCCATCTGCGACAAGGCCCGGAAGAAGCAACAAGGAAAGCCGTGTCCGAATCGGCAGTGCACCGGGAGGCTGGAGATCCTCCCCTGTCGGGGACACTGCGGGTATCCCGTTACGCATTTCTGGAGACACACCGATCATGCGATC </t>
  </si>
  <si>
    <t>gcm-1-408</t>
  </si>
  <si>
    <t>gcm-1</t>
  </si>
  <si>
    <t>lcl_eggs_08_12_comp19269_c0_seq1</t>
  </si>
  <si>
    <t>19.12 ± 4.41</t>
  </si>
  <si>
    <t>0.33 ± 0.11</t>
  </si>
  <si>
    <t>Hsc70-3</t>
  </si>
  <si>
    <t>XM_965476.2</t>
  </si>
  <si>
    <t>TC004425</t>
  </si>
  <si>
    <t xml:space="preserve">ACAAGGGCCAAGTTTGAGGAATTGAACATGGACTTGTTCAGATCTACTATGAAACCGGTCCAAAAGGTTCTGGAAGACGCTGATATGAATAAAAAAGACGTTGATGAAATTGTTCTTGTTGGTGGTTCAACTCGTATCCCGAAAGTGCAACAATTGGTTAAGGAATTTTTCGGTGGTAAGGAACCCTCTCGTGGGATTAACCCTGACGAAGCTGTTGCTTACGGAGCGGCTGTCCAAGCTGGTGTTCTCTCCGGTGAACAAGACACTGATGCTATTGTCCTCCTTGATGTTAATCCTTTGACCATGGGTATTGAAACTGTAGGAGGAGTCATGACAAAATTAATCCCACGTAACACCGTAATCCCTACGAAAAAATCCCAAGTCTTTTCGACCGCTTCTGACAACCAACACACCGTCA </t>
  </si>
  <si>
    <t>Hsc70-3-1-420</t>
  </si>
  <si>
    <t>Hsc70-3-1</t>
  </si>
  <si>
    <t>lcl_contig00331</t>
  </si>
  <si>
    <t>0.72 ± 0.03</t>
  </si>
  <si>
    <t>Hsc70-3-3-428</t>
  </si>
  <si>
    <t>Hsc70-3-3</t>
  </si>
  <si>
    <t>lcl_eggs_08_12_comp55_c4_seq1</t>
  </si>
  <si>
    <t>37.69 ± 6.91</t>
  </si>
  <si>
    <t>0.73 ± 0.04</t>
  </si>
  <si>
    <t>0.47</t>
  </si>
  <si>
    <t>Keap1</t>
  </si>
  <si>
    <t>XM_961255.1</t>
  </si>
  <si>
    <t>TC016270</t>
  </si>
  <si>
    <t xml:space="preserve">TAAGCGCAGTCCGATGTCAGTTTTTACCACCCAAGTTCCTCAACGACCAAATGACTAACTGCGAAGTTATCAAAAAAACACCGGCATGTAGAGAATATTTAGCTAGGATCTTTAAAGATTTGACGCTTCACATACGGACAGTCGTAAAAGAACGAACACCAAATATCCCTAGAGTAATATATGTCGCAGGCGGCTACTACCGACAATCTCTCGACGTCTTAGAGGGTTACAATATCGACGATAAAACGTGGCACAAATTAGACAGTCTCACTGTACCTAGATCTGGATTAGGAGGAGCTTTTTTGAAGGGAACTTTTTACGCAGTAGGTGGCAGAAACAACGCTCCGGGTAATAGTTACGATTCGGATTGGGTGGATAAATACAACCCAGTCAAGGACCAATGGAGACCATGTAGCCCCATGTCGGTGCCGCGAAATCGAGTAGGTGTTGCTGTAATGGACGGCTTGCTGTACGCAGTTGGCGGAAGTGAGGGCTCCAGATACCACAATAGCGTCGAATGCTACGATCCTGATTTGGATAGGTGGACGACGATAAAACCTATGCATTTCAAACGTCTAGCGGTTGGTGTCGCTGTTGTCA </t>
  </si>
  <si>
    <t>Kaep1-1-366</t>
  </si>
  <si>
    <t>Kaep1-1</t>
  </si>
  <si>
    <t>female_beetles_ovary_15days_comp15368_c0_seq1</t>
  </si>
  <si>
    <t>22.29 ± 8.96</t>
  </si>
  <si>
    <t>0.27 ± 0.14</t>
  </si>
  <si>
    <t>-0.17</t>
  </si>
  <si>
    <t>Klp61F</t>
  </si>
  <si>
    <t>XM_965759.2</t>
  </si>
  <si>
    <t>TC008263</t>
  </si>
  <si>
    <t>GCGAATATCCCTGGACTTGAAATCATTTTGGACGATGACGACGAGGAAGAAGAAGAAGAAGGGAAGTTTAAGGACGAAGAAGTTATAATTGAAGAAAGCGACGAGTCGAAGCCATCGAACGAATTGAAAGAAGAAAATGAAAATGAAGAAGATGGCGAAGATGATGATGTAATCATCCATGAAGTTGTACCTGAGAAAATTGAAGTGGACGATGACAAAGAATATGACACTTTACCACCGTCCGATGTGCCCATCAAGGTGGAGCAAATTGATGATGGTTTTATGGACGTTGAAGAAGGCCTAATTAAAATTAAAAACGGGGGACAAATTAAAATTAAAAGTGAACCGATTGATCCCGATGAAGAAATGTTAGAGGTGCCCCGAGAAGAGTCAAGCGTGCCAT</t>
  </si>
  <si>
    <t xml:space="preserve"> 94.44 ± 0.8</t>
  </si>
  <si>
    <t>Klp61F-1-440</t>
  </si>
  <si>
    <t>Klp61F-1</t>
  </si>
  <si>
    <t>lcl_adult_female_d15_comp15119_c0_seq2</t>
  </si>
  <si>
    <t>0.76 ± 0.05</t>
  </si>
  <si>
    <t>GGGAGACCACCATATTCAATATCAAAAGGTACATCATTTATTAAAACAGTTTTTAATGCATCTACAAATTTAAGAGTACTTGTCTGACCTTGTAGAACAAATTTTTGAACTTTAGCGTCTAAAAACACGGGTACAACATGTATGGCATCGACAAACATATTTATTTTGCCCGCAACGAGATCACACCTTTTCACTTTGCCAATATTCACAGGTGGTGGAGGCCCCTCAAGATGAACCTTGGTGGGTACTCCATCCAGTTCGATTCGGATACCAGGACTACCAAAGAAACACTCATATGGCACATTGTCGATGAAGAGTTCTCTGCTTGGAGCACCCAACCGCACAATATGTGAATTTCCATTGCAGTAAACTTCTTTATAATCATCGTTGAAGTTCAGCACAAAACTGTCCTTGTCGTTGAAGGTAATCTTTCTCACGCC</t>
  </si>
  <si>
    <t>mam</t>
  </si>
  <si>
    <t>-</t>
  </si>
  <si>
    <t>TC030619</t>
  </si>
  <si>
    <t xml:space="preserve">GGTGGTTTCTCCGACCTCATCGGCGAAGACACCAACGACGAGATCATCACGTCTGACGCCTTCAACGATCTCATCTCAGATATTAGCAACTATCCCGAGTTAATGAAAGACTTTGATTTCGAAGATAAATCCGAGGTTAACGCGAGTGTTAACGTTTCCAATCAAAATAACTATTCCCCAGTCTTCGAAAACCAAGGAGGCATCAACAAAACCCGCATGCCTCCTTACACTAACATTGATTTCTGCAAGACTGAACTGAGTCCGGCCGCACAAACCCTCAAGCAAATGGCCGAACAACACCAACATAAAAATCAAATGGGGATGACTTTCAACCCCAACACCAGAGCGCCGAATTCCAGGTCACCTTACCCCGATTTCCAGTTCCAAGGTGACTATGGAAGCCCCAACTCGA </t>
  </si>
  <si>
    <t>mam-1-396</t>
  </si>
  <si>
    <t>mam-1</t>
  </si>
  <si>
    <t>lcl_eggs_08_12_comp30111_c0_seq1</t>
  </si>
  <si>
    <t>10.48 ± 3.73</t>
  </si>
  <si>
    <t>-0.05 ± 0.04</t>
  </si>
  <si>
    <t>mam-2-393</t>
  </si>
  <si>
    <t>mam-2</t>
  </si>
  <si>
    <t>lcl_eggs_08_05_comp30074_c0_seq1</t>
  </si>
  <si>
    <t>13.23 ± 3.70</t>
  </si>
  <si>
    <t>-0.08 ± 0.23</t>
  </si>
  <si>
    <t>-0.23</t>
  </si>
  <si>
    <t>MED17</t>
  </si>
  <si>
    <t>XM_964448.1</t>
  </si>
  <si>
    <t>TC007640</t>
  </si>
  <si>
    <t xml:space="preserve">TATGGCCGCAGACAGATACGAATTACTCGAAATGACAAAATCCGAAACACTTCTT
GAACAAATCATCAAACAAGCGCAACACTTTTTCATGAGATTACGGACAGAATACGTGCTTGATACAATAG
CTAAAGAAGTGAAAGATCCCCTTATAAGCTCCCACTGGAACACTTTAAACAGTCCGACGCAATCATGCGT
TAAAATCAACATTTCAACACATGGTTATGACGCTCTCTGTCGGACGCCTCTCGTGATACACGTGGGTGAA
AAAAGCCTCAAGTGCATATGTAGAGATGGGAAAGTCATGCACATGAGTTACGAGCCGCAAGAATTGCGAG
ATTTGATTTTTTGCCACATAAACCAGCACCAAATTTTGGCGGTTCAAGCGTTGGCTAAGACAATGGGTTG
GCAGTTTTTGGCCAATTCGAACCATTTGGGCACGGGGGCTGTGGAACCGCTGGGAAACGCTAGTTCGTGT
CTTTTGGCGTCTCCCAC
</t>
  </si>
  <si>
    <t xml:space="preserve"> 93.33 ± 0</t>
  </si>
  <si>
    <t>iB-01233-363-534</t>
  </si>
  <si>
    <t>comp310836_c0_seq1</t>
  </si>
  <si>
    <t xml:space="preserve"> 8.82 ± 2.94</t>
  </si>
  <si>
    <t>0.15 ± 0.08</t>
  </si>
  <si>
    <t>GATCCGCTCATTACCTCTCACTGGAATACTCTGAATAGTCCAACACAGTCTTGTGTTAAAATTCATATTTCGACACATGGTTACGATGCTGTTTGTAGAACACCTCTTATAATACATGTTGGACAGAAGAATCTAAAATGTATCTGCAGAGACGGAAAAGTGATGAACATGAGTTACGAACCACAAGAATTAAGAGATCTAATATTTTGTCATATTAACCAGCATCAAATATTGGCAGTTCAAGCTTTGGCTAAGACAATGGGATGGCAAGCTTTAGGAAACTCCAATCATTTAGGTACTGGTACCGTTGAACCACTAGGAAACGCCAGTTCTTGTCTACTGTCCTCACCGACAGGAGACAGAATAATAGCGGTACGATGTGAACCGTCAACTGGAACCCAAGTTTCTGTCGCGCATTCGCCACGAACTGACTTTTTCCCAAGTCGACTCGTAACAGAAAGAAAATGGGAGCATTTGGGCGGTCAGTTTAGAGATGTAAGATTGGACAAGATGGAGGGTAGAAACTTTTTG</t>
  </si>
  <si>
    <t>iB-01233-402-485</t>
  </si>
  <si>
    <t>41.43 ± 0.25</t>
  </si>
  <si>
    <t xml:space="preserve">0.46 ± 0.07 </t>
  </si>
  <si>
    <t>CTCTTGATACGAAACCGATGGTTCAAATCTATGCTAGGAAGAAAGCGTTAGCAGGTGCTGCTAGTGTATTGTTAGCTGGTGCAGAAAAGATGAAAAATTCTCAAAATGAAGCAGCACGAAGTAGAACAACCTTAGATTTTCATATAGAACTTCTTAGGTTAAGACAAAACTGGAGACTGAAAAAGGTCTCTAATACGATCATAGGAGATCTCAGCTATAGGACCACAGGATCCAAGTACTTACAGACTGGCACATTTGAGGTAACCAAAGCAGAAGACGAGGAAAAAACTAACAGTCCTCCAAGCAGTCCATTACCAGGAGGTCCAGCCCCTGTAAAACCTACAAGTGCTTTAAGAGTATCAATTCCCTCTGAGCTACAAGGTGTTGCTTATATTGAAGTTTTGTGCCAAAAAGATCAAGAAGATCTTTGCACTGCCAATTTGACGCTCCTCGGCTCCGGTCCCCCACCGTCCAATCCTGATATG</t>
  </si>
  <si>
    <t>mtRNApol</t>
  </si>
  <si>
    <t>XM_962507.1</t>
  </si>
  <si>
    <t>TC006188</t>
  </si>
  <si>
    <t xml:space="preserve">CCTGGAACGACCTCAAACTCCT
CGCCTCGACCAACCTCAACCTCAGCGAGCTCCACAAACTCAAAGACCTGACCAAAGACAACCAACACGTC
CAGGAACACACCTACAACAACCTGGCGGTGATCGACCCCATCGCCGCCGAGGAAACCCCCAATGAGAAGG
AACGCGTTGTCACAATCACCGACATCCCCCAGCCCCCGGAACAACCCCAACCCCCAGTCGAGGAATTACT
CGACACAATCCCCAAAATCGACTTCCTCCAACCCGAAATCATCGACGAACCGCCAGAGATAAGCGAGGTC
AGCGACCCCGCACCCAAAATAAATTTGAGCAAAAAAGCGCGTTACGAAATATCAGTCAAAACACTAGGCT
CGTACTTGGAGATGTGCTCCACCTTGCAAACGCCCAATCGGGGCCTAAACGCCCTCATCTTCCACAATCA
GAGGGCCACCAGAGGCAAGGATTTGACTTTCGCCACAATGAAAAGCA
</t>
  </si>
  <si>
    <t xml:space="preserve"> 52.78 ± 1,6</t>
  </si>
  <si>
    <t>mtRNApol-1-501</t>
  </si>
  <si>
    <t>mtRNApol-1</t>
  </si>
  <si>
    <t>lcl_female_beetles_ovary_15days_comp5789_c0_seq1</t>
  </si>
  <si>
    <t xml:space="preserve"> 8.50 ± 2.62</t>
  </si>
  <si>
    <t>0.31 ± 0.04</t>
  </si>
  <si>
    <t>-0.13</t>
  </si>
  <si>
    <t>NAA15-16</t>
  </si>
  <si>
    <t>XM_970509.1</t>
  </si>
  <si>
    <t xml:space="preserve">TC008190 </t>
  </si>
  <si>
    <t>GAAGGCGGAACAAGAGAGTGCTCAAGCAAGAGAAGCGCAAGTGAAACGTGACCACCACCATAAATCACGCCAGCAAGGGGATGTAGAAGCGGATGCACCTCAGTTAGACGAACTAATCCCCGATAAGCTGGCACGGGTCGAAGATCCGCTCGAACAAGCCATCAAGTTCCTCCAACCCCTTCAAAAATTAGCAAAAAATCGAATAGAAACCCATTTAATGGCGTTTGAGGTTTATTATCGGAAAAAAAAAGTTCTGTTGATGTTGCAGTCCTTGAAAAGGGCTCATCAAATCGCACCGCAGAATCCAAAGCTACACAGTTGCCTGATCAGATTTTACGAAGTGATCGAACAAAATAAAAACTCGTGGGATCCGGCCGTTGAACAAGTGGTGACCAAAGAAGTGCAAATTTTGTTTAAAGGAAAAGACGCCAAACAGCTC</t>
  </si>
  <si>
    <t>Nat1-1-484</t>
  </si>
  <si>
    <t>NAT1_1-1</t>
  </si>
  <si>
    <t>lcl|comp312453_c0_seq1</t>
  </si>
  <si>
    <t xml:space="preserve">0.69 ± 0.07 </t>
  </si>
  <si>
    <t>ncm</t>
  </si>
  <si>
    <t>XM_001811253.1</t>
  </si>
  <si>
    <t>TC014785</t>
  </si>
  <si>
    <t>ACGAAGACGAGGACGAAGAGGAAGAAGAAGGCGCCCAAAAGAACGAATCCAACATAATCGACAATACGGAGACCAACCTCGTGGCCCTACGCAGAACAATCTACTTAACCATCCAATCAAGTTTAGATTTTGAGGAAAGTGCCCACAAACTAATGAAAATGGAACTGAAACCGGGCCAAGAAATCGAATTATGCCACATGTTCCTCGACTGTTGTGCCGAACAACGGACTTACGAGAAGTTTTACGGATTATTGGCACAGAGATTTTGTCAAGTGAATCAGATTTATGTCGAGCCGTTCCAACAAATCTTCAAAGACACGTACGCCACAACACACAGACTTGACACAAATAAATTGCGAAATGTTAGCAAGTTTTTCGCACATTTGTTGTTCACCGATGCGAT</t>
  </si>
  <si>
    <t>ncm-1-411</t>
  </si>
  <si>
    <t>ncm-1</t>
  </si>
  <si>
    <t>lcl_eggs_08_05_comp6987_c0_seq1</t>
  </si>
  <si>
    <t>0.68 ± 0.03</t>
  </si>
  <si>
    <t>dsRNA from two different regions on the same transcript</t>
  </si>
  <si>
    <t>ncm-2-407</t>
  </si>
  <si>
    <t>ncm-2</t>
  </si>
  <si>
    <t>76.14 ± 3.99</t>
  </si>
  <si>
    <t>0.75 ± 0.06</t>
  </si>
  <si>
    <t>GTTAGCATCTAGTCTGTGAGTGGTAGAATAGGTATCTTTAAAAATTTGTTGGAAAGGCTCGATATACACTTTGTTGATTTGACAAAATCTTTGAGCCAAAAGACCATAAAACTTTTCGTAGGTTCTTTGTTCTGCGCAGCAGTCAAGAAACATGTGACACAATTCTATTTCTTGTCCAGGTTTCAACTCCATCTTCAGTAGCTTATGTGCACATTCTTCAAAATCTAAACTAGACTGAATAGTCAAATATATGGTTCTTCTAAGAGAAATTAAATTCGTTTCAGTATTGTCAATAATTGTTCCCTGGTCCTTGACTTCGTCCTCATTTTCATTATCAGATTCCTCTTCTGAACCTTCGGAACCTGATTCAGACTCACCATCACTGCCTAAGATTTCTTTACTAAGGG</t>
  </si>
  <si>
    <t>ncm-1_v1</t>
  </si>
  <si>
    <t>85.20 ± 3.51</t>
  </si>
  <si>
    <t>0.96 ± 0.01</t>
  </si>
  <si>
    <t>TTAATGTAACCATGAACGGATTTCTTTAAGGCTTCCCATGCTATACGCTGATAGGCTGCTGATGTTTTGTCTGTAATACTGGCTTGTAACAATCGTAGCTTAGCTGGGGGAATATAAGCACCACCAGTCCTCGATGTTAACATATCTACAGTTTTTCTTTCTCTTGGTTTGATGACTG</t>
  </si>
  <si>
    <t>ncm-1_v2</t>
  </si>
  <si>
    <t>87.10 ± 3.40</t>
  </si>
  <si>
    <t>0.95 ± 0.03</t>
  </si>
  <si>
    <t>GGCTGCGTAAACGTTTGTAAAAGTAGGAGATGCTGCTTGTGCTTGTATTATTGACTTGCACAGCAAACCTCTACCTCTTACTATATTTTCATGCAATAATTCTCTGGCGATGATGCCAAT</t>
  </si>
  <si>
    <t>Past1</t>
  </si>
  <si>
    <t>XM_970194.1</t>
  </si>
  <si>
    <t>TC033251</t>
  </si>
  <si>
    <t xml:space="preserve">CGGCAAAGACAGCAAGAAGAAGGACCTCGTCAAGAACCTGCACGAGATTTATGTCAAGATCCAGAA
AGAGCACAACATCTCGGCCGGAGATTTCCCAGACATTCAGAAGATGAGGGACGCGCTCGCCCGACACGAC
TTCACCAAGTTTCATTCGCTCAAGCCCAAGCTTCTGGACGTGGTGGAGCAAATGCTGAGCGATGATATCG
CACAGCTTATGTCAATGATTTCGCACGAAGTGAACGAAATCAACAAAAGCGATGTCACAGGGGGAGCGTT
TGAGAATATAGGTGATCACAGCTCGCCCTTTGGCTACAAGAGGGGCGAAGGTGTTAACGCCGGAATGGGC
GAACCCGACTGGATCGTCAATAAAGAAAGGGCCACTTTTGACGCGATTTTCGACCAACTTTCGCCCAATG
GCACGAAAATATCAGGTTCCACAGCGAAAATCGAACTGGTCAAGTCGAAACTACCAAATTCCGTTTTGTC
CAAAATTTGGAAACTGGCTGATGTTGACAAGGACGGGTT
</t>
  </si>
  <si>
    <t xml:space="preserve"> 47.22 ±  8.0</t>
  </si>
  <si>
    <t>Past1-1-413</t>
  </si>
  <si>
    <t>Past1-1</t>
  </si>
  <si>
    <t>lcl_eggs_08_05_comp32848_c0_seq1</t>
  </si>
  <si>
    <t>12.13 ± 0.37</t>
  </si>
  <si>
    <t>0.04 ± 0.05</t>
  </si>
  <si>
    <t>Picot</t>
  </si>
  <si>
    <t>XM_961223.2</t>
  </si>
  <si>
    <t>TC003405</t>
  </si>
  <si>
    <t>ACAAATCGCACCAGGAAAACGACGGCGAATTTGTCTGGGAGACGGACATCCAGGGCTACGTCCTCAGCTCCTTCTTCTACGGCTACGTCGTCACCCAGATCCCCTTCGGCATCCTCTCCAAGCGCTACGGCAACATCTACTTCCTGGGCGTTGGCATGCTGATCAACTCCCTGTTCGGCCTCCTGGTGCCCGTCGCCGCCAACATGGGCATCTGGTGGCTGATAGCCGTGAGGTTCATTCAGGGCCTCGGTGAGGAGCGCAATTTGGAACAGTCATTTCAATGCCGCTGAGTGGCCTTTTGTCGGCTTCGTCCGCCGGCTGGCCGTCCATTTTTTACGTTTTTGGGGCCGTTGGGACCGTCTGGTGCGTAGCCTTCCTGATCTTCGTCTACGAAGACCCGAGCACGAACCCCAAAATGAACATCGACGAGAAAAAATACATACAAAAAGCCTTGGGGA</t>
  </si>
  <si>
    <t xml:space="preserve"> 77.78 ± 12.73</t>
  </si>
  <si>
    <t>Picot-1-404</t>
  </si>
  <si>
    <t>Picot-1</t>
  </si>
  <si>
    <t>lcl_MoltingStage_1st_2nd_instar_comp4239_c0_seq1</t>
  </si>
  <si>
    <t>14.71 ± 2.94</t>
  </si>
  <si>
    <t>0.2 ± 0.27</t>
  </si>
  <si>
    <t>Picot-2-413</t>
  </si>
  <si>
    <t>Picot-2</t>
  </si>
  <si>
    <t>lcl_eggs_08_08_comp6982_c0_seq1</t>
  </si>
  <si>
    <t>17.65 ± 0.00</t>
  </si>
  <si>
    <t>0.36 ± 0.13</t>
  </si>
  <si>
    <t xml:space="preserve">Pka-R1-PP </t>
  </si>
  <si>
    <t>XM_967511.2</t>
  </si>
  <si>
    <t>TC000040</t>
  </si>
  <si>
    <t xml:space="preserve">CGAAGCCATTATCCAGCAAGGTGACGAAGGCGATAATTTCTACGTCATCGACCAAGGCGAAGTCGAGGTGTACGTTAATAACGAACTAGTGACCACTATAGGCGATGGTGGCAGTTTCGGCGAACTTGCCCTCATTTATGGTACGCCACGTGCGGCAACGGTCAAAGCGAAAACCGATGTTAAACTTTGGGGGATTGACCGAGATTCGTACAGGAGGATTCTGATGGGTTCGACGATACGTAAGCGCAAAATGTACGAAGAGTTTTTGTCAAGAGTGTCAATATTGGAGAATCTTGACAAGTGGGAGCGTCTCACAGTGGCTGATGCACTAGAACCGGTGGGTTTTGAAGATGGTGAGACGATTGTGAGACAGGGGGAGCCAGGAGACGATTTTTATATCATCGTCGAAGGTACAGCGATTGTTAAACAGAACAGAGCGGAAGGGGAAGAAC </t>
  </si>
  <si>
    <t>iB-00004-193-274</t>
  </si>
  <si>
    <t>comp303021_c0_seq3</t>
  </si>
  <si>
    <t>23.53 ± 5.88</t>
  </si>
  <si>
    <t>0.3 ± 0.11</t>
  </si>
  <si>
    <t>CTACATTATCGTAGAAGGCACTGCTGTAGTGAAACAGAACAGAATCGAGGGGGAAGAACCCACAGAGGTCGGTAGATTGGGACCAAGCGACTACTTTGGAGAGATTGCTCTTCTGCTGGACAGACCAAGAGCTGCTACCGTGGTCGCATGCTGCCCGCTTAAATGTGTCAAATTAGATAGAGCACGATTCGAGAGAGTGTTGGGACTTTGTGCGGATATATTGAAGAGGAATATCACTCAGTACAACAGTTTCGTGTCACTTTCCGTTTAATGG</t>
  </si>
  <si>
    <t>iB-00004-950-624</t>
  </si>
  <si>
    <t>comp307514_c0_seq1</t>
  </si>
  <si>
    <t>19.55 ± 11.22</t>
  </si>
  <si>
    <t>ATGATGAGAACTGGTCTTATCCGACAAGCAGAATATACCGATTTCTTAAAGAGCGTACCAATCTTCAAAACACTTCCAGAAGACACTCTTATCAAGATTTCCGATGTTTTGGAAGAAACTATATACGCCAATGGAGACTATATTATCAGACAAGGAGCCCGGGGTGATACGTTCTTCATTATAAGTAAAGGAAAAGTTAAGGTTACCAGAAAAATGCCAAATTCTAACACTGAGGAGTTTATAAGGACACTCGGTAAAGGAGATTTCTTCGGGGAGAAGGCTTTGCAAGGGGATGATTTAAGAACTGCCAATGTGATAGTGGATGATCCAGAGGGCGTCACCACCCTGGTAATAGATAGAGAAACATTTAACCAACTGATATCAAATCTAGATGAGATTAGAACTAAATATAAGGATGAAAATATAGAAAGAAGAAGAGTAAACCAAGAATTCGAAGGCGTCAAATTATCCGACTTAGTAATTCTTACAACTCTCGGAGTTGGTGGTTTCGGCAGAGTAGAACTTGTTCAAATCAGAGGCCGCTCAAACAAATCCTATGCACTTAAACAAATGAAGAAAGCACAAATCGTGGAAACTCGGCAACAGCAACATATCATGTCAGAG</t>
  </si>
  <si>
    <t>Prosα1-PA</t>
  </si>
  <si>
    <t>XM_961880.2</t>
  </si>
  <si>
    <t>TC000258</t>
  </si>
  <si>
    <t xml:space="preserve">CAATACGACAGCGACGTGACCGTCTGGAGCCCCCAGGGCCGCCTCCACCAGGTGGAGTACGCCATGGAGGCCGTAAATTTGGGCTCCGCCACCGTGGGTCTCAAAAGCAAGACTCACGCCGTTCTCATCGCCCTCAAAAGAGCCTCGTCTGAACTATCAGCCTACCAGAAGAAAATCATCAACATCGACGACCACATCGGAATCACCATCTCAGGCCTCACAGCCGACGCCAGAATCCTGAGCCGTTACATGCGGACTGAATGCCTCAATTACAAGTATTCGCACGACACCCACTTGCCCCTAAACCGCCTCATCAGCCAGCTGGGAAACAAGATGCAGTTGTGCACTCAGAGGTACGACCGCAGGCCCTACGGCGTGGGGCTCCTTGTGGCGGGTTATGAC </t>
  </si>
  <si>
    <t>iB-00141-266-641</t>
  </si>
  <si>
    <t>comp256450_c0_seq1</t>
  </si>
  <si>
    <t>0.53 ± 0.09</t>
  </si>
  <si>
    <t>GCCATTTCCACTTTTTCTGAAGTTAGTTTTGCCATATCCAATGTTTTTGCCAGAACCTTTACTGCTAACGTCTTTGCATCCTTCAAAGTCATTTGACCTTCTTTATATTCTTGTTTCAAACTTGAAATTGCTGCTGAACTGTTGTTGCCTATGCAGGTAGCTTTCCAACCAGAATAGTTGCCACTGGGATCTGACTGATATAGCTGGTATCCATAATGTTTATCCCATCCCATATATAATATTGAAACACCAAATGGACGTTTACCTCCATACTGAGTGTATGCCTGCTTGACATCACAAAGCCAGGAAACTAACTGTTCGCAAGGAATAGATTCGGCATACTGAAATAAATATCTTTGACCTATAAGTCTCAATTCATTTGTTAAAACATTAGCATCTGATGTTATTCCAGCCACACTACAAACCATATCATCATTTAGTTTGTATATTTTTTCTGAAATAAAAACTTCATCTAATAATTTGTTAGTGTTACGCCTCTCAGCAGCCAACAAAATTCCATCATTTGCTAAAATGCCCAGACAAGTACCTGCATGAGAAATAGCCTCCATGGCATACTCCACCTGATACAACCTCCCTTCAGGAGAGAATATTGTGGTTCTGGTATCATATCGACGAGCCAT</t>
  </si>
  <si>
    <t xml:space="preserve">Prosα6-PA </t>
  </si>
  <si>
    <t>XM_963762.1</t>
  </si>
  <si>
    <t>TC000069</t>
  </si>
  <si>
    <t xml:space="preserve">GACAACGGAGGGAGTGTGGTTGCAATCGCCGGCGACGATTTCGTGGTAATAGGCGCCGACACCCGTCTCAGTGCCGGTTTTTCAATTTACACCCGTGACCAGAATAAATTGTTCCGTTTATCGGACACTACAGTACTGGGATGTTCGGGTTGTTGGTGCGACACTCTCACCCTGACTCGCATTTTGAGCGCTCGCATGCAAATGTACCAACAGGAGCATAACAAAACCATGGCCACACCGGCTTGTGCCCAAATGCTATCAACCATGTTGTACTACAAGCGGTTTTTCCCATACTACATTTCTAATATTCTCGTTGGGTTGGATAATGAAGGGAAAGGGTGCATTTATAGCTACGATCCGATTGGACATTGCGAGAAAACCACGTATAGGGCTGGGG </t>
  </si>
  <si>
    <t>iB-00053-012-593</t>
  </si>
  <si>
    <t xml:space="preserve">comp232437_c0_seq1 </t>
  </si>
  <si>
    <t>32.35 ± 2.94</t>
  </si>
  <si>
    <t>0.5 ± 0.06</t>
  </si>
  <si>
    <t>CTGTACGCAAAGGATCCACTGCAGTTGGTGTCAGAGGTGCCAATGCAGTAGTACTTGGTGTAGAAAAGAAATCAGTAGCTAAGCTTCAGGAAGAACGTACAGTTAGAAAAATCTGCTTATTAGATGATCACGTTGTTATGGCATTTGCAGGACTTACAGCTGATGCTAGAATTCTAATAAATAGGGCCCAAATTGAATGTCAAAGCCACAAACTCACTGTCGAAGATCCTGTCACTTTAGAGTATATCACAAGATACATCGCTTCTCTGAAACAAAAATACACTCAAAGTAATGGTAGGAGACCATTTGGCATTTCTTGTTTAATTGGTGGTTTCGATTATGATGGAAAACCTCATTTATATCAAACAGAACCTTCTGGAATTTATTATGAATGGAAAGCAAATGCGACAGGTCGTTCTGCAAAGACTGTCAGAGAATTTTTGGAAAAATTCTATACCGCTGAAGAGGTAGCTACAGAAAAAGGCACAGTGAAGTTAGCTATCAAAGCCTTATTAGAAGTTGTACAGTCTGGACAGAAAAACTTAGAAATTGCTGTTATGCGACATGGTGAACCAATTGTGATGTTAGATGGG</t>
  </si>
  <si>
    <t>iB-00053-911-273</t>
  </si>
  <si>
    <t>comp287144_c0_seq1</t>
  </si>
  <si>
    <t>35.10 ± 11.57</t>
  </si>
  <si>
    <t>0.51 ± 0.19</t>
  </si>
  <si>
    <t>0.08</t>
  </si>
  <si>
    <t>TCAGTTGTACCATATGGATCCATCAGGAACATTTGTTCAGTTTGACGCAAAGGCGATAGGATCAGGATCCGAGGGTGCACAGCAAAGTTTACAGGAGGCATATCATCGCAGTATGACCCTGGAAGAAGCTACCACAACTGCTTTAACAATTCTAAAACAAGTTATGGAAGAAAAGTTGAATTCTTCAAATGTTGAGGTTATGACTATGACTCCAAAAGATATGTTCCACATGTTCACAAAGGAACAAGTGGAAGAGGTAATTGCTAAATTGTC</t>
  </si>
  <si>
    <t>Prosβ5</t>
  </si>
  <si>
    <t>XM_965101.1</t>
  </si>
  <si>
    <t>TC030625</t>
  </si>
  <si>
    <t xml:space="preserve">TCTCGAAGGACGAGTCAGGTCGGGACATCAAAATCAAGTTTGACCACGGCACCACCACGCTG
GGGTTCATGTACAAGGGGGGCGTAGTGCTCGCCGTGGACTCCCGAGCCACGGGGGGCCAATTCATCGGCT
CCCAAACCATGAAGAAAATCGTCGAAATCAATGATTTTCTCCTGGGGACTTTGGCCGGGGGCGCCGCTGA
CTGTGTGTATTGGGACCGCGTCCTGGCTAAGCAGTGCCGCATGTACGAATTACGCAACCGGGAGCGGATT
TCGGTCGCAGCCGCCTCGAAACTGATGGCCAACATGGTGTATAATTACAAGGGGATGGGGCTGTCAATGG
GCATGATGCTGGCAGGATGGGACAAAAGGGGGCCCCAGCTGTATTACGTGGATTCGGAGGGGACCAGAAC
CCCTGGGAAAGTCTTCAGTGTTGGCTCGGGCTCCATTTATGCGTTTGGCGTCCTGGATTCGGGGTACAAG
TGGGATTTGACGGATGAGGAGGCGTATGATTTGGGGCGCCGGTCGATTTACCATGCCACCCATC
</t>
  </si>
  <si>
    <t>Prosbeta5-1-397</t>
  </si>
  <si>
    <t>Prosbeta5-1</t>
  </si>
  <si>
    <t>lcl_eggs_08_05_comp1475_c0_seq1</t>
  </si>
  <si>
    <t>44.12 ± 14.71</t>
  </si>
  <si>
    <t>0.58 ± 0.02</t>
  </si>
  <si>
    <t>Rab6</t>
  </si>
  <si>
    <t>XM_967360.2</t>
  </si>
  <si>
    <t>TC001600</t>
  </si>
  <si>
    <t xml:space="preserve">TGACCAAAGACTGCGGAAACAAAACCAGATTTTGAACTTGGTTTTTAAAAGAATCGTTAAGTTTTTAACAAAAATGTCGACGTCAGGAGACTTTGGTAATCCCTTGCGAAAATTTAAACTAGTTTTCTTAGGAGAACAAAGTGTTGGCAAAACGTCGCTAATAACAAGGTTTATGTACGACAGCTTCGATAACACCTACCAGGCGACTATAGGAATTGATTTCTTATCAAAAACAATGTACCTCGAGGACAGGACCGTACGGTTGCAGTTGTGGGACACAGC </t>
  </si>
  <si>
    <t xml:space="preserve"> 83.33 ± 3.21</t>
  </si>
  <si>
    <t>Rab6-4</t>
  </si>
  <si>
    <t>Rab6-1</t>
  </si>
  <si>
    <t>eggs_08_05_comp8352_c0_seq1</t>
  </si>
  <si>
    <t>20.59 ± 2.94</t>
  </si>
  <si>
    <t>0.76 ± 0.01</t>
  </si>
  <si>
    <t>Rop</t>
  </si>
  <si>
    <t>NM_001170684.1</t>
  </si>
  <si>
    <t>TC011120</t>
  </si>
  <si>
    <t xml:space="preserve">ATGAGGATGGTGTCGGCTTGTTGCAAAATGCATGATATTTCAGCTGAGGGGATAACACTCGTCGAAGATATTCACAAGAAACGCGAACCGTTGGCGTCAATGGAAGCCGTTTATTTGATAACACCGTCAGAAAAGTCGGTTCATTCACTTATGGCGGATTTTGAGGGACCCCGTCCGATGTACAGGGGGGCTCATGTTTTTTTCACCGAAGTCTGTCCCGAAGAACTGTTCAATGAACTGTGTAAGTCTTGCGCTGCTAAGAAAATTAAAACACTCAAAGAAATCAACATTGCCTTCTTGCCGTATGAGTCACAGGTATTTTCATTGGATTCTCCTGACACTTTTCAATGTTTTTACGATCCGAGCTTTGCCGCCGCTCGAAATGCCAATATGGAACGAATGGCTGAACAAA </t>
  </si>
  <si>
    <t>iB-01807-206-391</t>
  </si>
  <si>
    <t>pupae_stage1_comp171_c7_seq1</t>
  </si>
  <si>
    <t>iB-01807-639-627</t>
  </si>
  <si>
    <t>75.54 ± 5.44</t>
  </si>
  <si>
    <t>0.64</t>
  </si>
  <si>
    <t>Rop v3-239</t>
  </si>
  <si>
    <t>Rop v3</t>
  </si>
  <si>
    <t>81.62 ± 3.16</t>
  </si>
  <si>
    <t>0.95 ± 0.01</t>
  </si>
  <si>
    <t>CAAGTATGCTACGCATCTTCATCTCGCTGAAGACTGCATGAAGGCCTATCAGGGGTATATAGACAAGTTGTGTAAAGTTGAGCAGGATTTGGCAATGGGAACTGATGCCGAAGGCGAGAAAATCAAGGATCACATGCGCAACATCGTCCCCATCTTGCTAGATCCCAAAATCACCAATGAATACGATAAGA</t>
  </si>
  <si>
    <t>Rpb7</t>
  </si>
  <si>
    <t>XM_965220.1</t>
  </si>
  <si>
    <t>TC014109</t>
  </si>
  <si>
    <t xml:space="preserve">TATTTCGGCCCACAGCTACTTGAAAAGGTGAAAACCAAGCTGTATACAGAAGTCGAAGGGACCTGTACGGGAAAATACGGTTTTGTAATTGCTGTAACCACGATAGATAGCATAGGGGCTGGCCTTATTTTACCTGGCCAGGGATATGTGGTGTATCCAGTAAAGTATAAAGCTATAGTTTTCAGACCATTTAAGGGAGAAGTGCTTGATGCTGTCG </t>
  </si>
  <si>
    <t>Rpb7-1-390</t>
  </si>
  <si>
    <t>Rpb7-1</t>
  </si>
  <si>
    <t>eggs_08_05_comp519_c11_seq1</t>
  </si>
  <si>
    <t>0.91 ± 0.01</t>
  </si>
  <si>
    <t>dsRNA for feeding bioassay</t>
  </si>
  <si>
    <t>Rpb7-1 v1</t>
  </si>
  <si>
    <t>64.71 ± 17.64</t>
  </si>
  <si>
    <t>0.94 ± 0.02</t>
  </si>
  <si>
    <t>0.5</t>
  </si>
  <si>
    <t>dsRNA from same transcript as Rpb7-1-390 designed for plant expression</t>
  </si>
  <si>
    <t>RpII140</t>
  </si>
  <si>
    <t>XM_969560</t>
  </si>
  <si>
    <t xml:space="preserve">TC011771        </t>
  </si>
  <si>
    <t xml:space="preserve">TCCGATTTTTGCGAGACGAAAAAAGCCTACTTTTTGGGGTACATGGTGCACCGGTTGCTCC
TGGCGGCTTTGGGGCGCCGCGAGCTGGACGATCGGGATCACTACGGTAACAAACGACTGGACTTGGCGGG
GCCCCTGCTTGCGTTTTTGTTCCGTGGGTTGTTTAAAAACTTGATGAAGGAAGTACGGATGTATGCCCAG
AAATTTATTGATCGGGGCAAAGACTTTAACCTCGACTTGGCCATTAAGACTAAGTTGATTACGGACGGGT
TGAGGTATTCTCTGGCGACTGGTAACTGGGGGGACCAGAAGAAGGCCCACCAGGCCAGAGCCGGTGTCTC
GCAGGTGTTGAACCGTTTGACTTTTGCCTCGACTTTGTCGCACTTGAGACGTGTTAATTCGCCCATTGGA
CGTGACGGGAAGTTGGCGAAGCCCCGACAGTTGCACAACACGCTCTGGGGGATGATT
</t>
  </si>
  <si>
    <t xml:space="preserve"> 88.89 ± 0</t>
  </si>
  <si>
    <t xml:space="preserve">FBgn0262955-468        </t>
  </si>
  <si>
    <t>RpII140-1</t>
  </si>
  <si>
    <t>lcl|comp306439_c0_seq1</t>
  </si>
  <si>
    <t>RNAPII v1</t>
  </si>
  <si>
    <t>RpII140 v1</t>
  </si>
  <si>
    <t>92.97 ± 2.19</t>
  </si>
  <si>
    <t>AAATAAGAGACTCGATTTGGCTGGACCATTATTGGCTTTCCTCTTCAGAGGGCTTTTCAAGAACCTAATGAAAGAAGTTCGTATGTATGCCCAGAAGTTTATCGATAGAGGCAAAGATTTCAATCTGGATCTGGCCATCAAAACCAAACTAATAACGGACGGTCTGAGGTATTCTCTCGC</t>
  </si>
  <si>
    <t>RNAPII v2</t>
  </si>
  <si>
    <t>RpII140 v2</t>
  </si>
  <si>
    <t>95.22 ± 1.80</t>
  </si>
  <si>
    <t>RpL6</t>
  </si>
  <si>
    <t>XM_968022.2</t>
  </si>
  <si>
    <t>TC030666</t>
  </si>
  <si>
    <t>CCGCAATTATTACCCCACTCAGGACAAGATCCGCAAGCACCCGGCGAAGAAAACGTTCAAGCAACATAAACGCCACTTGCGCTCGACTCTTACTCCCGGCACTGTGTGTATCCTTCTCGCGGGCTCGCACAAGGGCAAGCGGGTCGTGTTCTTGAAGCAGTTGCACTCGGGGCTGCTGCTGGTGACGGGGCCCATGCAGATCAACTCGTGTCCCTTGAGGCGGATCAGTCAGAGATATGTTATAGGCACGCAGACGAAAATCGATGTTAGCGGTGTGAAAATCCCGGAAACTATCAATGATGAGTATTTCCGGCGCAAGAGGGAGAAGAGGGCCAAGAAGGAGGAAGGGGATATTTTCCAGGCCAAGAAGGAGGCGTACAAAGTGAGCGATCAGAGGAAAGCTGACCAAAAAGTAGTCGACAAGCAAGTCTTTGAAGCTATTAAGAAGCACCCCGATAGGAAAGT</t>
  </si>
  <si>
    <t>RpL6-1-394</t>
  </si>
  <si>
    <t>RpL6-1</t>
  </si>
  <si>
    <t>lcl_eggs_08_05_comp498_c6_seq1</t>
  </si>
  <si>
    <t>29.41 ± 5.88</t>
  </si>
  <si>
    <t>0.74 ± 0.07</t>
  </si>
  <si>
    <t>Rpn11</t>
  </si>
  <si>
    <t>XM_961333.2</t>
  </si>
  <si>
    <t>TC005869</t>
  </si>
  <si>
    <t xml:space="preserve">GTGGACCCCATCCAGTCAGTCAAGGGCAAAGTCGTCATCGATGCCTTTAGGTTAATCAACCCGAATATGATGGTCCTGGGGCAGGAGCCCCGCCAGACGACGTCCAATTTGGGGCACTTGCAGAAGCCGTCAGTTCAAGCGCTGATTCACGGTTTGAACAGACACTACTACTCTATTAGTATAAACTACCGGAAGAATGAATTAGAGCAAAAGATGTTACTCAATCTGCATAAGAAGTCGTGGATGGATGGCTTAATCCTCGCAGATTATAAAAATAATTGCGGGATTAATGAAAAAACAGTCGCTGATGTTTTAGAATTGGCCAAAAATTATAACAAGGCGCTGGAGGAAGAGGAGAAGATGACGCCGGAGCAGTTGGCGATTAAAAATGTCGGGAAACAGGATCCGAAACGGCATCTTGAGGAGAAAGTTGATTTGTTGATGACTAATAATATTGTACAGTGTTTAGGGGCGATGTTGGAC </t>
  </si>
  <si>
    <t>iB-00950-010-291</t>
  </si>
  <si>
    <t>comp288241_c0_seq1</t>
  </si>
  <si>
    <t>23.11 ± 5.46</t>
  </si>
  <si>
    <t>0.24 ± 0.11</t>
  </si>
  <si>
    <t>-0.19</t>
  </si>
  <si>
    <t>ATGAATTGGAACAAAAAATGCTACTAAATCTCCATAAAAAATCCTGGATGGATGGTCTAACTTTAGCAGATTACTCTGAAAATTGTAGTGTGAATGAAAAGACTGTAGCTGATATGTTAGAACTAGCCAAGAATTACAACAAGGCATTAGAAGAGGAGGAGAAAATGACTCCAGAACAGCTCGCTATTAAAAATGTTGGCAAACAAGATCCTAAGAGGCATTTAGAAGAAAAGGTTGATATTTTGATGACCAATAATATCGTCCAGTGCTTGGGAGCTATGCTAGATACAG</t>
  </si>
  <si>
    <t>iB-00950-355-560</t>
  </si>
  <si>
    <t>comp256662_c0_seq1</t>
  </si>
  <si>
    <t>0.29 ± 0.06</t>
  </si>
  <si>
    <t>CCTGTTACGATACAACCGCAACGCCCAATTGCTGCTTCTGACTGTTCCAATTTTTCCGACAAGTCAAATATTTGCCCAGTAGTATAATCCGCATTAGTTAGTAAACTAGAAGAACTAAGAGTATTAACCCAGTATTTGTTCCAAAGAGAATCCAATAACCTCCTATCTAAAGCTGACTTAAAGTACGATACCTCTAATGAGTAGTATTGCTTGCAGTGCACACCAAAATCTTCTATTTTATTTAGAGGAATAGTCTGGTATTCAGAAGGTTCCTCATTTGCAGGTTTGTAGCCCTTTGGATAAGTTCTAAAAGCTCCTAGACATACTTTTCCAGCTGAGATGGTGCGAACAGGATCGATAACTATTGCAACAAAAGGTTCCTGGAAGTTTTGGTTCAACATTTGAGTGCTTACATCTATTCCAGATAACCAGCAACCATAGCCAGGATGGCTGTGGTACCAGCCTATTGCATTTTCTTGTCTACCTACCAACTTTGCTGCTTCGATGTAGGAACTCATATACTCATAAGCTTGGGCTTGAGCATTAACACGAGTTTCTGT</t>
  </si>
  <si>
    <t>Rpn12</t>
  </si>
  <si>
    <t>XM_966866.2</t>
  </si>
  <si>
    <t>TC007891</t>
  </si>
  <si>
    <t xml:space="preserve">AAATCGGGGTACAATGG
AGCATAGCTTCGAGTAATATCCCCGCTTTTGAGCGATATATGGCACAATTAAAGTGCTACTACTTTGATT
ACAAAGACCAACTCCCTGAATCTTCCTTTAAGTATCAATTGTTGGGCTTAAATTTGCTATTTTTGTTGTC
GCAAAACCGCGTCGCGGAATTTCACACTGAGCTGGAACTGTTGCCTGCGGAGCACATTCAGAATGATGTT
TACATAAGGCATCCTCTGTCAATTGAACAGTATTTAATGGAGGGCAGTTACAACAAGATATTTTTAGCCA
AAGGTAACGTGCCGGCAAAAAATTACAACTTCTTCATGGATATTTTGCTTGACACAATTCGCGGCGAAAT
CGCCGTTTGTGTGGAAAAAGCGTACGAAAAAATCTCGCTCAAGGATGCCGCAAGAATGTTATATTTGGCA
AACGAAGAAGCCGCTAAAACTTTCGGCAAAAATAAGAAGTGGAAGTTGGGCCGCGACAACTTCTTCCACT
TCGCGCCTGAGGTCAAGAAAATCACTGAGCCCATCCCA
</t>
  </si>
  <si>
    <t>iB-01280-690-586</t>
  </si>
  <si>
    <t>comp233056_c0_seq1</t>
  </si>
  <si>
    <t>0.58 ± 0.08</t>
  </si>
  <si>
    <t>0.26</t>
  </si>
  <si>
    <t>ATGGCGAAAGTAAATGAAGTGGCTAATTTGTACAAGCAGTTAAAATCAGAATGGAATACCAACAACCCAAATTTAAGTAAATGTGAAAAACTACTCTCAACTCTTAAGCTTGAGCTCACCAATCTAATGTTTCTGCCGATTACCACATCTACTGCGTCCAAACAAGAACTACTTCTAGCCAGAGATGTTCTAGAGATAGGAGTCCAATGGAGTATAGCAGCCAATGATATTACATCTTTTGAAAGATACATGGCACAATTAAAATGTTATTACTTCGATTATAACAACCAACTACCAGAATCACCATTTAAGTACCAACTGCTTGGATTAAACTTGTTATTCCTGCTGTCACAAAACCGAGTAGCAGAATTTCACACTGAATTGGAACTTTTACCTGCCGATCATATTCAGAATGATGTGTACATCAGACATCCCTTGTCTATTGAACAATATTTAATGGAAGGGAGTTATAATAAAATATTTCTGGCTAAAGGTAATGTACCTGCTAAGAGTTATAACTTCTTTATGGATATTTTGCTGGACACCATAAGAGAAGAAATTGCAGACTGTTTATCAGTAGCCTATG</t>
  </si>
  <si>
    <t>Rpn7</t>
  </si>
  <si>
    <t>XM_968550.1</t>
  </si>
  <si>
    <t>TC006375</t>
  </si>
  <si>
    <t>AGAAAAACCCCGACCTCGAACTTGCCCATTGCAAGTTTTTACTCACCCTTCCCGAGTACAGAAACGACCGCTTTGTCCACCAAAAAATCACCGATGCCATCAAAAAAGACGACATGGCCCCTTGGTACGAGCTCATTATCAAGGACTGCGGCTGGAAAAAAGACGCCAATTTTCTCAAAACCATCCAAGCGAAGAACGCTGAAGAAATCAAAAAGTTGGATGCGGCGATTGAAGACGCTGAGAAGAATTTAGGCGAGATGGAAGTCCGTGAGGCGTATTTGAAGAAAGCGGAGTATTATAGTCGGATTGGTGATAAGGACAATGCCGTAGCGACTTTCCGACAAACTTATGATAAGACGGTGTCTTTGGGGCACCGTCTCGATATTATTTTCCATCTAATCAGAATCGGTTTATTCTTCATGGACCATGACATTATTACTCGTAATATAGACAAAGCGAAAAGTTTAATTGAGGAAGGGGGCG</t>
  </si>
  <si>
    <t>Rpn7-1-417</t>
  </si>
  <si>
    <t>Rpn7-1</t>
  </si>
  <si>
    <t>lcl_eggs_08_12_comp1647_c0_seq1</t>
  </si>
  <si>
    <t>0.83 ± 0.05</t>
  </si>
  <si>
    <t>Rpt3</t>
  </si>
  <si>
    <t>XM_962883.2</t>
  </si>
  <si>
    <t>TC007999</t>
  </si>
  <si>
    <t xml:space="preserve">GACTGCGACATGGAAGACCTGTACACCAAATACAAGAAACTGCAACAAAT
GCTCGAATTTCTCGAAGTCCAAGAAGAGTACATCAAAGACGAGCAACGCAACTTGAAGAAGGAGTATCTC
CACGCCCAGGAGGAGGTGAAGCGGATCCAGTCGGTGCCGCTTGTCATCGGCCAGTTTCTGGAAGCCGTTG
ACCAAAATACTGGGATTGTGGGGTCAACCACCGGGTCGAATTATTACGTCCGGATTTTGTCAACGATTGA
CCGGGAATTGCTCAAACCTTCGGCCAGTGTGGCTTTGCATAAGCACAGTAACGCCCTTGTGGACGTCCTC
CCGCCTGAAGCTGATTCCTCGATCAGCATGCTCCAGGCTGATGAGAAGCCTGACGTCCAGTATAGCGATA
TTGGAGGCATGGATATGCAAAAACAGGAAATTCGCGAAGCTGTGGAGTTGCCCCTCACCCACTTCGAGCT
GTACAAGCAAATTGGGATTGACCCCCCTCGTGGGGTCTTAATGTACGGGCCTCCAGGCTGTGGCAAGACA
ATGCTGGCCAAGGCAGTGGCTCACCACACCACTGCTGCGTTCATCAGAGTTGTGGGGTCG
</t>
  </si>
  <si>
    <t>Rpt3-1-460</t>
  </si>
  <si>
    <t>Rpt3-1</t>
  </si>
  <si>
    <t>pupae_stage2_comp1011_c5_seq1</t>
  </si>
  <si>
    <t>0.87 ± 0.01</t>
  </si>
  <si>
    <t>Sam-S</t>
  </si>
  <si>
    <t>XM_961585.2</t>
  </si>
  <si>
    <t>TC011082</t>
  </si>
  <si>
    <t xml:space="preserve">GGAAGACGGCTCCAATTTCCTCTTCACCTCCGAGTCG
GTGGGAGAAGGACATCCAGACAAAATGTGCGACCAAATCAGTGATGCTATTCTTGACGCCCACCTCCAGC
AAGATCCTGACGCAAAAGTGGCTTGCGAAACTGTGACAAAAACCGGAATGATTCTCCTCTGCGGCGAAAT
CACATCAAAGGCCGTGGTGGATTACCAGAAAGTTGTCCGAGAGACAGTTGCACACATTGGTTATGACGAT
TCCAGTAAAGGTTTTGATTACAAGACGTGCAATGTGTTGTTGGCTCTCGATCAGCAG
</t>
  </si>
  <si>
    <t>iB-01800-344-368</t>
  </si>
  <si>
    <t>comp256504_c0_seq2+seq1</t>
  </si>
  <si>
    <t>18.38 ± 6.62</t>
  </si>
  <si>
    <t>0.03 ± 0.21</t>
  </si>
  <si>
    <t>CCTGCGTCACTCTGAGGTCCTCCGATGATGAAGAGACCGCATGGATTGATGTGAATGACTGTTTGGTCATCGAGGTATTTGGCTGGAATTACTTCTTTAATAACTTTTTCCTTGATTTCGGTTCTCAATTCTTCCAAGCTGATTTTGTCGCTGTGTTGGAGCGAAACAACAACTGTGTGAACTCTTTGTGGAATGCAAGCGCCACGTTGGAAAGTGTATTCTGCGGTAACCTGTGTTTTTGAGTCTGGTCTGGCCCACCAGAATTCTCCAGATCGTCTCAAATCAGCAATTTTGTGATTCAATCTGTGTGCTAATACTACTGTAAGTGGCATACATTCTTCTGTTTCATCCGTGGCATAACCGAACAT</t>
  </si>
  <si>
    <t>Sec6</t>
  </si>
  <si>
    <t>XM_968678.1</t>
  </si>
  <si>
    <t>TC010557</t>
  </si>
  <si>
    <t>TGCGGAAGGAACCTACTGTGATTGTCACAGCTCTCCGGATAATTGAACGGGAGGAGAAAACCGACCAAGAGGCACTTAAACAGGAAAAACAGACCGGGTTCTTGCCCCCAGGGCGGCCCAAAAAATGGAAACAAATGGCGTTCGAAGTGTTGGAAAAGTCAGTCGCTACTAGAATTGAAGGCACGCAAGTCGACGAACGCGATGACAACAAACACTGGCTCATTCGTTACTTGGAATTGACGCGGCAGCTCATTTTGGAGGACTTGCGAGTTGTTAAAACACTGTGTGTCCCGTGTTTCCCGCCCAGGTACGGGATCATCGACAAGTACATACAGATGTACCACCACTGCCTGTCCCGCCACTTACAAGAAGTGATTCAGAACGGAATCGAAGGCAACGAATACGTGACCATCCTCTCATGGGTCAGTAAAACCTACCAAGGGGTTGAGCTACTGGGCCACCCGGACTTGGTCGAATACACCAAACACCTGGAGCCTT</t>
  </si>
  <si>
    <t>sec6-1-495</t>
  </si>
  <si>
    <t>sec6-1</t>
  </si>
  <si>
    <t>lcl_eggs_08_05_comp8863_c0_seq1</t>
  </si>
  <si>
    <t>0.24</t>
  </si>
  <si>
    <t>Sec61α</t>
  </si>
  <si>
    <t>XM_965057.2</t>
  </si>
  <si>
    <t xml:space="preserve">ATGGACGGCGATCACACTTTTCATTTTTCTCGTA
TGTTGTCAGATTCCACTGTTTGGCATTATGAGTTCAGACTCGGCCGATCCGTTTTATTGGATACGTGTAA
TTTTAGCTTCAAACAGAGGAACCCTGATGGAGTTGGGTATTTCCCCGATTGTTACTTCCGGATTGATTAT
GCAACTTCTAGCAGGAGCGAAGATAATTGAAGTTGGGGATACACCGAAAGACCGAGCTTTGTTCAACGGC
GCACAAAAATTATTCGGTATGGTCATCACCGTGGGCCAAGCCATCGTATACGTAATGACCGGCATGTACG
GAGACCCCGCCGAAATAGGCGCAGGTGTATGTCTCTTAATCATCATCCAACTGTTCGTTGCTGGTCTCAT
TGTTCTACTCCTCGACGAACTCCTCCAAAAAGGCTACGGTCTTGGTTCTGGCATTTCCCTCTTCATTGCA
ACCAACATTTGTGAAACAATCATCTGGAAGGCGTTCTCACCAGCCACAGTAAACACCG 
</t>
  </si>
  <si>
    <t>iB-07109-147-640</t>
  </si>
  <si>
    <t xml:space="preserve">comp232009_c0_seq1 </t>
  </si>
  <si>
    <t>0.64 ± 0.03</t>
  </si>
  <si>
    <t>CTGCAGCATACTGCCTGAAATAGCCAAGCCAGAAAGAAAAATCCAATTCAGGGAGAAAGTACTATGGACTGCAATCACTCTTTTCATCTTTTTAGTATGTTGTCAGATTCCATTATTCGGTATAATGAGTTCAGATTCTGCAGATCCTTTCTACTGGATTCGTGTTATTCTTGCATCAAACAGAGGTACCCTTATGGAACTTGGTATTTCCCCAATTGTAACTTCAGGTCTGATTATGCAGCTGTTGGCCGGTGCCAAAATTATCGAGGTTGGTGACACTCCAAAAGACAGAGCCTTATTCAATGGTGCCCAAAAATTGTTTGGTATGGTTATTACTGTCGGTCAAGCCATCGTGTATGTAATGACAGGCATGTATGGTGATCCGGCTGAAATTGGAGCTGGAGTGTGCCTTCTCATCATCATCCAACTGTTCGTCGCCGGTCTCATTGTATTGCTTCTCGATGAACTTCTCCAGAAAGGATATGGTTTAGGTTCTGGTATTTCCCTCTTCATTGCAACAAACATTTGTGAAACTATTATTTGGAAAGCCTTCTCACCAGCAACAGTAAACACTGGAAGAGGAACAGAATTTGAAGGAGCTGTCATTGCCTTATTCCACTTGTTGACCACCAGACAAGAC</t>
  </si>
  <si>
    <t>iB-07109-147-650</t>
  </si>
  <si>
    <t>37.89 ± 6.24</t>
  </si>
  <si>
    <t>0.65 ± 0.05</t>
  </si>
  <si>
    <t>GGATTACGTGAAGCTTTCTACAGGCAAAATCTTCCCAATTTGATGAACTTGTTGGCGACAGTACTCGTTTTTGCTATAGTAATATACTTCCAAGGATTCAGAGTAGATCTACCCATCAAGAGTGCAAGATACCGTGGACAATATTCCAGCTATCCAATCAAATTGTTCTACACTTCGAACATCCCTATTATTCTACAATCTGCTCTTGTATCTAACTTGTATGTCATCTCACAGATGTTGGCTGTTAAATTCCAAGGGAACTTCTTAATTAATCTATTAGGAGTCTGGGCTGACGTTGGAGGCGGTGGCCCAGCTAGGTCTTACCCCATTGGAGGATTATGTTACTACTTATCTCCACCTGAAAGTGTAAGTCACATTCTAGAAGATCCAATCCACGCAATGCTCTACATCGTCTTCATGTTGGGATCTTGTGCTTTCTTCTCCAAAACATGGATCGAAGTATCTGGAAGCTCAGCCAAAGATGTCGCTAAGCAATTGAAAGAACAACAGATGGTAATGAGAGGACACAGAGATAACTCCATGATTCACGAATTGAACAGGTACATTCCCACCGCCGCAGCTTTTGGAGGTCTCTGTATTGGAGCCTTGTCAGTACTCGCTGATTTCATGGGAGCCATTGGTTCAGGTAC</t>
  </si>
  <si>
    <t>sif</t>
  </si>
  <si>
    <t>XM_001815311.1</t>
  </si>
  <si>
    <t xml:space="preserve">TC031145 </t>
  </si>
  <si>
    <t>CTTGAGCCGGATTTCCATAAATTTGAATACAGCAGCCAATTTAAAAATGTATTGTTTTCCATCGGGAGCGCATTTTTGTATTATGTAAATCACTTCAAATTATACAGCTCGTTCTGCGCGAGCCACAGCAAAGCGCAGAAAGTTTTGCATCCGAACGAAGGCAATCAAGCTCTGCAGGAATTCCTCGCGGCCCGTAATCCCAAACAGCAACATTCCTCCACTCTAGAGTCTTATCTCATAAAACCGATTCAGCGGATTCTCAAGTACCCTCTGCTCTTGCAACAGTTGCGGAACTTGACCGACCCCAACACCGACGAACACCAACACTTAGTCGAGGCCCTCAAAGGAATGGAGAAAGTGGCCGAACACATCAACGAGATGCAGCGAATCCACGAGGAGTACGGGGCTATT</t>
  </si>
  <si>
    <t>sif-1-365</t>
  </si>
  <si>
    <t>sif-1</t>
  </si>
  <si>
    <t>lcl_eggs_08_05_comp56247_c0_seq1</t>
  </si>
  <si>
    <t>11.77 ± 5.89</t>
  </si>
  <si>
    <t>0.31 ± 0.3</t>
  </si>
  <si>
    <t>sif-2-388</t>
  </si>
  <si>
    <t>sif-2</t>
  </si>
  <si>
    <t>lcl_pupae_stage1_comp58398_c0_seq1</t>
  </si>
  <si>
    <t>11.77 ± 3.4</t>
  </si>
  <si>
    <t>0.31 ± 0.13</t>
  </si>
  <si>
    <t>-0.01</t>
  </si>
  <si>
    <t>snRNP-U1-70K</t>
  </si>
  <si>
    <t>XM_962210.2</t>
  </si>
  <si>
    <t>TC002933</t>
  </si>
  <si>
    <t xml:space="preserve">GAGAGACGACGA
AGGGAACGAGCGGAACAAGTTGCGTATAAATTGGAGCAAGAGATCGCAGTCTGGGACCCCAATTCGGCCC
CGAATATCACAGTGGACCCCTTCAAAACGCTTTTTGTAGCTAGAATTAATTATGACACGTCGGAGTCGAA
GTTGAGAAGAGAATTCGAAGTGTATGGTCCGATCAAGAAGATTGTCTTGATTCACAATAGCGTCAATGGG
AAACCAAGGGGGTATGCTTTCATAGAATATGAACATGAAAGAGATATGCACTCTGCATACAAACATGCTG
ACGGAAAGAAAATTGACGGAAGACGGGTTTTAGTTGATGTGGAGAGAGCCCGTACCGTCAAGGGTTGGTT
ACCTCGGCGTTTAGGTGGTGGTCTTGGCG
</t>
  </si>
  <si>
    <t xml:space="preserve"> 97.78 ± 0</t>
  </si>
  <si>
    <t>iB-00472-005-246</t>
  </si>
  <si>
    <t>comp314198_c0_seq1</t>
  </si>
  <si>
    <t>26.47 ± 2.94</t>
  </si>
  <si>
    <t>0.52 ± 0.01</t>
  </si>
  <si>
    <t>GACTCAATTTTTACCACCAAATCTCTTGGCGCTTTTTGCCCCACGCGATCCCATACCATACTTACCACCGGTTACAAAATTACCCCATGAGAAGAAAAACCGAGGATATTTGGGTGTAGGACAATTTTTAGATGATTTCGAGGATCCTAAAGACACACCTCCACCAACAAGAGTGGAAACGAGGGAAGAACGGTTAGAAAGGAGACGCAGGGAAAGAGCTGAACAAGTTGCATACAAACTGGAACA</t>
  </si>
  <si>
    <t>iB-00472-005-561</t>
  </si>
  <si>
    <t>comp314198_c0_seq1.2</t>
  </si>
  <si>
    <t>29.41 ± 0.00</t>
  </si>
  <si>
    <t>0.39 ± 0.04</t>
  </si>
  <si>
    <t>GAAAGGGAACGGTATAGGTTAGAACGCGAAAGGGAAGAGAGAGGTTTGGTTAGGGAACGCGATAGGGATAGAGATAGAGTTCGTGATAGAGAATTTGAAAGGCGTCGGTCCAGATCCAGAGAAAGGAGGAGAAGAAGCAGGTCAAGATCGCCTAGAAGAGAAAAGAGGAGAAGGAGTAAGGACAAGAACAGGGACGAAATAACTATTGAAGATGATGGTTATGATAGGAGAGATAGAGAAAGGGATAGGGATCGTGATAAGGATAGGAAACGAAGGAGATCCAGATCCAGAGACAAGGATAGGGAAGCTCGTAAGAGAGAACGTAGAGAAAGAAGAGAAAAGGATAAGATCGAAAGAGTTGAATTTATTAAGACCGATGATGGAGGTGAAATGATCAGAGTTAAAGAGGAACCTGTAGATGATTATGACTACGCAAATTACCAACCACCTGCATATGATTCAGCAAAGGTTAAATATGAGGATGAAGATGAGCACAAGTATGAACCTCTTGATACAAACGGTGCTAGAAGATATGAAGATGAGTATGAAGAAGGCGAATAC</t>
  </si>
  <si>
    <t>iB-00472-318-413</t>
  </si>
  <si>
    <t>comp255899_c0_seq1.2.3</t>
  </si>
  <si>
    <t>14.71 ± 8.83</t>
  </si>
  <si>
    <t>0.07 ± 0.04</t>
  </si>
  <si>
    <t>TCGTCAGCGAGCAAACATGAAATAGAAAACTCTTTCGGGAAATATGGACCGTTGAGAAACGTTTGGGTGGCAAGAAATCCTCCGGGCTTTGCTTTTGTGGAGTTCGAAGACCCCAGAGACGCTGAAGATGCCGTTAGAGGCTTGGATGGCACACGTTGTTGTGGCTCTAGAGTCAGAGTAGAAATGTCAAGTGGGCGTTCCAGAAGAGGAGGAGGTGGTGGTGGAGGTAGAAGAGGACCTTCCAGATATTCCAGGTCGAGGTCACCAAAACGGTCGAGGTCACCGAAACGGTCGAGGTCTCGTTCTAGAAGCCGAGATTCCAGAGCACGATCTGATTCAAGAGACAGGCGCTAGTGCATTTCGATTTAAGTATTACACTTTAAGTTAAGCAGAAGATATTTCTGAATAGATAT</t>
  </si>
  <si>
    <t>iB-00472-908-611</t>
  </si>
  <si>
    <t>comp305248_c0_seq2</t>
  </si>
  <si>
    <t>17.23 ± 11.35</t>
  </si>
  <si>
    <t>0.34 ± 0.15</t>
  </si>
  <si>
    <t>-0.09</t>
  </si>
  <si>
    <t>GGTTATGAAATAGGCGGAAGAAATTTAAGAGTGGACAATGCTTGTACGGAAAAATCTAGAATGGAAATGCAAAATCTCCTCAACCAACCTCCAGTAGAGAATCCCTATGGAGAGGCAGTTCAAGCTGAAAAAGCTCCTGAGGCTATAAGTAAGGCTGTTGCATCTCTACCTCCTGAACAAATGTTTGAATTGATGAAGCAAATGAAGACAACTATTCAGAATAATCCAACAGAAGCAAGACAGATGCTTTTACAGAATCCGCAGCTTGCCTATGCTCTTTTACAAGCTCAAGTTGTAATGAAAATTATTGACGCAGCTACTGCAGTTAGTTTACTTCATCCCGTGAACCAAGTGCCAGCGACACTTATGCCTGGAGACAAGAATGTTCCTGTCCAAGTACCAGTTAATAATCAGTACAGGGAGCCTCCAGCACCTGTTCAACCGCCTGTCCATCCAAGACAAGACTTCCAACCTGTTCCTCCTCCTGTTATGCATCCATCTCAAAATCAAGTATTTCCAAGTCAAGATATAGATCTGAGATCCATTGGTGGTGTGCCAGATCTAAGAAACCTAAGACCCATGGGTGACCAGGATATGAGACAAATGCCATC</t>
  </si>
  <si>
    <t>Spx</t>
  </si>
  <si>
    <t>XM_963027.1</t>
  </si>
  <si>
    <t>TC003731</t>
  </si>
  <si>
    <t xml:space="preserve">TGATACATTTTCGGCGTTTGGTGTTATACTTCAAACACCTAAGATAATGAGAGACCCCGACACTGGCAATTCCAAAGGCTTCGCTTTCATCAACTTTGCAAGTTTCGAAGCATCTGACGCCTCAATCGAAGCAATGAACGGCCAATACCTCTGCAACCGCCCCATTTCCGTCTCCTACGCCTTCAAGAAAGACTCCAAAGGCGAACGTCACGGCTCCGCAGCCGAGCGTCTCCTCGCAGCCCAAAACCCCCTCTCCCAAGCCGACCGCCCCCATCAACTATTCGCCGACGCCCCTCCCATGGGCATGATGCCCCCAGGAATGACTCTCGCTCCGCCCCCACCTCCCGTAATCCTCGCTGGAATGATGCCTCCACCACCCCCCACTCCGGCAAGTATGCAACCTCCTCCACCCCCACCAGTTCCTCCACCCAGTTCT </t>
  </si>
  <si>
    <t xml:space="preserve"> 83.33 ± 0.8</t>
  </si>
  <si>
    <t>Spx_NEW</t>
  </si>
  <si>
    <t>lcl_pupae_stage1_comp8339_c0_seq1</t>
  </si>
  <si>
    <t>20.59 ± 8.83</t>
  </si>
  <si>
    <t>0.69 ± 0.24</t>
  </si>
  <si>
    <t>su(f)</t>
  </si>
  <si>
    <t>XM_967794.1</t>
  </si>
  <si>
    <t>TC015727</t>
  </si>
  <si>
    <t>AGAGGCTCCACATTGACTGGGGTAACGATAAGTTGCACCGCACCCAGAAGCAGGTCGAGCGCAACCCCTACGACCTCGAATCATGGTCGATTTTGCTGCGCGAGGTGCAAACCAAGCACATTTCGGAAGTGCGCCCCCTTTACGAGCACCTCATCGACATATTCCCCAGCGCGTCGCGCTACTGGCGCATCTACATCGAGCACGAGATGAAGTCCCGGAATTTCGAAAGAGTGGAAAAGTTGTTTCAAAGGTGTTTGATGAAGATCTTAAATATTGAGTTGTGGAAACTTTATCTCGGATATGTTAAAGAAACCAAGGCTTCGCTCCCGACCTATAAGGAAAAAATGGCACAAGCCTACGACTTTGCCTTGGACAAAATCGGAATGGACATCCATTCGTACTCGATTTGGAACGAATACGTGAATTTTTTAAAGGGGGTGGAGGCCGTGGGCTCGTATGCGGAGAACCAGAAAATTTCAGCGGTGCGTAAGGTCTACCAAAGGGGCATTAATAACCCCATGACGGGGATGGAGACCTTCTGGAAGGACTACATAGCCTTCGAACAAGCCATTAACCCCATTATTGCG</t>
  </si>
  <si>
    <t xml:space="preserve"> 91.67 ± 1.6</t>
  </si>
  <si>
    <t>su-f-1-375</t>
  </si>
  <si>
    <t>su-f-1</t>
  </si>
  <si>
    <t>adult_male_d15_noOvaries_comp3550_c0_seq4</t>
  </si>
  <si>
    <t>17.65 ± 5.89</t>
  </si>
  <si>
    <t>0.59 ± 0.18</t>
  </si>
  <si>
    <t>0.16</t>
  </si>
  <si>
    <t>0.0003</t>
  </si>
  <si>
    <t>su-f-2-356</t>
  </si>
  <si>
    <t>su-f-2</t>
  </si>
  <si>
    <t>pupae_stage1_comp11610_c0_seq2</t>
  </si>
  <si>
    <t>0.74 ± 0.03</t>
  </si>
  <si>
    <t xml:space="preserve">Surf4-PA </t>
  </si>
  <si>
    <t>XM_964082.2</t>
  </si>
  <si>
    <t>TC000161</t>
  </si>
  <si>
    <t xml:space="preserve">GTAGGGGCGAAGCCAAGAGTTTATTTGCAGGTGTACCTTCATTAGGCGAAAACAAACCTAAAAATTACTTGCAACTGACAGGACGTATTTTACTCGCCTTCATGTTCATCACACTGATACGCTTTGAACTCAGCTTTTTACAGATTTTGTTGGATTTGTTGGGATCAGCACTTATGGTTTTAGTGACAGTAGGGTACAAAACGAAATTATCAGCGCTAATTTTGGTTTTGTTACTCACAACGTTGAACTTTTATCATAATGCTTGGTGGAACATTCCGTCGTATAAGCCATTACGTGATTTTTTGAAGTATGACTTCTTCCAGACTTTGTCGGTGATTGGTGGTCTTC </t>
  </si>
  <si>
    <t xml:space="preserve"> 92.59 ± 2.27</t>
  </si>
  <si>
    <t>iB-000029-022-670</t>
  </si>
  <si>
    <t>comp318490_c0_seq4</t>
  </si>
  <si>
    <t>25.10 ± 1.57</t>
  </si>
  <si>
    <t>-0.03 ± 0.16</t>
  </si>
  <si>
    <t>-0.41</t>
  </si>
  <si>
    <t xml:space="preserve">
CCAATGGACAGAACAGAGGGAATATATGGACTTATCTTGGGGATGTGGCAAAATTTTAGCCACACTTTTTGTTATAGTTAATCTAGTTGGTCAATTGGGAGGCTGTGTTATGGTGATTATAAGATACAGAGTTAATATCGCTTGTGGAGTATTGTTCTTCATTGTTGTTCTACAGACGTTAGCCTACAGCATTCTCTGGGACCTCCAGTTCCTGTTCAGAAACTTAGCTCTCATAGGAGCCCTTTTGTTGGTTTTAGCAGAAAGCCGAGGTGAAGCCAAAAGTCTATTCGCCGGAGTTCCATCACTCGGCGATAACAAGCCCAAGAATTATTTGCAACTCACCGGAAGAGTGTTGTTGGCGTTCATGTTTATCACTCTCATCCGATTTGAATTGAGTTTCTTGCAGATAACCTTGGATCTCGTTGGTTCTCTCTTAATGGTTATGGTAACAGTAGGATACAAGACTAAACTAGCAGCACTGACCTTGGTTCTACTTCTTGGCACCTTGAACTTCTACCACAATGCCTGGTGGAATATTCCAGACTACAAACCCTTGAGGGACTTCCTTAAATACGATTTCTTCCAGACATTGTCCGTCATCGGTGGGCTGTTGATGATCGTTTACTTGGGACCCGGGGGTGTTTCTATGGACGAGCACAAAAAGCGGTGGT
</t>
  </si>
  <si>
    <t>Tango6</t>
  </si>
  <si>
    <t>XM_001814799.1</t>
  </si>
  <si>
    <t>TC014300</t>
  </si>
  <si>
    <t>CCAGCTCGCTTACTGTCCTCTGAAAAAACCAACTGGCGCTCAGGATAATAAGTTCGTAATGACTCTCGAAACGTATGAAAAACTGGTCCACGACCAAGAACAATTTCGAAAAATATTAGACGATTTGAGTCACAATATTCATCCCACAATCCTGATCCGGGAAACAATGGTCTTATTCCAAGCCAATGCTCCCGTGTGGTTCAAAACAGCGATTGCAAACACTTTGACTAAGATAATTCGATCGCCGAAAGGCGTCCGAAACATCGCTTCTGCCATGCTTTCCGGCATCGAAGACGACACCACAAAAACATGGCAAATTCTGGACGTGCTAACGAAGCTTATAACGAGCTGTCGTAAATTCCCAGACTTTGAGACAAACATTTGCAATCAAGTGTTAAATCTCCTGATCGAGGCCCGTGATTTGTTGGTTTTCGAACGGTTGGTTGTGTCTTGCACGAAATGTCTCTATTCCGAGGATAAAGCACTTTGCGATGCAGTTTTTGTCAAGAGGATAACGACTCCGTTATTATATTTCGCCAACAAAGAACACCAATTTCGTGACGAGGAGGTAACGGATGA</t>
  </si>
  <si>
    <t xml:space="preserve"> 88.89 ± 1.6</t>
  </si>
  <si>
    <t>Tango6-1-520</t>
  </si>
  <si>
    <t>Tango6-1</t>
  </si>
  <si>
    <t>lcl_pupae_stage1_comp13929_c0_seq1</t>
  </si>
  <si>
    <t xml:space="preserve"> 8.83 ± 8.82</t>
  </si>
  <si>
    <t>0.06 ± 0.09</t>
  </si>
  <si>
    <t>Tango6-2-514</t>
  </si>
  <si>
    <t>Tango6-2</t>
  </si>
  <si>
    <t>0.26 ± 0.1</t>
  </si>
  <si>
    <t>TE buffer</t>
  </si>
  <si>
    <t xml:space="preserve"> -</t>
  </si>
  <si>
    <t>12.31 ± 1.15</t>
  </si>
  <si>
    <t>-0.01 ± 0.02</t>
  </si>
  <si>
    <t>-0.1</t>
  </si>
  <si>
    <t>Water</t>
  </si>
  <si>
    <t>11.11 ± 0.8</t>
  </si>
  <si>
    <t>10.14 ± 0.93</t>
  </si>
  <si>
    <t>-0.11</t>
  </si>
  <si>
    <t>YFP</t>
  </si>
  <si>
    <t>11.00 ± 0.86</t>
  </si>
  <si>
    <t>0.06 ± 0.02</t>
  </si>
  <si>
    <t>IMPI</t>
  </si>
  <si>
    <t>22.22 ± 0.8</t>
  </si>
  <si>
    <t>0.74 ± 0.02</t>
  </si>
  <si>
    <t>14.22</t>
  </si>
  <si>
    <t>0.36</t>
  </si>
  <si>
    <t>-18.55</t>
  </si>
  <si>
    <t>-1.46</t>
  </si>
  <si>
    <t>0.1159</t>
  </si>
  <si>
    <t>0.11</t>
  </si>
  <si>
    <t>-4.4</t>
  </si>
  <si>
    <t>0.4547</t>
  </si>
  <si>
    <t>-16.87</t>
  </si>
  <si>
    <t>-16.73</t>
  </si>
  <si>
    <t>-0.02</t>
  </si>
  <si>
    <t>-15.77</t>
  </si>
  <si>
    <t>-12.67</t>
  </si>
  <si>
    <t>0.06</t>
  </si>
  <si>
    <t>55.33</t>
  </si>
  <si>
    <t>0.65</t>
  </si>
  <si>
    <t>-20.2</t>
  </si>
  <si>
    <t>-0.35</t>
  </si>
  <si>
    <t>-26.08</t>
  </si>
  <si>
    <t>24.73</t>
  </si>
  <si>
    <t>0.01</t>
  </si>
  <si>
    <t>0.0496</t>
  </si>
  <si>
    <t>-1.18</t>
  </si>
  <si>
    <t>0.0994</t>
  </si>
  <si>
    <t>-12.18</t>
  </si>
  <si>
    <t>67.92</t>
  </si>
  <si>
    <t>63.77</t>
  </si>
  <si>
    <t>0.66</t>
  </si>
  <si>
    <t>63.62</t>
  </si>
  <si>
    <t>0.63</t>
  </si>
  <si>
    <t>26.64</t>
  </si>
  <si>
    <t>-14.83</t>
  </si>
  <si>
    <t>23.9</t>
  </si>
  <si>
    <t>0.33</t>
  </si>
  <si>
    <t>-15.43</t>
  </si>
  <si>
    <t>-11.75</t>
  </si>
  <si>
    <t>-0.04</t>
  </si>
  <si>
    <t>19.71</t>
  </si>
  <si>
    <t>10.34</t>
  </si>
  <si>
    <t>0.42</t>
  </si>
  <si>
    <t>-16.6</t>
  </si>
  <si>
    <t>26.61</t>
  </si>
  <si>
    <t>-19.72</t>
  </si>
  <si>
    <t>-0.2</t>
  </si>
  <si>
    <t>-17.63</t>
  </si>
  <si>
    <t>-0.34</t>
  </si>
  <si>
    <t>2.54</t>
  </si>
  <si>
    <t>0.0158</t>
  </si>
  <si>
    <t>-25.76</t>
  </si>
  <si>
    <t>8.17</t>
  </si>
  <si>
    <t>0.19</t>
  </si>
  <si>
    <t>54.62</t>
  </si>
  <si>
    <t>0.35</t>
  </si>
  <si>
    <t>50.87</t>
  </si>
  <si>
    <t>ncm-1 v1</t>
  </si>
  <si>
    <t>59.93</t>
  </si>
  <si>
    <t>0.67</t>
  </si>
  <si>
    <t>ncm-1 v2</t>
  </si>
  <si>
    <t>56.23</t>
  </si>
  <si>
    <t>0.58</t>
  </si>
  <si>
    <t>-26.76</t>
  </si>
  <si>
    <t>-24.18</t>
  </si>
  <si>
    <t>-0.3</t>
  </si>
  <si>
    <t>-21.24</t>
  </si>
  <si>
    <t>-15.36</t>
  </si>
  <si>
    <t>0.32 ± 0.05</t>
  </si>
  <si>
    <t>-19.34</t>
  </si>
  <si>
    <t>-0.18</t>
  </si>
  <si>
    <t>10.8</t>
  </si>
  <si>
    <t>-6.54</t>
  </si>
  <si>
    <t>0.5006</t>
  </si>
  <si>
    <t>-3.79</t>
  </si>
  <si>
    <t>0.2207</t>
  </si>
  <si>
    <t>5.23</t>
  </si>
  <si>
    <t>0.0042</t>
  </si>
  <si>
    <t>-18.3</t>
  </si>
  <si>
    <t xml:space="preserve">Rop-1 </t>
  </si>
  <si>
    <t>0.92 ± 0.01</t>
  </si>
  <si>
    <t>57.52</t>
  </si>
  <si>
    <t xml:space="preserve">Rop-2 </t>
  </si>
  <si>
    <t>0.87 ± 0.03</t>
  </si>
  <si>
    <t>50.27</t>
  </si>
  <si>
    <t>0.59</t>
  </si>
  <si>
    <t>Rop-2 v3</t>
  </si>
  <si>
    <t>63.08</t>
  </si>
  <si>
    <t>0.76</t>
  </si>
  <si>
    <t>25.82</t>
  </si>
  <si>
    <t>56.25</t>
  </si>
  <si>
    <t>0.7</t>
  </si>
  <si>
    <t>0.99 ± 0.01</t>
  </si>
  <si>
    <t>66.19</t>
  </si>
  <si>
    <t>71.55</t>
  </si>
  <si>
    <t>0.74</t>
  </si>
  <si>
    <t>73.8</t>
  </si>
  <si>
    <t>-9.48</t>
  </si>
  <si>
    <t>0.8445</t>
  </si>
  <si>
    <t>-15.78</t>
  </si>
  <si>
    <t>-0.25</t>
  </si>
  <si>
    <t>7.37</t>
  </si>
  <si>
    <t>0.21</t>
  </si>
  <si>
    <t>33.93</t>
  </si>
  <si>
    <t>0.55</t>
  </si>
  <si>
    <t>20.84</t>
  </si>
  <si>
    <t>-20.51</t>
  </si>
  <si>
    <t>0.18</t>
  </si>
  <si>
    <t>18.5</t>
  </si>
  <si>
    <t>10.54</t>
  </si>
  <si>
    <t>-27.12</t>
  </si>
  <si>
    <t>-19.1</t>
  </si>
  <si>
    <t>-0.06</t>
  </si>
  <si>
    <t>-12.42</t>
  </si>
  <si>
    <t>0.989</t>
  </si>
  <si>
    <t>0.03</t>
  </si>
  <si>
    <t>-0.42</t>
  </si>
  <si>
    <t>-21.66</t>
  </si>
  <si>
    <t>-0.15</t>
  </si>
  <si>
    <t>-13.79</t>
  </si>
  <si>
    <t>0.9987</t>
  </si>
  <si>
    <t>-26.09</t>
  </si>
  <si>
    <t>-0.43</t>
  </si>
  <si>
    <t>-3.6</t>
  </si>
  <si>
    <t>-5.09</t>
  </si>
  <si>
    <t>-5.67</t>
  </si>
  <si>
    <t>n</t>
  </si>
  <si>
    <t>d2</t>
  </si>
  <si>
    <t>d4</t>
  </si>
  <si>
    <t>d6</t>
  </si>
  <si>
    <t>d8</t>
  </si>
  <si>
    <t>d10</t>
  </si>
  <si>
    <t>d12</t>
  </si>
  <si>
    <t>d14</t>
  </si>
  <si>
    <t>SD</t>
  </si>
  <si>
    <t>SEM</t>
  </si>
  <si>
    <t>Survival</t>
  </si>
  <si>
    <t>250 ng/µl</t>
  </si>
  <si>
    <t>1 ng/µl</t>
  </si>
  <si>
    <t>0,1 ng/µl</t>
  </si>
  <si>
    <t>0,01 ng/µl</t>
  </si>
  <si>
    <t>RPII-140</t>
  </si>
  <si>
    <t>DEAD</t>
  </si>
  <si>
    <t>TOTAL</t>
  </si>
  <si>
    <t>GI</t>
  </si>
  <si>
    <t>Dre4-1_v1</t>
  </si>
  <si>
    <t>Dre4-1_v2</t>
  </si>
  <si>
    <t>GI-1-403</t>
  </si>
  <si>
    <t>GI-2-405</t>
  </si>
  <si>
    <t>iB-00141pro-361</t>
  </si>
  <si>
    <t>iB-00404-096-680</t>
  </si>
  <si>
    <t>iB-00404-417-657</t>
  </si>
  <si>
    <t>iB-01807-206-391 (Rop-1)</t>
  </si>
  <si>
    <t>iB-01807-639-627(Rop-2)</t>
  </si>
  <si>
    <t>Rab6-4*</t>
  </si>
  <si>
    <t>WATER</t>
  </si>
  <si>
    <t>Bioassay</t>
  </si>
  <si>
    <t>Transcript Analysis</t>
  </si>
  <si>
    <t>Sample</t>
  </si>
  <si>
    <t>Constructs</t>
  </si>
  <si>
    <t>Plant</t>
  </si>
  <si>
    <t>101556[677]-10524.001</t>
  </si>
  <si>
    <t>pDAB101556</t>
  </si>
  <si>
    <t>Negative</t>
  </si>
  <si>
    <t>Positive</t>
  </si>
  <si>
    <t>101556[677]-10525.001</t>
  </si>
  <si>
    <t>101556[677]-10526.001</t>
  </si>
  <si>
    <t>101556[677]-10527.001</t>
  </si>
  <si>
    <t>101556[677]-10528.001</t>
  </si>
  <si>
    <t>101556[677]-10529.001</t>
  </si>
  <si>
    <t>101556[679]-10513.001</t>
  </si>
  <si>
    <t>101556[679]-10514.001</t>
  </si>
  <si>
    <t>101556[679]-10515.001</t>
  </si>
  <si>
    <t>101556[679]-10516.001</t>
  </si>
  <si>
    <t>110853[8]-289.001</t>
  </si>
  <si>
    <t>hpYFP</t>
  </si>
  <si>
    <t>pDAB110853</t>
  </si>
  <si>
    <t>110853[8]-290.001</t>
  </si>
  <si>
    <t>110853[8]-291.001</t>
  </si>
  <si>
    <t>110853[8]-293.001</t>
  </si>
  <si>
    <t>110853[8]-294.001</t>
  </si>
  <si>
    <t>110853[8]-295.001</t>
  </si>
  <si>
    <t>110853[8]-296.001</t>
  </si>
  <si>
    <t>110853[8]-297.001</t>
  </si>
  <si>
    <t>110853[8]-298.001</t>
  </si>
  <si>
    <t>110853[8]-299.001</t>
  </si>
  <si>
    <t>110853[8]-300.001</t>
  </si>
  <si>
    <t>110853[8]-301.001</t>
  </si>
  <si>
    <t>114524[1]-001.001</t>
  </si>
  <si>
    <t>hpRPII140 v1</t>
  </si>
  <si>
    <t>pDAB114524</t>
  </si>
  <si>
    <t>114524[1]-002.001</t>
  </si>
  <si>
    <t>114524[1]-004.001</t>
  </si>
  <si>
    <t>114524[1]-005.001</t>
  </si>
  <si>
    <t>114524[1]-007.001</t>
  </si>
  <si>
    <t>114524[1]-008.001</t>
  </si>
  <si>
    <t>114524[1]-009.001</t>
  </si>
  <si>
    <t>114524[1]-011.001</t>
  </si>
  <si>
    <t>114524[1]-012.001</t>
  </si>
  <si>
    <t>114524[1]-013.001</t>
  </si>
  <si>
    <t>114524[1]-015.001</t>
  </si>
  <si>
    <t>114524[1]-016.001</t>
  </si>
  <si>
    <t>114524[1]-017.001</t>
  </si>
  <si>
    <t>114524[1]-018.001</t>
  </si>
  <si>
    <t>114524[1]-022.001</t>
  </si>
  <si>
    <t>114524[1]-023.001</t>
  </si>
  <si>
    <t>114524[1]-024.001</t>
  </si>
  <si>
    <t>114524[1]-025.001</t>
  </si>
  <si>
    <t>114524[1]-027.001</t>
  </si>
  <si>
    <t>114524[1]-029.001</t>
  </si>
  <si>
    <t>114524[1]-030.001</t>
  </si>
  <si>
    <t>114524[1]-032.001</t>
  </si>
  <si>
    <t>114525[1]-001.001</t>
  </si>
  <si>
    <t>hpRPII140 v2</t>
  </si>
  <si>
    <t>pDAB114525</t>
  </si>
  <si>
    <t>114525[1]-002.001</t>
  </si>
  <si>
    <t>114525[1]-006.001</t>
  </si>
  <si>
    <t>114525[1]-012.001</t>
  </si>
  <si>
    <t>114525[1]-014.001</t>
  </si>
  <si>
    <t>114525[1]-015.001</t>
  </si>
  <si>
    <t>114525[1]-016.001</t>
  </si>
  <si>
    <t>114525[1]-017.001</t>
  </si>
  <si>
    <t>114525[1]-018.001</t>
  </si>
  <si>
    <t>114525[1]-019.001</t>
  </si>
  <si>
    <t>114525[1]-020.001</t>
  </si>
  <si>
    <t>114525[1]-021.001</t>
  </si>
  <si>
    <t>114525[1]-023.001</t>
  </si>
  <si>
    <t>114525[1]-025.001</t>
  </si>
  <si>
    <t>114525[1]-030.001</t>
  </si>
  <si>
    <t>114525[1]-032.001</t>
  </si>
  <si>
    <t>114525[1]-034.001</t>
  </si>
  <si>
    <t>114525[1]-035.001</t>
  </si>
  <si>
    <t>7SH382</t>
  </si>
  <si>
    <t>inbred line</t>
  </si>
  <si>
    <t>neg control</t>
  </si>
  <si>
    <t>7sh382rw</t>
  </si>
  <si>
    <t>inbred line RW</t>
  </si>
  <si>
    <t>pos control</t>
  </si>
  <si>
    <t>B104</t>
  </si>
  <si>
    <t>non transformed</t>
  </si>
  <si>
    <t>101556[708]-11157.001</t>
  </si>
  <si>
    <t>101556[708]-11158.001</t>
  </si>
  <si>
    <t>101556[708]-11159.001</t>
  </si>
  <si>
    <t>110853[11]-396.001</t>
  </si>
  <si>
    <t>110853[11]-397.001</t>
  </si>
  <si>
    <t>110853[11]-398.001</t>
  </si>
  <si>
    <t>110853[11]-401.001</t>
  </si>
  <si>
    <t>114546[1]-003.001</t>
  </si>
  <si>
    <t>hpDre4-1 v1</t>
  </si>
  <si>
    <t>pDAB114546</t>
  </si>
  <si>
    <t>114546[1]-004.001</t>
  </si>
  <si>
    <t>114546[1]-005.001</t>
  </si>
  <si>
    <t>114546[1]-006.001</t>
  </si>
  <si>
    <t>114546[1]-007.001</t>
  </si>
  <si>
    <t>114546[1]-010.001</t>
  </si>
  <si>
    <t>114546[1]-012.001</t>
  </si>
  <si>
    <t>114546[1]-014.001</t>
  </si>
  <si>
    <t>114546[1]-016.001</t>
  </si>
  <si>
    <t>114546[1]-018.001</t>
  </si>
  <si>
    <t>114546[1]-019.001</t>
  </si>
  <si>
    <t>114547[1]-010.001</t>
  </si>
  <si>
    <t>hpDre4-1 v2</t>
  </si>
  <si>
    <t>pDAB114547</t>
  </si>
  <si>
    <t>114547[1]-013.001</t>
  </si>
  <si>
    <t>114547[1]-016.001</t>
  </si>
  <si>
    <t>114547[1]-017.001</t>
  </si>
  <si>
    <t>114547[1]-018.001</t>
  </si>
  <si>
    <t>114547[1]-021.001</t>
  </si>
  <si>
    <t>114547[1]-023.001</t>
  </si>
  <si>
    <t>114547[1]-025.001</t>
  </si>
  <si>
    <t>114547[1]-026.001</t>
  </si>
  <si>
    <t>114547[1]-027.001</t>
  </si>
  <si>
    <t>114547[1]-028.001</t>
  </si>
  <si>
    <t>115770[1]-001.001</t>
  </si>
  <si>
    <t>hpRop v3</t>
  </si>
  <si>
    <t>pDAB115770</t>
  </si>
  <si>
    <t>115770[1]-002.001</t>
  </si>
  <si>
    <t>115770[1]-004.001</t>
  </si>
  <si>
    <t>115770[1]-005.001</t>
  </si>
  <si>
    <t>115770[1]-007.001</t>
  </si>
  <si>
    <t>115770[1]-008.001</t>
  </si>
  <si>
    <t>115770[1]-012.001</t>
  </si>
  <si>
    <t>115770[1]-014.001</t>
  </si>
  <si>
    <t>115770[1]-015.001</t>
  </si>
  <si>
    <t>115770[1]-018.001</t>
  </si>
  <si>
    <t>115770[1]-019.001</t>
  </si>
  <si>
    <t>115770[1]-020.001</t>
  </si>
  <si>
    <t>115770[1]-022.001</t>
  </si>
  <si>
    <t>115770[1]-024.001</t>
  </si>
  <si>
    <t>115770[1]-027.001</t>
  </si>
  <si>
    <t>115770[1]-028.001</t>
  </si>
  <si>
    <t>115770[1]-029.001</t>
  </si>
  <si>
    <t>119706[1]-001.001</t>
  </si>
  <si>
    <t>hpncm-1 v2</t>
  </si>
  <si>
    <t>pDAB119706</t>
  </si>
  <si>
    <t>119706[1]-002.001</t>
  </si>
  <si>
    <t>119706[1]-003.001</t>
  </si>
  <si>
    <t>119706[1]-004.001</t>
  </si>
  <si>
    <t>119706[1]-005.001</t>
  </si>
  <si>
    <t>119706[1]-006.001</t>
  </si>
  <si>
    <t>101556[709]-11359</t>
  </si>
  <si>
    <t>101556[709]-11361</t>
  </si>
  <si>
    <t>101556[709]-11362</t>
  </si>
  <si>
    <t>101556[709]-11363</t>
  </si>
  <si>
    <t>101556[709]-11364</t>
  </si>
  <si>
    <t>110853[12]-454</t>
  </si>
  <si>
    <t>110853[12]-455</t>
  </si>
  <si>
    <t>110853[12]-456</t>
  </si>
  <si>
    <t>110853[12]-457</t>
  </si>
  <si>
    <t>110853[12]-458</t>
  </si>
  <si>
    <t>110853[12]-459</t>
  </si>
  <si>
    <t>119706[1]-001</t>
  </si>
  <si>
    <t>Ncm-1 v2</t>
  </si>
  <si>
    <t>119706[1]-002</t>
  </si>
  <si>
    <t>119706[1]-003</t>
  </si>
  <si>
    <t>119706[1]-004</t>
  </si>
  <si>
    <t>119706[1]-005</t>
  </si>
  <si>
    <t>119706[1]-006</t>
  </si>
  <si>
    <t>7SH382RW</t>
  </si>
  <si>
    <t>Injection</t>
  </si>
  <si>
    <t xml:space="preserve">Rop </t>
  </si>
  <si>
    <t xml:space="preserve">Dre4 </t>
  </si>
  <si>
    <t xml:space="preserve">ncm </t>
  </si>
  <si>
    <t xml:space="preserve">RPII-140 </t>
  </si>
  <si>
    <t>Feeding</t>
  </si>
  <si>
    <t>Mean</t>
  </si>
  <si>
    <t>Rop seq 1</t>
  </si>
  <si>
    <t>Rop seq 2</t>
  </si>
  <si>
    <t>8/13//2014</t>
  </si>
  <si>
    <t>9/24//2014</t>
  </si>
  <si>
    <t>11/26//2014</t>
  </si>
  <si>
    <t>Rpb7 v1</t>
  </si>
  <si>
    <t>RpII 140</t>
  </si>
  <si>
    <t>GGTGTAGTTCTAGACTCAGGAGACGGTGTCACTCATTCAGTGCCTATATACGAAGGGTTTGCTCTACCCCACAGTATTATGAGATCTGATATTGCAGGAAGGGATATTTCTAGATATTTAAGATTGCTTCTAAGAAAAGAAGGAATCATTTTCCGTACTACTGCTGAGTTTGAATCAGTTAGAACCTTAAAAGAAAAAGCTTGTTATTTATCGAACAATCCAATAAAAGAAGAATCAGTTGAGACAGAGCAGATTAATTATACCCTTCCAGATGGTACAGGAATCAAAGTAGGACCTGCAAGGTTTAGAGCGCCTGAGATTCTTTTCAAACCTGACATGATAGGTGAAGAGTGTGAAGGCATCCATGAAGTGTTGTTGTTCTCCATACAGAAGTCTGATTTAGACC</t>
  </si>
  <si>
    <t>GCCGAAGAAGATGATATTAAGCCGTTTTTGGATAGGATGACAGACAAGACTCTAAAAGAAACATTATCCCAAGGCGTGGCTTATATGCATGAAGGACTAACTGCTAGCGATCTTCGCCTGGTCGAACAACTATTTGATTCTGGAGCAGTTCAAGTTGCCGTCGTCACGAAGGATCTCAGCTGGGCCGTCAATATTTTCAGTCACTTGGTTGTCATCATGGATACCCAATATTACAACGGTAAAGTACACGCCTATGAAGACTATCCTGTGACGGACGTTCTGCAAATGGTAGGAAGAGCCAACAGACCTCTTGAGGACGATGATGCCAAGTGCGTGCTGATGTGTCAAAGTTCTAAAAAAGACTTTTTCAAGAAATTTTTGAGCGATCCGTTACCAGTAGA</t>
  </si>
  <si>
    <t>GGTTCTGATATTGATACTAGGCGAAGAGCTGCTTGTGATCTCGTAAATACTCTCAGCCAGAACTTTGAACAAAGAATTATAGACATATTTGGTCAATATTTACAAGTGATGCTTGGAAAATATGTGGAAAATGCCAAGCAGTATTGGAGAAGCAAAGATGCTGCATTATATCTTGTAACCTCATTAGTTAGTAGAGGTGCTACTCAAAGACATGGAGTTACACAAACTAGTCAGCTGGTCGATATAAATCAGTTTTGCCAACAGCACATATTGTCAGAATTAGAGAGGCCTGATGTTAATGATTTGCCCGTTTTGAAAGCAGATGCCATAAAATACATCATGACATTTAGATCAGTGCTGCCAAGTGCCATTGTAATTTCTACGATTCCACAATTAATAAGGCACATGACTAGTGAAAGTGCGGTGGTACACACTTATGCCGCTTGTACATTAGAAAAAATTTTAATTATAAAGGCCAATAATCAGCCAATAGTCACTGGTGCCCACCTGG</t>
  </si>
  <si>
    <t>GTAACTGCATCGCAGTTAATAAATGCAAATGATCCTGTAGAAGTAGAAAAACATCGCCAGAAATATCAGAATTACACTGGAGAAATACCGCCAGAATGTCCCATGCACCAAAAGGTACAACAAAAACAAGTGGAATCTGGTTGTCCAGTACAGGGCAATGACGATATAAATCCCTTAAACATGATGGGACCAGCCAATCAAAAGCCATCACCAGGACAACCCTTTCCCTTATCCACTGATCGCCAGGTTTCAACAATACCTAAAGCTATAATAAAAGAAGGAGAAGGACACTTTTGGGTATATCCTAGTCCACAGATGTTTTGGAATGCCATGCTGAGAAAAGGTTGGAAATGGAGAGATGAGGATATTA</t>
  </si>
  <si>
    <t>CAATGCTTCGGAAAGGATGGCAATGGAAGAAAGACGATTTGAAACAGAACGACATGGATAACATAATCAAAATACACAACGCTAACAATGAACAAGCTTGGCAGGAGGTTTTGAAATGGGAAGCTCTACATGCCAGGGAATGTGGAGATCCGAAATTGAAGGGTTTCGGTGGAAAGGCAACACAATACAGTCCTCGGGCTAGGATACTAAGCTGGATGGGTTACGAATTGCCGTTTGATCGTCATGATTGGATCGTTGATCGATGTGGGAAAGAAGTTCGCTATGTAATCGATTATTATGATGGCGGTATGCCCGATAATAATTTCAAATTTGCCATTTTGGATGTGCGACCCGC</t>
  </si>
  <si>
    <t>GATAGAATACTGCCTAGACTACAAGCACGCTGTGAACTTAAACCTACTCTAATGCATTTTGCTCCATATACCAAACCTCAAATTATAGAAATTTTTACCTCACGACTTAGAGCAGCTAACGTGTTAGACATTTTCTCACCGGCAGCAGTGCAGATGTTGGCCGGTAAGGTAGCAGCAGTATCTGGAGATATCAGAAGGGCGTTGGATATAGGAAGAAGAGTTGTAGAATTAGCAGAACGAAGCAAGAAAACTGGAGCTTTGAAATCAGTGGAAAATCTTGCGAATCAATTGGTTGATGAAGAAACTAAGACTGTAGACCTGAAACAAGTATTAACTGTTTTGAATAGCGTATATGGCACCTCCCAGAATCTGGACGACAACACTGAAGACTCTTTTCCACTTCAACAAAAAATTAT</t>
  </si>
  <si>
    <t>GGCGACTGTAACTTCGGTAATGCGACAATTAGAGTCTAGTAAAGGTGTTCCCAAATTCAAATTTGTCAACGTTAATGGAATGCGTCTAACAGAACCTAGGCAAGCTTATGTTGAGATTTTGAAACAACTTACAGGAAAAACAGTTTCATGGGAACAAGCTCAAAATAGTTTGGAAGAAATATTTGTTAAGTCTAAAAAGAAAGAATCTATAGTTATGTTAATAGATGAGTTGGACATTTTATGCACCAAACGACAAGACGTAGTATACAATCTTCTAGACTGGCCTACCAAAGCTAAAAATCAGTTAGTTGTGATTTCAATAGCCAACACCATGGACTTGCCAGAAAGGTTATTGATGAATAGAGTGACTAGTCGTCTAGGACTGACCAGGCTAACATTCCAAGCATATACTTTTAAACAACTGCAAGAAATAGTCATGAAAAG</t>
  </si>
  <si>
    <t>AAGAAGAGGGACCCTAATGAACCACAAAAACCAGTTTCAGCGTACGCGCTGTTCTTTCGTGACACTCAAGCAGCTATCAAAGGACAGAATCCAAACGCTAGCTTTGGTGAAGTTTCTAAAATTGTGGCTTCCATGTGGGACGCTCTAGATTCCGAACACAAAAATGTATACAAGAAGAAAACCGAGGCTGCCAAGAAGGAATACTTAAAAGCTCTGGCCGCTTACAGAGCGAGCTTAGTATCTAAAGGTGCTGGAGAAAACGAGGGAATGTACAGTAATTATCCGAACTACCAAGGCGGCGCACCACAACAATATTCGTCATACCAACCACAGGGTACCATACCGTCACCGCCCATGTCTGCCCCGCCGTCTGCTACCCCT</t>
  </si>
  <si>
    <t>ACGTTGATTTGTCCTTAAGCATACCGCAATCAAATTTCCAATCGAACGGATACGACATGGGCGATCAGACTTTTCATACTCCCAGTTTCGGTGATGAGGAATTCGACATACCGGCCATCAATCCACAACAGCAACAGCAACAGGGCCATTCCGATCAGCAACACTATCAGCCTCCTATGCAGGGCATGCAACAGATGAATCAACAAATAAACCAGCAGCAGGATGCTCTAGGCATGCACGATCCGACAGGAGGGTTTCAACAACCCCTGTATTTATCGGGGCCCGATCACAGCATGGTCAATAATTCGTATC</t>
  </si>
  <si>
    <t>CTAATGGCCATGGTAAAACAACACTGCTGAGACACGTAGCACAACGTGCATTTGATATTCCCCCAAATATCGATATTCTCTATTGTGAACAAGAAGTCGTGGCAGATGATAATACTGCTGTTGAAACCGTCCTAGCAGCCGATGTCAAACGTAATGATTTATTAGCCGAATGTAAAAAATTAGAAGCCGCTGCTAATAGTGGAGATTTAGAAATTCAGGAGAGGCTTAACGAAGTTTACAGTGAACTTAAAGCTATAGGGGCCGATTCTGCTGAACCTAGGGCTAGGAGAATTTTAGCTGGTTTAGGATTCGATAAGGAAATGCAGGATCGTGCTACCAAAAATTTCTCTGGAGGTTGGAGAATGAGAGTATCTTTAGCAAGAGCATTGTATATTGAACCAAC</t>
  </si>
  <si>
    <t>TCATTGGGAAGACATAGGTAGCTGTAGAGAGCAACTTCCTCTGACAATGGAAAATTATATGACCTATGACGAACTTAAGTTATCATCTCTATTAGCGATTAGTTCTTATACATACTTTATTAACGAAGGTCATCGAAAAAATAGGGCAGAACATCAAGAAGATAGGAATAAAATTGAGGAAGAAGGAATAATAATAGGTTTGGTGGGACCACGACTTCATAAAACGGGAGCTGTAGAAAACCAAGAAATAGTATATTCTAAGAGACAACATTCGGCTGATAATGGTTACGGCAGATCCATAAAAACAAGTTTACCAAAGTTATTCGCCGATTTTTACGAAGAAGAATGTTTAGATTATCATGAAATGAACAAAAAGAAACACTCTGGCTCGAATGGTCGGTATGTCAATCTGTTTGGACAGGAGAACATTTTTGATAACA</t>
  </si>
  <si>
    <t>AGGTGAGGTCATTCTCTTACAAGTAAAACAGAAACTATCATGACTGAAAATACGAAATTTCGTTGGCTGTGTAGTTTGTTAGTGTTGGTGATACTCGTGGGGAAAGTTGTGCCACAGGGATTTCAGTTTACCAACCCGATTAGGTTTCCCTATTCTAATACAGGAAATCCTTATATTGGGATGTTTGTGGCCATTGCGGTACCAATTGATCTAAGAGGTCCGGCAGATCTTTTCTTTTCTGCAAATTTTGAAAGTTCCTACGGTCTACCC</t>
  </si>
  <si>
    <t>TTCCAATATCCAGGGGGCTCAGATCCTTTTATGGGGATTTTAGTAACGGTGGCAGTTCCTGTTGAAGCCGGAACTCCTGGAGAAGTTTTACTGTCAACCCTTTTGGAAGCCAACTATGTGATTCCAAGTAACCAAACTCGGTTTACCTGGCCACCCGATTACCCTGCAACTACTTCAGAAAGGATGTTTTTATACAATTTATTTAAAAGAAAAATTGAAGACTTTGGGTTCCCTGGGCAAAGTTGTCTGCTAAGGGCAATATGTGAATCAGCACAAATGAGCAGCCAGCATACAGGTCTCCTTGGGGATATTCTTCATATCCTATTAACACCATCTAGTTCCAAAATGGAGGAGCAGCTTGTTGAATACGAAGAAGCTGAACGCCAAGGAAAAGAAAACACATGTGAAAAATACTATAAGAAATGCCCCCATAGCATATTAGACTCC</t>
  </si>
  <si>
    <t>TCAATAAAGCTTTTTTCTGCTTCTTGGTAAGCGACTTTAAAAATGTGGTTTCTTCATTGGCATCTTCATCTTCACTAACTAAAAGATGCTTGTTAGCTTCAACAGTATTAACATGTTGTTTTTTTAAAGCCAATCCATCATCCAACATCTGTTGCACCAGAGACTTTTGGTCCATTACTGTGGCATTTTCTAAAGATCTGGCTGCACTCATTGAAAGACTGTACATTGGACATTCCTTATCTGTATTGATATGGCCCCACTTGTGACATTTAATACATCTCACATTTCTCACTTGAATTCCAAACGGCTGATCTCGAATTTCTTGATCTCCTTTACAATAACTCTCCCTAGGAGCATTATACTTTCTTTGCCATTCAAATTTGTATTCGGGCTCATTATCCTCTCTCTCCCTTTCCTTTCTTGCTCCAGGAGGAGGTTCGTA</t>
  </si>
  <si>
    <t>GTGTTTTTGTATGACAAATATGAAGAATATGATAACGCTGTGTTAGCCATGATGGCTCATCCCACCGAAGCTTGGCGCGAAGGTCATTTCAAGGATATTATTACAAAAGTTGCCAATATCGAACTTTATTATAGAGCTATTCAATTTTACTTGGATTACAAACCGCTGTTGTTAAATGACCTTTTGTTGGTGTTGGCACCCAGGATGGATCATACTAGGGCTGTTTCTTTCTTTACAAAAACAGGACACTTACAGTTGGTTAAATCCTATCTCCGGTCTGTGCAAAATTTGAACAACAAAGCTATCAACGAGGCCCTCAACTCTCTACTTATCGAAGAAGAAGACTTCCAGGGTCTGAGAACGTCCATCGACGCCTTCGATAACTTCGACAACATCGGCTTGGCTCAGAAATTGGAGAA</t>
  </si>
  <si>
    <t>CCCGGGCAGGCAATGACTACAGCTCCTACTCCAGTGACATCAATGGATGAGAAAATAAGCAACCTTCAGCTCCAGCAAGAGTTAGAAAATAGAAGTCAACAAATAGTTGATTTAGGAGAGAAATTAGACACATTAAAGATCAAGAGGCAAGAGGATAAAGAGAGACTCAAGAACTATGAGAAATTAACTATACAGCTTGAGCAACTGGTGGAGTTTAAGTCCAAGATCATGAGCAGCCAAGCTATGTTGCAGCGTGAGCTACAAAAAGCCAAACAGGATGCCAAAGAAGCAATCGAAGCGAAAGAAACGCACGCAGAAGAAGTGGCCGATCTTGCAGAAGCTGTAGAAATGGCAACTTTGGACAAAGAAATGGCCGAAGAGAAAGCAGAAACTTTGCAGTTGG</t>
  </si>
  <si>
    <t>AGGATAGTATGGATAGTTCTACCGATCGACTAGAAGATGACCATGAAAGTAGTTTCGGTTCTCGTCCTGATTTGTCAAAGTTCCATGATGTTCCCGTCCCCGATTGGGTAGTGCTAGGAGAAAGTGTTCTTATTAGACCTTACAATTCTTCTGGAGTTGTGGCATTCATGGGAGAAACCGAATTTTCGACTGGGACTTGGATAGGCGTCGAACTTGATGCTCCTAAAGGTAAAAATGATGGCAGCATAAAAGGAGTACGGTATTTCACTTGTAAACCAAAATATGGTATGTTTGTAAGAGCAGACAAACTAATCCTTGACAGACGAGGTCGAGCTATGAGGCTTGATAAGGCTGAAGCTCTTGCCAACAGTAATAAATGTTCTCTCAGCAAAGATTCAAAAAGCC</t>
  </si>
  <si>
    <t>CTTCATTTCTGCCCATAGTTGTACCGGGATGGAAAAAGTTAATACGCAAATAGGTGTAGTCTCCCTCAATAGATTGAGAAATATTTTTGATTGTAGAAATATGGAAAGGTACCGCAATTCCATAAATAGGTAAAATAACAGTTTCATACTTCTGGTCCACATATAATTTTAGTTCTTTTACCTCGGGAACTCTAGGCATTTGATTGACACTTTTGTATGACACAGTATTTTTTCTCACTTTCTCTTTATCTTTAGATCCAGATTGTTTTGCCAAACGCTCTTTTGCTTTTTCATTTAGTTGAGCTGCCAATTCTTTCTGGTGCTCTTTTCTTTTTTCTTCGGTGCTGTGTTCAGTACGCAGTTTTGATTCAATAACAGCAGTTCTTTTACCCCTTCCCAAAATTTCGGTCTTTTTCGGAGTGTTTTCTTTTTCCTCATCATTTTCTTCTGCGTCAGAAT</t>
  </si>
  <si>
    <t>TTCAGCAAATGGAGCCAATATTTTACTTAAATACACCAAAGTAATTGAAGAAGCTTATCCTCCAACCAAGGGTTCTGTAAAAGCTGCTGGTTATGACTTAAAAAGTGCACATGATGTCGTGGTACCGGCTAGGGGCAAAGCCCTGGTGGATACAGGGCTGAAAATTGAACTACCAGAAGGTTGCTATGGAAGAATTGCTCCAAGATCTGGTTTAGCTGTAAAGAACTTCATTGATGTCGGAGCTGGAGTAGTTGATGAAGATTACCGTGGCCTACTGAAGGTTGTTCTATTCAACCATTCCGACAATGATTTTGAAGTAAAGAGTGGAGATAGAATTGCTCAGCTGATCTGTGAAAGAATCTTTTATCCTGAACTTGAAGAAGTAAAGGAGTTGACTGATACTGCCCGTGGTGAAGGAGGCTTTGG</t>
  </si>
  <si>
    <t>ATTTGAATTTGAGGAACCAAAACCTCTATCTCCTCTATCGGTGCAACTAAGAATATTGACTTCTTCAATTTTTGGAATTGCACACTTTTCAAAAATAAACTGAGCAATCTTGTCACCTCGAACAAAGGATGATTCATTGTTCGAGGAATTATATAACAAAATTTTTACTGTTCCCCTGTAATCAGGATCTATTACTCCAGCCAGAACATCAATCCCTTTATTAAGAGCCAATCCTGATATAGGGGCAATTCTACAATAGACCCCTTGGGAAAATTTTATTTTTAAT</t>
  </si>
  <si>
    <t>TCTTCCGTGTCGCTAGAAGAATCCGAACTGGAACCGGATGTACTCGTTTCTGATTTGGCAGGTATATTATTAACGGCAGGGGCTCCTACCCTATTGACAGGTTCATCGGGAATCTTTGCATATTTCACTTCAAACACATCCTGCAACTTCCTCGCCATAGCAACCACATCGTGGTCAGAAGGGTTGTACTTGTAACAATTACTAAAAATCAGTCTAACGTCGGCGGCAAAGTCTTGAGGAGTGCGATACTCTCGGTTTTCCATTTTATTTTTTACAGTACTAAAATCCATCGGTTTCTTTATGATGTCGTGGTAGTCGTGCAGACCGAGTAATTCTGCGTCTACGGGTTGATAAAAAGGCCAGGCGTAACTAGAATGTTTCTTAGAGAACAATTCTAGGAGGATTTCATTGCAGGCTTTCAGTGATTCTGGTAGTTTTTCTTTTG</t>
  </si>
  <si>
    <t>ACTTCCTCGCCATAGCAACCACATCGTGGTCAGAAGGGTTGTACTTGTAACAATTACTAAAAATCAGTCTAACGTCGGCGGCAAAGTCTTGAGGAGTGCGATACTCTCGGTTTTCCATTTTATTTTTTACAGTACTAAAATCCATCGGTTTCTTTATGATGTCGTGGTAGTCGTGCAGACCGAGTAATTCTGCGTCTACGGGTTGATAAAAAGGCCAGGCGTAACTAGAATGTTTCTTAGAGAACAATTCTAGGAGGATTTCATTGCAGGCTTTCAGTGATTCTGGTAGTTTTTCTTTTGGTTTAAGTGGAGGGGGTTGTGGCGGATGACCGTCCAGTTCTGGCCTGGTGGGCTTTTTGATTTGCCTACCGGACTCTCGGCGCGTCGATATCTTTGCAGACTTCGACTCCAAAGTTGGCGGATAATCGTAGGCTGTAGCAGGCGTCGTAGTATCGGCCTTTCTTTTCACGCCCTTTTTTACC</t>
  </si>
  <si>
    <t>GGACTAGCTGTTTTATTGGCCAAAGAGGCTGCCTTAGGAAATAAGCTGTTGTCATTAAGAGAACCAAAAAGACAATGTAGAGAAATTACCAACCAAGTTTCAAGAAATCTTAACCAGCCTTTATTAACAGCGGAAGCAGACAAAGGTTATTGTTCTTGTCCTCCCTTCGAGTGCATCTGCAGTTACCAACAGTCGGTACTCCCAAATATCAACCAATTTCCTACATCTCCAAATACATACCAACAACATCATATGCCAGAAACATACTGGGCTCAAGAGCCATCAATTCAACACTACCAAGCTCCTATGGAACAACCGTTGAGTAACCACCAGTATGACTTCACGAACATTTCAACTGATCTGTTTCAACCGGAAGAAATATTCCAAATGGACCAACCGGTGAAACCG</t>
  </si>
  <si>
    <t>GGGTGGTGGTACTTTTGATGTGTCCCTTTTGACTATTGACAATGGAGTATTTGAAGTAGTTGCTACCAATGGAGACACTCACTTGGGTGGTGAAGATTTCGATCAAAGAGTTATGGATCATTTCATCAAGTTGTACAAGAAGAAGAAGGGCAAGGATATCAGAAAAGACAACAGAGCCGTCCAGAAATTGAGAAGAGAAGTTGAAAAGGCCAAGAGAGCTTTGTCTTCCAGTCACCAAAACAGGATTGAAATTGAATCCTTCTTTGAAGGTGATGATTTCTCTGAAACTCTCACCAGAGCCAAATTTGAAGAATTAAACATGGATCTTTTCCGTTCTACCATGAAACCAGTACAGAAAGTATTAGAAGATGCTGACATGAACAAGAAAGATGTAGATGAAATTGTACTTGTAGGTGGTTC</t>
  </si>
  <si>
    <t>CACAGTACCTGCATATTTCAATGACTCACAACGTCAAGCTACCAAAGATGCTGGAACCATTGCTGGACTCCAGGTATTACGTATTATTAACGAACCCACTGCTGCTGCCATCGCCTATGGTTTAGACAAAAAGGGCCAAGGTGAAAGAAACGTCCTCATTTTCGATCTGGGTGGTGGTACTTTTGATGTATCAATCTTAACAATTGAAGATGGTATCTTTGAAGTCAAATCAACTGCTGGAGACACTCACTTGGGAGGTGAAGACTTCGACAACAGAATGGTCAATCACTTTGTTGGAGAATTCAAGAGGAAATACAAGAAGGACCTTACCACAAACAAACGTGCCCTCCGTCGTTTGAGAACAAGCTGTGAAAGAGCTAAGCGTACCCTTTCCTCATCAACCCAAGCCAGCATTGAAATCGATTCTC</t>
  </si>
  <si>
    <t>CGATACCAAACTTTTTCATCAACATTATAACCTTCTACAACATCTAATGATTGTCTGAGATATCCACCGGCTACATATATTACTCTAGGAATATTGGGACATCTTTCTTTTACGCCAGTTCGAACGTGTAATGTTAAATCCTTAAATATTCTAGCTAAGTACTCTTTACATGCTGGAGTTTTCTTGATTACTTCACAATTGGTCATTTGATCGTTTAAAAACTTTGGAGGTAGAAATTGACATCGAACAGCACTAAGAATTGGTTCCATTTTCATATATCTATTTTCTTCGTCGTACTTTACCCATTTCAATACGGCGTTATATACTTCTTTCTCATCTTGTACGTTCAGTTCGTCTTTTTTTATT</t>
  </si>
  <si>
    <t>GGATTCGTCGATTCAAAGTAGTGTACATGTGCAACAAAAGTTCCTGAAAAGATCCGCCGACGAGCTGGACCCCGGCGGGGCTCCCAACGAGAGTTTCGAACCGCCCGTGAAGCTGCAGTGCTCCAACGAAGGGCTCACCAAGTTTTCCGTGGAGATCGTCCAGCAACTGGAGTTTACGACCTCGGCGGCCAGCTCCCAGCCCCAGCAGATTTCCACCAACGTCACCGTCAAGACGCACGCCAATGCGTCGGTCAAGAGCGACGTTTCGTCCCCCAAAGCCAATCCGGATCATCAGAAGACCACTTCCTCCTCAAATATTGGTCTGGACGTCGGCACTTTGGTAGAATGCGTGAAGCAGGAACCCGACAACGATTTCGCCGACTTGGACCAATGCGC</t>
  </si>
  <si>
    <t>GCCAATCCGGATCATCAGAAGACCACTTCCTCCTCAAATATTGGTCTGGACGTCGGCACTTTGGTAGAATGCGTGAAGCAGGAACCCGACAACGATTTCGCCGACTTGGACCAATGCGCAGCCGCGCTAGAAAAGGATGCCGCCGCGAACGGAGGCGCCGGCTTCGGGGGATTCCCCGATCTGATCGGTGACGACACCAACGACGAGATCATCTCGTCGGCCACCTTCAAGGATCTCATCTCCGATATCTCGAATTATCACGACTACGAACTCATGAAAGACTTCGATTTCGAAGACAAGCTCGACATCAAGGTCGAGGATATCAAAAACATTCCCACGTCTCAGGAATCCAAAACCACGACGTCTAGCCCTCTCCTGCAACAAAACAACCCC</t>
  </si>
  <si>
    <t>CACTGTAAGCTCCGCTACTATCCCTTCCAAGAGCAGCATAATGTTGTAAACCATTACAACTACCGTCTTGATGGATCGGAAAATGGCTTAAAAACTTTTCGGGTTCTGGAGAACGTACAATGTCCGCGATTTCCATGCAACAGGAAAGAGTCTGCCACGGTTCATCCGACTGAGCCCACCAACGTCTACCTGTTAAAGGTTTGTCAGCAGAATCAAGAATATCTGGTAGTATGTCGTTAGCGTATTTTAACCTTTCTTTAACAGAATCGTTCTTCTTTAATCCAGTCAAATTAATAAGATGAATTTTTATCCAATCAAGTCCATTAGGTCCTAGAGGTCGAGGTTCGGCAAAAATTAGCATAGATCGAGCCAAATCGGAACCTAAATGGTTCAAATGTGGCGGCACGGGATAAACTCTTCCTCTGAAGTCCATATTATGAGGTAACCAAAAAATTGTATCACGAAAATGATTCGCCAAGGATAATCGGTATAAACAATCAC</t>
  </si>
  <si>
    <t>CAGCGGCAATACTGTCCAGGACGCGTTTAAGTCACTCTGTAATGTATTGGAAGAGAGAGAAAATGAGATTAACAAAGTAACAACCGCAGCTTCGGTTCTGTTTGCTACAGCGATTTGCGAACATCTCGTACCCCTTTCCGACGTTGCCAATTTGACTGAGAACGGAGCACACCACCCACTGTTCCTGTTAGTATTGCAGAATATACACAAGAAGAGGGGAAAAAGCGAATTATCGGAAATGTTCGGAAAGAGTAAGATCAACTTGATGAGCCAACTGCCAGATTGTGATAAGACTAAAGAACGGTTGTCAGAAATTCTAGAAGAAAGAGATCTAACGTTCCTATATCCATTGCTACGTATACAAGCTGATCTTGCTCGTCAACTTCAAGCCGATCCCAATCCACAAGCGTTTTACAAGTGGATCAAAGAAAATCTAGAACCTTCAAATTTTAACGATCCCGGATTCATAAACGCTCTTATGACTGTTTTGTTG</t>
  </si>
  <si>
    <t xml:space="preserve">GGCTGCGTAAACGTTTGTAAAAGTAGGAGATGCTGCTTGTGCTTGTATTATTGACTTGCACAGCAAACCTCTACCTCTTACTATATTTTCATGCAATAATTCTCTGGCGATGATGCCAATATTCGAGGTGTTAATTTTATTAATGTAACCATGAACGGATTTCTTTAAGGCTTCCCATGCTATACGCTGATAGGCTGCTGATGTTTTGTCTGTAATACTGGCTTGTAACAATCGTAGCTTAGCTGGGGGAATATAAGCACCACCAGTCCTCGATGTTAACATATCTACAGTTTTTCTTTCTCTTGGTTTGATGACTGATTTATCAGGAACAGACTCCATTGGCTTTGGTAACTCCTTCTCCTCTGAATTTCTATCTGGCCCCTTCTTGCCAGATTCTTCGGGAGCCGCATC
</t>
  </si>
  <si>
    <t xml:space="preserve">GGCTCGTCCCAAAAAGACCCGATATACACTCTAACCACTTCAGGAGTTTGTAGAACTTTTCCTAACGACCACATGAGGGCGCCATAGACACGCATCAGCTGCTGGTGATCTATCATGTCTGCCTTATTGAGAACTATCCTGATCTTGTCATCGTGGCCTCGCAGAGCTTCGATTGACCTTCGGAATTCGTCAGAAATGTCGAGTTTGTGGGCGTCAAAAAGGAGGATGATGCGGTCGACACGTTCTGCAAACCATTCTAGGACGCCGGTAAAGTCGTAGCCTCTGTCTATTCTTTGTTTTTCGCCTGATAATATTCCTGGCGTATCGATAATTGTCATTCCTTTTAACACTGACGAGTCCACTAAGGAACATTGAAACCTGTTCAGAAACGCGTTTCCAAAACAGGAAAGTGG
</t>
  </si>
  <si>
    <t xml:space="preserve">GGATCCCTCCAAACGAGAGAAGTCGAATGGGAGCTTTCGTATATGCAGGAGCACAATTTGGAACTGTAATATCTATGCCTCTTAGTGGTCTCCTATCAGAATGCAGATTTGGTTGGCCTTCAATCTTTTACGTTTTTGGTACTGTTGGCACCATCTGGTGTATATTCTTTTTACTTATGGTTCATGAGGACCCACAAAGCAACCCAAAAATGAAGGTTGAAGAGAGGCTTTATATACAGAAAGAGTTAGGAAGTAAAGTTGGATTGCCGATTCCACCAATCCCATGGATGTCTATTCTCACATCTATGCCATTCTATGCTATCCTTCTAGCTCACATGGGTCACAATTACGGGTACGAAACGCTTATGACAGAGCTTCCAACATATATGAAACAAATACATCAC
</t>
  </si>
  <si>
    <t xml:space="preserve">CCTCCGATCCAACTTGTAAAATATGGAACAGCCGAAAGCAAAGCATCCGATTGTATATCAAAGTGTAAAATTTGTGCCATATACGTTGGTAATTCTGTCAACTGGGTGTAAAATGCCCAAGACTGACCACATTGTGTTACTAATATAGCCCATAAAGGCATGCACCGTAACATATGTTTCCATGGTATTGAAGACGTATCACGGTCGTCCTGAGGTCCTATACTGGCTAAAATAAAAGCTTTCTCCTGAGGATCAATCCTTGGATGTGACATTGGTGTATCGTATATTAACAGCACCCAAAATAAGTACCAAACGATGCCCAACACTCCGAATATATAAAAACTTAAAGGCCAACCATTATCTAATTTTAGGGAACACAGCCATCCTGATATTGGTAACGAAAGGATCGTTCC
</t>
  </si>
  <si>
    <t>CTTGCAGTAGATTCCAGAGCTACTGGAGGCCAGTTTATTGGTTCACAAACAATGAAGAAAATTGTAGAAATCAATGATTTTCTGTTAGGTACTCTGGCTGGAGGCGCAGCAGATTGTGTCTATTGGGACAGAGTTTTGGCCAAGCAGTGTAGAATGTATGAACTCAGAAATAGAGAACGGATTTCAGTAGCGGCTGCTTCTAAATTAATGGCAAATATGGTTTACAATTATAAAGGAATGGGATTGTCAATGGGTATGATGTTAGCTGGATGGGACAAAAGGGGACCACAATTGTATTACGTGGACTCAGAAGGTCTGAGAACAGCAGGAAAAGTTTTCAGTGTTGGTTCCGGTTCCATATATGCTTTTGGTGTACTAGACTCTGGGTACAAATGGG</t>
  </si>
  <si>
    <t>GTATGACAGCTTCGACAATACCTACCAAGCAACAATAGGTATAGATTTTCTTTCTAAAACAATGTATCTAGAAGACAGAACAGTGAGGCTGCAACTTTGGGATACTGCTGGTCAAGAACGTTTCAGGTCTTTGATACCATCTTACATAAGAGATTCAACAGTAGCAGTAGTCGTTTATGATATTACTAACGCTAATTCTTTCCATCAGACTTCGAAATGGATTGATGATGTAAGAACTGAGAGAGGTAGTGATGTCATTATAATGCTGGTTGGTAATAAAACTGATTTATCTGATAAGAGACAAGTCAGTACAGAAGAGGGAGAACGAAAAGCTAAGGAATTAAATGTTATGTTCATAGAAACCAGTGCGAAAGCTGGCTATAATGTTAAACAACTTTTTAGGAGAGTAGCTGCAGCTTTACC</t>
  </si>
  <si>
    <t>CCACAACTGTTAGAAAAAGTCAAAACTAAACTGTATACCGAAGTTGAAGGAACTTGCACAGGAAAGTATGGATTTGTGATTGCAGTAACCACTATAGATAGCATAGGTGCCGGTTTGATACTACCCGGACAAGGCTTTGTAGTCTACCCGGTGAAATATAAAGCCATTGTGTTCCGTCCATTCAAAGGTGAAGTCCTGGATGCGGTGGTTCGACAAGTCAACAAAGTTGGCATGTTCGCCGAAATAGGTCCTTTATCTTGTTTCATTTCTCATCATTCCATACCCGCAGAAATGGAGTTTTGTCCTAACGTTAATCCCCAATGCTATAAGACTAAAGACGAAGATGTTGTGATACGAGCAGAAGGAGAAATCAGATTGAAAATAGTGGGT</t>
  </si>
  <si>
    <t>TTCTGCAGTAGAAAGAGGATTTTTCAGATCTGTGTTTTACCGGTCTTATAAAGACGCCGAATCCAAACGTATAGGAGACCAGGAAGAACAATTCGAAAAACCGACAAGACAGACGTGCCAGGGCATGAGGAATGCCCTTTACGATAAATTAGACGACGAC</t>
  </si>
  <si>
    <t>GCTACCAAGAAACCTCAAAAGCCCCAGGTTATTGAAAAACCAATTGGTGGAGAGAAAAATGGAGGAAAGAGATTTGTTTTGGTCAAGAAACGTAGAGCATCCTATCCTACCCAAGACAAAATTAAGGCCAGGCCAGCTAGGAGAACATTTAGCCAACACACGAGGTCTATTAGAAATACAATCACTCCAGGAACAGTTCTCATCCTTTTAGCTGGTTCTCACAAAGGAAAGAGGGTTGTATTCCTTAAACAACTGTACTCTGGTCTACTTTTGGTAACTGGACCTTTTGGAATTAATGCCTGTCCATTGAGACGTATTAGCCAACGTTATGTAATTGCTACATCTACCAAAATTGACGTTAGTGGAGTACAGCTGCCAGAAAACCTAAATGATG</t>
  </si>
  <si>
    <t>GGAGGTGATTGGGATAGAAGAAATCGTTTAAAAGTGTATCAAGGTGCATATTGTATGTCAGTACGAGACTTCAAATCAGCTGCTAACTTGTTTTTGGACACAGTAAGCACTTTTACATCATACGAACTAATGGACTATAAAGCATTTGTCAGGTATACTGTATACACCTCTATTATTAGTTTGCCAAGGAACCAATTAAGAGATAAAGTGGTCAAAGGTTCCGAAATATTGGAAGTACTGCATTCAGAACCATTTGTAAAAGATTACCTTTTTTCTTTATATAATTGTCAGTATGCTGAATTTTTCACAAATCTTGCAGAAGTTGAAACAGTTCTCAGAAAAGATTATTTCTTGAATCCTCACTATCGTTTCTATGTAAGAGAGATGAAGATACTTGCTTATACACAATTATTGGAG</t>
  </si>
  <si>
    <t>GTAGATGTCCTACCACCAGAGGCAGATTCTTCAATAAGCATGCTCCAGGCTGATGAAAAACCAGATGTTCAATACAGTGACATTGGAGGTATGGATATGCAGAAACAAGAAATTAGGGAAGCTGTAGAGTTACCTTTGACTCACTTCGAATTGTATAAACAGATTGGTATTGATCCCCCCAGAGGTGTGTTGATGTATGGACCTCCTGGATGCGGGAAGACTATGTTGGCCAAAGCTGTTGCTCATCATACTACAGCTGCCTTTATTCGTGTAGTCGGATCAGAATTCGTACAGAAATATCTTGGTGAAGGTCCTCGAATGGTTAGAGACGTGTTCCGTCTAGCAAAAGAAAATTCTCCAGCAATCATCTTTATTGATGAAATTGATGCAATCGCTACCAAACGTTTTGATGCCCAGACAGGTGCTGATCGTGAAGTCCAGAGAATTTTATTGGAACTGC</t>
  </si>
  <si>
    <t>GCAAATTTTGATCTATCATCTGGAAAATTATAATTGGAGCAGCTGTCCTAGAGTATGACTCCAAATGGGGCTCTGTGTTAGATCTCCATTCTTCTTTCTCAGATTTGAGTGTATTTTGCATCCATTCTGTATAATTAGATTCTATATTCTTCATATAATCTCCTTCTAATCTATCTAGAACTGCTTGAGGGAGTAAAGGGGATAGTTTTTCAGTATACAACGCCAAATCAGGGTGACCCAACATATCATTTGCTTGGTAGGTTTTCAACACCCAAGATAACATTGTTACATACTCATTACCTTTTAAACCATTTTGGATTATTTCTTGTAAATGCAAAGAAAGACACCCATGATACATATGTATATATCTATTCAATATCTTGTAGCTTGGTGGAAAACATGGAAGGCAAAGAGTTTTTACAATCCTCAAATCCTCCACAATGGTCATTCTGATTAATTCTAGGTATCTTATAAGCCAATGTTTATTGTCTTCCC</t>
  </si>
  <si>
    <t>GGCCTTAAAAGGAATGGAAAAAGTAGCCGAACATATTAATGAAATGCAGAGGATACACGAAGAATACGGTGCTATCTTTGACCACTTATTTAGGCAACACCAAAAATCATGTAAACAGACGATAGACCTGAGTCCTGGTGACCTTTTATATTATGGAGGAGTAGAGTGGCTCAACATTTCGGATTTCTTAGGAAAAATTAAAAAAGGATTGGAATTGCATGCTATGTGTTTTGTTTTTAAAACTGCCGTTGTATTCCTTTGTAAAGAGCGACTAAGGCAAAAGAAAAAACTTATGGGCGTCGCCAGTAAAAGTTCGTCGTCGGAGGTCGAAATAATTAGGTATCAGGTGCTGATCCCCGTAACGG</t>
  </si>
  <si>
    <t>GCTCAAGTAACGGAAATTCTGATCCAGAACAATCGTCACATCACTATGGCCGACATCGACATATGCACCCTCAGAACGCTAATACAACCCCAACGCCCGGATCTCCAACTAGCAGACTTCTCCTAGAATATGAGATGCATCTTAGAAACACGTTAGCTAAAGGAATGGATGCCGAAAGTTACAGCTTGCACACCTTTGAAGCTTTATTAACTCAAAGCATGGAAAATCTTGAATTTGCAGAAAGTTTACCAGGATCTACCCAAAGAAGTCCTTATCCCTCTAGAAAACGACCATCATCCAGTGCTTCCATGAACAAATCATCTACTTTGCCGTTATCTCACCGACTTAATGCGAATAACAGAGATAGAGTAGATAGAGATAGAGATGG</t>
  </si>
  <si>
    <t>CCCTTTGGAGTTGCCAGTATCAGGATCTCTCATAATCTTAGGTGTTTGTAATATTACTCCAAATGCGGAAAAAGTATCATAGAGTAATTTTTCGTCTACTTCTGGGTCTAAATTTCCAATAAAAATGTTAGCTCCTACGTCTAAGTTTTTCTGATGAGCCGAAGCTTTGTTTACTCTTATAGGCTTCCCATACAATTTTATCATATTCATAATTTTAATAGCATAATCTGCATCCTCCTCTCCCATAAATTCTACAAACCCATAGCCCTGGTGCATGGTCGTTACTCGATCTTTTGGCATATGTACATTGACTAAAGGCCCTGCTTGTACAAAGAGCTCCCACAATAAGGACTCCG</t>
  </si>
  <si>
    <t>GGATGGACATATTTATTACAATACGTTGATCAAGAAAATGACATGGAAGCTGCCAGAGAGGCTTATGACGCTTTCCTATCTCATTATCCGTATTGCTACGGTTATTGGCGAAAATACGCTGATTACGAAAAAAGAAAGGGAAATAAAAAGAAATGCGAAGAGGTATTTGAACGAGGTTTGAAGGCGATACCGTTATCTGTTGACTTGTGGATTCATTATTTGACGTACGTTAAAGTAACCCGAACCGACGATGAAGAATTTATTCGATCTCAATTTGAAAGGGCTGTAACATCATGTGGCTTGGAATTTAGATCTGATAGATTGTGGGATTCATATATCAAATGGGAAAGTGAAGCAAAACGATTGCAAAAAGTG</t>
  </si>
  <si>
    <t>ATTAAAGAAAATGGGAAGCGTGTAAAGCGTTAGCATATCTTTTAAATCTGAGAAATTAGTGATAATTCTATTTAAACATAGTAGATAGAGATTTAATAAAATGATGGAAACAGATGAACGTTTACACATTGATTGGGGCAATGATAAATTACATAGGACGCAAAAGCAAGTCGAAAGGAACCCTTACGACTTAGAATCGTGGTCTATTCTTCTTAGAGAATCCCAAATTAAACATATTTCAGAAGTTCGTGCCCTCTATGAACATTTGATTGGTATTTTTCCAAGTGCTTCCAGATATTGGAGGATATACATTGAACATGAGATGAAGGCAAGAAATTTTGAAAGAGTTGAGAAGG</t>
  </si>
  <si>
    <t>GGGTAAAACACATAAAATGCGTCATAATATTCTTTACAAATATATCACTACACAACCCAACATCCTTTGTGTAAATAATTTTGGTACAGTGGGTGAAGATATTCTCTGCAATAGATTGTTCGGAGCTTTGGTTGTGAAGGAGATCAACAAGTTGTTTACAAATATTTTCTTTAAAGTCTGGAAACTTCATACAATGCAAAATTAGCTTAGAAAAAACATCCAATATCTTCCAATTTTGTGTATTGCTTTCACAATTTTCAAACAGAGCTGATGCTACCGTTTGGACACCCTTTTGGGAGCGAAGAATACTGGTAAGATTTTGGAAAAGGTGTTTTTTAAACCAACTAGGAATTTTAGCATTGAACATCACCATAGTCTCTCTGATAAAAATAGAAGGATGTACAGTTTGTCCTAAATGATTTAATATCTGTAAGAACAATTTTTGTTCCTGTATTAGTTTCTCATAAATTTCTTTGGTCATTGGAGCTGTGGACTCATACGTAGGCTTTTTGACCGGACC</t>
  </si>
  <si>
    <t>CAGGGTTGATTTGTACTTTGGAGCCATTTCGCCTAACATCTTGCTGACTTTAACAAGAACTTCTCCCAGCTTCATCCTAGATTCGGAACTATCCTCTACGTCTTTTCTGTTAGAGTCTGAATATTCATCGCACAATACTTTTAGTACAGTATCCGGAAATACGTCAGCCATCGCTGCAAGTCCGTTTATGGAGGATAAATATATAAACGAATCTTTGTTGGTCAAGTTTTGCAGCAATATATTAAGGATGTAATGCTTTCTTTCCATGACATCCGGATCTTTCTTCTCTATTAGTTTACTTAAGCAGATCAATCCGTGCCCTCTAGTAGGAAGTAATGGATCACACACATCTTCCAAAATCTGGTCTAATTCTGTCTTATCTTTGTCTTCTACGATCTTTTGTTTACTTACATCATGTCCTTGTAAAATGTTTAATATGTTTTGAATTATATCTTTAGTTTCCTTGTTTCCCGATTCTTCTTTAATTTGCTTTAAAGGGTTTATTAAAATATCG</t>
  </si>
  <si>
    <t>*Abs(Dif)-
LSD 
of GI</t>
  </si>
  <si>
    <t>MW of Survival [%]</t>
  </si>
  <si>
    <t>STABW [%]</t>
  </si>
  <si>
    <t>MW of Mortality [%]</t>
  </si>
  <si>
    <t>Treatment 
Date</t>
  </si>
  <si>
    <t>Dose 
(ng/cm2)</t>
  </si>
  <si>
    <t># Found 
Alive</t>
  </si>
  <si>
    <t>%Mort 
at 9 days</t>
  </si>
  <si>
    <t>Gene 
Name</t>
  </si>
  <si>
    <t>M. aeneus</t>
  </si>
  <si>
    <t>n (total)</t>
  </si>
  <si>
    <t>WT 
per insect</t>
  </si>
  <si>
    <t>Test 
Date</t>
  </si>
  <si>
    <t>Root 
Rating</t>
  </si>
  <si>
    <t>Per5 
3'UTR (Leaf)</t>
  </si>
  <si>
    <t>Per5 
3'UTR (Root)</t>
  </si>
  <si>
    <t>AAD1 
Copy #</t>
  </si>
  <si>
    <t>Spec 
(+/-)</t>
  </si>
  <si>
    <t>RPII140</t>
  </si>
  <si>
    <t>d0</t>
  </si>
  <si>
    <t>Mean survival</t>
  </si>
  <si>
    <t>Mean mortality</t>
  </si>
  <si>
    <t>p-value</t>
  </si>
  <si>
    <t>&lt;= 0,05</t>
  </si>
  <si>
    <t>***</t>
  </si>
  <si>
    <t>**</t>
  </si>
  <si>
    <t>*</t>
  </si>
  <si>
    <t>p-value (IMPI)</t>
  </si>
  <si>
    <t>p-value (Water)</t>
  </si>
  <si>
    <t>p-value 
(GI)</t>
  </si>
  <si>
    <t>T. castaneum</t>
  </si>
  <si>
    <t>p-value 
(% Mort)</t>
  </si>
  <si>
    <t>Tribolium castaneum</t>
  </si>
  <si>
    <t>Diabrotica v. virgifera</t>
  </si>
  <si>
    <t>Gene Name/dsRNA</t>
  </si>
  <si>
    <t>Mean
(%Mort - 250 ng/µl)
±SEM 9 dpf</t>
  </si>
  <si>
    <t>Mean
(GI)
±SEM 9 dpf</t>
  </si>
  <si>
    <t>Controls</t>
  </si>
  <si>
    <t xml:space="preserve">Mean 
(%Mort)
±SEM 14 dpi </t>
  </si>
  <si>
    <t>Meigethes aeneus</t>
  </si>
  <si>
    <t>TTTCGTCGAGCAACACTTCCTTAAATACTCCCGCTGAAGCTTCATATTTGTACACGTCGTTTTCGATTGGCAGCAAATCGTAGGCCATTGCCTGGAATGTAAGTTCGTGCAGCATGGGTGATACGCAGTCGAAGCCGCGGTCAAGAATCAAAAGTTGCGATCTCGCTTTTTCAGGCCCCTCTCCCATTGTGGGCTCATCCGCTTTATAGGCATCCAACTTTTGCTGAATCATCTGCGCTAGTTCCACGTTGCGTTCCCAATCACTTCGGTATCTTACTGAAGGGTATTCTCCCAGAGTTGCACACAATGTAGCAATTTGTTCTGCCATTCTCTCCATGTTTGCATTTCTGGCTGCTTCCATAGCAGGATCATAACTGCATTGGAATGTTTCTGGGCAGTCCAAAGAAAACACCT</t>
  </si>
  <si>
    <t xml:space="preserve">AAGAAAACCAAAGCCGGAATGTGATTGCCAACTAAAACAAAAAAAACTCAAGAAAAGACTACAATTGTTAAGACAGCTTCAAAATCAAAAATCCAAATCTAAAAGCAAATCGTCGAGTCAGCGTAAAAGACAAAAATCCAAATCCAAAAGCAAAAGCAAATCGTCCAGACAGCGTAAAAGGCAAAAATCCAAATCCAAAAGCAGATCGTCGAGACCGCGTAAAAGGCTGAAATCCAAATCCAAAAGCAAATCCTCGAGACCGCGTAAAAGCCTAAAATCCAAATCCAAAAGCAAATCTTCGAGACCGCGTAAAAGCCAAAAATCCAAATCCGGAAGCAAATCGTTGAGACAGCGTCAAATCCAAAAATCCAAATCCAAAGGCAAATCGTCAGGTCAGTGTAAAAGCCAAAACTCTAAATCCAAAAGCAAATCGTCGAGAGATCCTAGCAAAAAATCCAAATCCGAAAGCAAATCCAAATCCAAATCCAAATCCGACAGCAAATCGTCAGGAGAG </t>
  </si>
  <si>
    <t xml:space="preserve">GTTCCTTGATTGTTGCGCTGAACAGCGTACCTACGAAAAATTCTTCGGCCTCCTCTCGCAGCGCTTCTGCCAAATAAACAAGACTTTCATCGAACCGTTCCAACAAATTTTCAAAGATACCTATTCCACAACTCACAGACTTGACGCCAATCGATTGAGAAACGTTAGCAAATTCTTCGCGCATTTATTGTTCACCGACGCCATCGGCTGGGAAGTGCTCGATATCATGAAATTAAACGAGGAAGACACCAACAGTTCCAGCAGGATTTTCATCAAGATTTTGTTCCAGGAGTTGTCCGAATATATGGGATTAGCGAAGTTGAATAAAAGGCTAAAGGATGAAACTTTACAGGAATATTTCGCGGGGCTATTTCCGAGGGATAACCCGAAGAACACGCGTTTCGCCATCAATTTTTTCACGTCGATCGGTTTAGGAGGTCTAACGGACGAGTTGAGGGAGCACTTGAAAAACGTGCCAAAACATCTGGA </t>
  </si>
  <si>
    <t xml:space="preserve">GTTTCCTCAAAGTCGCCGTCAATTGCTCCGGATCCCTGTGAATACCGACCCAACACCCATTGACAAAAATCTTAGTGGCGTTAGCGATAGCAGACGGCGCTATTTCCTCCAAATTCTCCATCGACCACTCCTCCAAGAACTCCAAGATCGGAGAGGGTTGCGAACCGACGGAAATGTAAGCCATAAGGGCGAGATTTTTTACCAAACCCACCGCAGCGCCCTCTGGCGTTTCCGCCGGGCAAATCATGCCCCACAGGGTGTTGTGCAACTGACGGGGTTTGGCTAATTTACCGTCGCGACCGATGGGCGAGTTTACGCGCCTCAAATGAGATAAAGTCGAGGCGTAAGTCAGTCTGTTCAATACCTGAGACACTCCGGCTCTGGCTTGATGGGCCTTTTTCTGGTCGCCCCAGTTACCGGTGGCAAGAGAGTAACGCAAACCGTCGG </t>
  </si>
  <si>
    <t>n
(total)</t>
  </si>
  <si>
    <t>qPCR analysis of mRNA expression knock-down from M. aeneus 0 and 4 days after injection of dsRNA</t>
  </si>
  <si>
    <t>MSAGTELKNMQPGIPQLLPDLTTLSLIGHRSQVNNHLSHHATMQQQQQPNESWQTSPPHQSASPPPQTAFADPLSATAPGTASTAVAVVGATSTALATVPPTTDPPVFQCPRRPNLGREGRPIGLKANHFQVTMPRGFVHHYDVSIQPDKCPRKVNREIIETMVHAYGKIFGNLKPVFDGRNNLYTRDPLPIGNSREELEVTLPGEGKDRLFRVTIKWVAQVSLYGLEEALEGRTRQIPYEAILALDVVMRHLPSMSYTPVGRSFFSSPEGYYHPLGGGREVWFGFHQSVRPSQWKMMLNIDVSATAFYKAQPVIEFMCEVLDIRDINEQRKPLTDSQRVKFTKEIKGLKIEITHCGTMRRKYRVCNVTRRPAQMQSFPLQLDNGQTVECTVAKYFLDKYKMKLRYPHLPCLQVGQEHKHTYLPLEVCNIVAGQRCIKKLTDMQTSTMIKATARSAPDREREINNLVRRADFNNDPYVQEFGLTISNNMMEVRGRVLPPPKLQYGGRVASLSGQVGWHSKQQAMPNQGVWDMRGKQFFTGVEIRVWAIACFAPQRTVREDALRNFTQQLQKISNDAGMPIIGQPCFCKYATGPDQVEPMFRYLKSTFQSLQLVVVVLPGKTPVYAEVKRVGDTVLGMATQCVQAKNVNKTSPQTLSNLCLKINVKLGGINSILVPSIRPKIFNEPVIFLGADVTHPPAGDNKKPSIAAVVGSMDAHPSRYAATVRVQQHRQEIIQELSSMVRELLIMFYKSTGGYKPHRIILYRDGVSEGQFLQLLQHELTAIREACIKLESDYKPGITFIVVQKRHHTRLFCADKKEQSGKSGNIPAGTTVDVGITHPTEFDFYLCSHQGIQGTSRPSHYHVLWDDSHLDSDELQCLTYQLCHTYVRCTRSVSIPAPAYYAHLVAFRARYHLVEKEHDSGEGSHQSGSSEDRTPGAMARAITVHADTKKVMYFA</t>
  </si>
  <si>
    <t>MAPLPDGPDPSTKQKQPPTFAPQKESSFSTQKLKSSLSDCLSQTVIIKPGVKGRPIKIESNHLSLNVGTLTEAYHYDVSITPDTPKSFLRDVMNLFARKHYPKNHPAFDGRKNLYSPKKLPLPNDTMSDTIELEGENKKRGFKVVVKLARTVDLSPLRDILQTRQSPQDALQCLDIVLRNAPSNSCISSGRCFFTPPREGQILRLGDGMEMYYGFYQSAIRGWKQPLLNVDVVHKAFPEALNVLDLVCELGSDYRNTMTRQDLNQPLTDFVQKALEKFLKQLKVTYEIPGQSGSRRIFRVNGLRAPPSQARFTLGDGKVTTVEKYYQEVKRCRLQYPHLPTLWVGSRQREVLIPLEFCTVVSGQVVNRKMNENQTSVMIKKAATSTDVRKDKIMQVLRKANYNSDPCVREFGFSVNNSFEKLDGRVLQPPTLLYARKAEVTPSKGVWRADMNRFFVGAIVHKWTIVSCTRHPERGEQLADMIFRMASSNGMQITSKATGPFQHLGGRQNLRDIIDYFKRKQDHDLIIVVVPNSGPQYSLVKQAAELNVGCLTQCIKERTIAKLNPQIIANILLKINSKLNGTNHILSSRLPIMSRPCIIMGADVTHPGPDAKDVPSVAAVTASHDPNAFQYNICWRLQPPKVEIIEDLCAITVEQLMFFYRKTRHKPETIVFFRDGVSEGQFAEVRRAEISAIHQACKKLQREGYEPRITFLVVQKRHHTRLFPTNPRDSEDRNNNVPAGTCVDTHITNPMMQDFYLVSHASIQGVAKPTKYCTLWDDNNMSNDDIEELTYYLCHMFTRCNRSVSYPAPTYYAHLAAARAKVYVENVKLDLTQLKTHQQKCQIQESIVKEKPMFFV</t>
  </si>
  <si>
    <t>MGAPQQQQPQRGPLPQQQQQQQQRRPQQQQPPVKSPVPHPEPSSPPRQEPAPPLSGGGDCLSGALVVTPGTKGRRIQIESNHLSLNLGKLTEAYHYDVAITPDTPKCLLRDVMNLFGRKHYPQNHPAFDGRKNLYSPKKLPFPNDTKSDTIEVEGENRKKEFKVEVKLARTVDLTPLHDIMRTTQSPQDALQCLDIVLRNAPSNACIIAGRCFFTPPRDGQIIPLGDGMELYYGFYQSAIRGWKALLNVDVAHKAFPKASNVLDIVCEIGSDFRTTMTRANLSQPLREFVQRDFEKFIKQLKVKYEIPNQSSSKRIHRVNGLGEPPSQAKFKLDDGRMTTVERYYQEVKRCKLQYPHLPTLWVGSRERESKILLPLEFCTVVGGQAINRKMNENQTSAMIRKAATSTDVRKDKIMQTLRTANYNNDPCIREFGFSVSNNFEKLDARVLNPPSLLYADNAQIKPSKGVWRADRNRFLVGATINKWTIASGTRYPSRDADKLADMIFRMASSNGMQITSKATPSTHIGGRQGLRDFIDYFKGKQDYDLIIVVVPNSGPQYSFVKQAAELNVGCLTQCIKERTIGRLNPQTVGNILLKINSKMNGTNHRLSPNSRPLIMKRPCMIMGADVTHPSPDARDIPSVAAVTASHDPNAFQYNICWRLQPPKVEIIEDLCNITVEQLKFFYQKTGFKPESIVFFRDGVSEGQFKQVQRAEIAAIQKACKMLQKDDYEPKITFLVVQKRHHTRLFPTNPRDSEDKNNNVPAGTCVDTHITNPRMQDFYLVSHASIQGVAKPTKYCTLWDDNNMNNDDIEELTYHLCHMFTRCNRSVSYPAPTYYAHLAAARAKVYIENDKLDMSQLKRHQEKCQIQEKIVKGKPMFFV</t>
  </si>
  <si>
    <t>MEQKPAPKGRGALLEMLKKHKEARAGGAGEPVEEQAPPKTRGRAMLLQKIQEAKERKAGGDSGQLSTPGPSTVPSETRRGVSGVTKALGEVAITASETCSYRGESGTPIKATANYILLNVEKDRGVFEYEVRFQPDIDAKSNRIKLVNQALGELSTTKVYDGDVCLYLPCLAFSPRQEFESVIPNTETPVTTTLIYKRKRKLSECLHLYNVLFKRIMHILLYQRMGRNYFSPDHKYLVPQHKLEVLPGFCVHVDEMEGGLMVCLDTQHRVIRSQTVYELFHEIRATNPRNFREEVTKNVIGACVLTKYNNRTYIIDDIAWNMNPKDTFEDRSKGPSCFIDYYREHYNIRIEDVDQPLLITRQVKQSPDGKIERMICLIPELCYLTGLTDAMRNDFKVMKDVAAFTRITPNQRMLALRTYLDRVRQSEKAKQVLSGWGLSLADDTVDVKARVLPQEAIYFGGPDAEAHKYTGGTDWNKAISDNKLTGPVNITNWQLYYTRRDQKYAANFAQTIVRLGKGMGCVIQDPRHIVLDDDRTETYMTAIRDNVANTQVAVFICPTLRADRYSIIKKMCCVNIPVASQVILSKTLSNPQKVRTIIHKIAMQITCKLGGTLWSVKIPVSGWMVCGIDVYHGANNQSVCGFVASINGSMTKYFSKAMFQDGEIGDYFKMPFRQMLQAAKDREGAFPSKVIVFRDGVGDGQLEHCRKYEITQLQEVIKELNIETTITFVVVQKRINTRIFRTVNETNFENPPSGTVVDNMVTRRQFYDFFLVPQSVRQGTVNPTHYVVLVDEGNIKPDHLQRLAYKLCHLYYNWSGTIRVPAPCLYAHKLAAIVGQYIKKTPSTQLDDKLFYL</t>
  </si>
  <si>
    <t>MNGKTPISLLQELMAARGISLPVYIEEGFGTSFKCTVKAGGVTACGYGTSKKNAKHESAKNALVKLRREDKSPEIKPRAENNNLFRNFVGELNEYAASRYGAKYPSYDFLTVSVDGEFFFKCSFANEESIGEGMNKKDAKQDSARKMLELVKKNQPVYERKVQEKTTITINNVEEIIEKYKQHSLSETSMVNSSKAGQVFEPTPGIILADEESIDSLRNKLKSHNICYTLTQFQINPCIMYVQINGTDLCFMAVGDDREEATRNVLRQVLQVKKTGCSLSTNHLLNFN</t>
  </si>
  <si>
    <t>MACYLNENVYTHTFTPREYQVELLDSAKKRNTIVCSSASSAKAFITIKLLQEFSHKMRVPHGKQALFVLDGPNVPIMTSHVKLLTDLTVTSIDKEENPPSLKASNVIVTTAEVCVLLCKKNFVHLDSYALIVIDCLYGGQQSLVREIMARYQAIQAPRPRILGLTAGLLGSEMQPDRLEAELQRLEKLLSSSVDTSSEILTLIRLSCRPRERIVECFKPIPSPLQDKIKATITSCQDFLKDHRYDPSEIYDDDLLEEFKQVPDPKEQPLSFFDDFLEILDDLGPWSADRAAYGMLIKIEKLKVKVPYERHYLLLCVASSVLVSIRALCELEFQDYTDKEKVFRFSTPKVLRFLQVLKQFKPTGDKPETCDKLPDLKDPKKGKGKNYKGPRRPYISRAQSDEMLCALVFVKNRYKAEALFALLCVMSKSDEEYWWVSVSFSVNKIADPVREPREAESEHKRQEEVLRKYRSHECNIMIATSALEQGCDLPKCNLVIRFDLPQSFHSYIHSKARARANEAHFLLLANENEVSDFVENLAEYNEVENTLLKRCYSLEPDKNEELVADASSLQCRPYQPSAEPGANSVSLSNAIALVNRYCAKLPSDTFTRLTPIWHEEKVENGYICSIRLPINSPVKKTVTSPPMINTLLARRAAAFMICQLLHKAGELDDNLQPIGKENFKVNEEDWNSSALEESDEENLDPRPGTTKRRQYYYKKVADALLDCHPIIGQPTYFYKIVMKLTCPLPEEQNTRGRKIYPPEDSPQGFGILTSKEIPKISAFPIFTRSGEVSVDLQLCSQLIVTENQICKIREFLNYTFTSVLRLQKYLTLFNPDASANSYLIVPTIDGATTTVDWDFIDLIYANLTVLPEIIPEEVRKSYEFDPEKYRDAVVMPWYRNQDQPQYFYVAEICSNLNPASDFPGSDYATFEEYYLRKYSIQIQNKSQHLLDVDHTSARLNFLTPRYVNRKGVALPTSSEATKRAKREKLEQKQILVPELCAIHPFSASLWRKAVCLPCILYRINALLLADQIRRTVALELNLGKIELDSEFKWPPLNFGWSLADVLKKSKDEEKKKQEKIEPVIEEIPCTEIAKIEDFDQDDDEEEMIEIGTWSNDMAQLNSDQEFPVVRYASPTSWMDLQNTYDDSSFSDSDYSGDESESEWGGLRIEFTGDNVAEAVDDENKKDDDFELVDYSNVWKVEDESEITQTLRKQFHDACARNKDHILSSGILVSKSEQFQKCSDCDNTTTKDSQVANSYDFDFGKLFIELDQHKALQIDLAPQDARNEYDISETMTFKFDEQPNLVEHPGPSPNVLLQALTMSNANDGINLERLETIGDSFLKYAITNYLYSKYENVHEGKLSHLRSKQVSNLNLYRLGRRKGLGEYMIATKFDPHDNWLPPCFYVPKELEEALIDAQFPANCWTVADMAATRDMTLDDICSMVRQRGESLSLSNIIPYNLVTQHSIPDKSIADCVEALIGAYLIECGPRGALLFMAWLGIRVLPQLEDGTYGEIELPKSPLSNHLTYPREELDMLLDGYDQFERHIGYKFRDRSYLLQALTHASFSPNTLTDCYQRLEFLGDAVLDYLITRHLYEDTRMHSPGALTDLRSALVNNTIFASLAVRNGFHRYFRNLSPSLNEVVEKFVRLQEDSGHTLVDELYLVVETEEVEDVEVPKALGDVFESVAGAIFLDSGMSLDAVWKVYYNMMKSEIEQFSNKVPKSPIRELLELEPETAKFGKPEKLADGRRVRVTVEVFGKGVFKGIGRNYRIAKCTAAKCALKNLKKRGLIKKIDES</t>
  </si>
  <si>
    <t>MDEEDELKPRNYQVNLMEIAIRENTIIYLPTGSGKTFIAIMVLKQLCAPILRPYSDGGKISVILVNSVALVDQHGKYVRDHATFSVGTYTGEMNVDFWSEAEWEQQFNKYQVVIMTSQIMVNLINNRFIDLGKVNLMIFDECHHGVEDQPMRQIMKHFHSCTDKPRVLGLTATLLNGNCKLSKVMDEIRSLEVTFHSKVATVEGLDVVVGYSTNPQELFKVCQPGALSLDAKQVLNNLRQLINDLEHINIKDEQNSVNLLQSETLKPLEPSDVLKSLRNLISDLMIHIEMLGAFGGHIACVAHMIQIERIKKHCQNHQLFIVLNYVMTIMGTTKLLLEETMAGYEPLEKIRKFSSDKVLKVFEILDEYKTKSDEELCCLVFTKRRFTAKVLHHIIDKASQVDPKFYHIKSNFVVGNKNNPYNDTRENLYITKKNREVLNSFVSKEINVLVSSNVLEEGVDIPKCTLVIKFDKSEDYRSYIQSKGRARHIKSLYYTIVETTDVAKYDKKYSAFKEIENLVNDLLIGKNSERDHPNLSEIRNMYNEDKLEPYYVNGPNSAQVNMTSAVALLCRYCSNLASDKYTTYAPEWYYEEDSSSAKLRVVIFLPVVCPLIDPIVGPYMHNKKDAKRAAALVACIKLHQCGELDNNLLPWKKQLDEADVSYLFTHWPQEKESDAGNKKKKRLHDKEIAPSVKSAIQPDRVLYLHTININPQYKRSDDLKNAVTIYDLYKTPLKFGLLSPKPLPDLCKFPLFDSNGTLEIEIRNNVREVEFAANEMKEMREFHFLVFNDLLEILKEFLIFDNTGMNSEMLLVVPVQDRCGDVCVDFRVIRDNKNLKNKLEPAATERINLNVTEETYLHKIVSPWYRSPPKMYVVTKVCPDKSALSRFPNHEYPNFVSYYSEKHSLSILDPSQPLLLVKGLSERLNAFKPRGAGGKRKKEKMYEELEEYLIPELVIKQEFPSCLWIQARFLPSILSRLAYLLKLQQLQVDIARGIGAKAEYLKDCPPLELNLHLLHYEPNDPQLTQESDKSTPLIDNCLALECPKNLRTIQYNKDFAAKMLEAEYYWKTIEEPKDIERNINVTVMDIEYYETFISHQPSKTGRLLKNDSPVKQQNVPAITYDCQFEAKQLQILDVQFDNQSPNLCQIYQALTAAEANDIVNLERLETLGDSFLKFVASLYIIFKFPTYNEGKSTTLKGKLVSNKNLYYLGVRKNLGGILKNSDLSPSDWVPPCFCIPQTISKAIGNKEYSVVSLFNCCISPEEQVSGNLNRKTLSDMTTEEIAPDEENSYGNMCNFLNKQYVGDKSIADSVEALLGAYFLSGGIQGGIKFMEWIGILPLSEQIQRLIETTQVDPVLNKKSTKTDVDFHMPQWREIEQRLGYTFTNRAFLLQALTHSSYSPNRITLSYERLEFLGDAVLDFLITCYIFEHCGHLEPGQVTDLRSSLVNNNTFASLVVRCGFHKFLLMMNSNLQGHIDKFADYLASKNYVIDDEVLILLEEDEMNIAEYVDVPKVLGDIFEALAGAIYLDSNKDLKTVWRVFYKIIWREIDLFSKNVPKNVIRRLYECHTVYPPQFSKALEVGNQKTMVSLDFMCEGRKKRVHGFGTNKILAKRAAAKIALRALKL</t>
  </si>
  <si>
    <t>MSDPYYYNSSYGQYVNYPPNYPSPDPRWPSWQWNQQPYPPMMPPYPPPANFNVPPPPMGHYNYYPPYPAQDKPPKRYKDRPPPPSDYSQELELYKQKKATNQRSRSPRRRSRSPRYSRYRKRSRSRSRPREKPVKERDLILSKWRKNYCSTREEVSNKIHELAKVDHEEVLEQEKNIWTRSTPSDLYYRKDESNARVTRATKRLTQLCDKFNDCLVMRAAKVNKLKPKYEPPPRKNRARLCKHKSEESSSSGSSEEELTDEEDCTMEELQRKQQHPDRLHPEMWYNDPGEMNDGPLCRCSIKSRKSGIRHGIYPGEKHLEKCVPDSNNAERLYHYRITISPPTNFLIKTPTIIHYDEHEFIFEGFSMFSHFPLEKLPTCKVIRFNIEYTILYIEEKIPDNFTVRELDLFHDYLFREILELVDLDFKAAGDVDGCSQFHFMPRFVRELPDNGKEILAMNEVLQYLLDSSVSLIEEKDLEDMIKMTQYEWQSYADEIKGMVVTYPGKKPCSVRVDQLDRNIDLQKPGDYKFPEIVHFGIRPPQLSYAGNPDYQKAWRDYVKFRHLLANMSKPTFEDKRKLESKENKLQEMRTQGKMKRDITVAVSAEGFYRTGIMCDIIQHAMLIPVLVCHLRFHHSLNILEESVNYKFKNRALLQLALTHPSYRENFGTNPDHARNSLTNCGIRQPEYGDRRIHYMNTRKRGINTLINIMSRFGKQQETESNITHNERLEFLGDAVVEFLSSIHLFYTFPDLEEGGLATYRAAIVQNQHLAVLAKTLKLDQFMLYAHGSDLCHDLELRHAMANCFEALMGALFLDGGINVVDRVFSETLFKVNPDLLEVWMNLPPHPLQEQEPTGDREWIPKFELLQNLTKFEESVGLQFNHIRLLARAFTDRSVGYTNLTLGSNQRLEFLGDTVLQLIASEYLYKYFPEHHEGHLSLLRSSLVNNRTQAVVCDDLGMSNYAVYNNPKAELKTKDRADLLEAFIGALYVDQGLEFCEVFCQVTLFPRLQDFIMNQDWNDPKSKLQQCCLTLRTMDGGEPDIPVYKSVVCFTNTRVYTVAVYFRGRRLASAMGHSIQQAEMNAAKKALEISQDLFPQLDHQKRVIAKSMKKQKNKKRRRSRSRSGLKFGFRTRSPESYSRRRFQRSRSRSKVTSESDSSPRCSTSKAKAYLSTEDLSD</t>
  </si>
  <si>
    <t>MFVPPPVEQQFRMDPNMTLLHSSSQIHNVHPRRKNNRNTLHGMQAERLSLSEEAKLEMASLPTKTPVSVLQELLSRRGATPKYELVQIEGAIHEPIFRYRVFINNDLVATGTGRSKKDAKHAAAKNLLDVLVGKQSPEQANASNGTPGANDITAQVVSPFDDKVMGNPIGWLQEMCMSRRWPPPSYEMEHEEGLPHERQFTIACQVLKFKEVGTGKSKKLAKRMAAHKMWQALQDMPLEGNNLPQGYDDDEENIVLNSKDFNFIQFLHEIASEQQFEVTYVDIEEKALSGKSQCLVQLSTLPVAVCYGAGATPKEAQSAAALNALEYLRIMSKK</t>
  </si>
  <si>
    <t>MASVKKEVVEEKPDINALKLTGISPDFTSDSLEICPYSSQNDVRKFHILDETEDSDSEKSFSCDSDIPDEEIDKMLEDALKNNKRKASEAGLDESAAKQPFEEKDKVVLIEKSQNHFDVLPEGWIQVTHNSGMPLYLHKNSRVCTLSKPYFLGPGSVRKHEIPLSAIPCLSYRRALDSEKTQTPESSSDLPNARIETVKENIESQNLKPEDVRKYASKLFQFKTIKVMRFKSWSERRQFTKKRKHEQQLQRPNLPAGTKLITFPIQPNEASENTNSNAKKEWIMNPNGKSYVCILHEYVQHALKKQPTYKFTELENAATPYAATVSINDMQYGVGYGTSKKQAKSEAARATLEILIPEMKSKITTDAKTGSSASRDQDQDLSFFDEIRIEDPRVAEFCAKTTEPSPHDILLTCLQRNFGLNDLQISYQGNTLKNKKNQFTMTVGKHTATVVCKNKRDGKQRASQAILQALHPHITSWGSLLRLYGNGSVKSFKEKKLEEQEITLLQSKAAINSPNFAILDKLKLELSKLRDKRTQIKPIGVFIPTESDSLPKLSSSNLKNVDL</t>
  </si>
  <si>
    <t>MEARGKGRGYGRARGQAAGQQQQQQQRPGGRPGGDQGQPAPRGLPQSAWVRPAQPAGSAWPRPQMGSAPQQQKPQVAGRGERQEFDQGAVPRRVIAGEGDQGNQEGSQGAARGGGASSVRGRVVRKEILYTRPQNLKSKKGTIGTPINLIANYLPLIKQGKWCLYQYRVDMAPDVDNTNKRKELVRVAVKDLLKGGYLFDGTVLYTTQRINNDSVDLFVDNSGENVRITIRLVGDLAWGDMHYIQLFNIIIRKCLKLMGLQQVGRNYFMPDNKIVISEHKIQLWPGYFTSMRQHEKDILLNVDLQFKFMRTDTVYDNLLECQGANARKEFQSKIIGSVVLTHYNNKTYKIDDVDFNSTPAHTFKLKDGSETTFKDYFKKKYNVDIRVKDQPMLISRSKPREIRVGVPETVYLVPELCLMTGLTDRQRENFNLMKMLATHTRIGVEGRIKKLMEFSQKLHNKPDVVNEIRRWGLDVGNSLVRFQGRVLPQETVVGGNDAKYSAGPQADWTKELRSRPMLYMPKMERLAVVCSHRNKSATQDFIQLLAKTAGGMRWSLGNPKIFDIQDDRSGSYIEQIEKIINMNQPTMILVILPNNSTERYSAIKKKCYVDRGIPTQMFVARNLTSKGVMSIATKVAIQMNCKIGGAPWCVPIPLSGLMVVGYDVCRDTVNKKKSFAGIVGSLDKNISRFYNICCEHKMEEELSDNFAAAVVLLCKQYKEQNGHYPERILIYRDGVGEGQLPFVVEHEVANIKRKLQEEIYINGEVKMAFVVVSKRINTRIFTEKDNPPPGTVVDDVITLPERYDFYIVSQCVRQGTVAPTSYNVIEDSMGLPPEKLQYLTYKLTHMYYNWSGTVRVPAPCQYAHKLAFMVSQYIHRPAHHDLDNVLYYL</t>
  </si>
  <si>
    <t>MSRQNTKTPAMVLQEFTMKRGFSPPEYILVMSKTGTHENEFHYKVNVANVCGLGFGRSKQVAKHNAASKALEILAEQGLYDPSSNPVQEFNAQSHRNESDSPQKPPVNFIGNLKDMCCEFKLPYPEFKEISDVGPPHCREFTYECCIASITTQATANTKKQAKQLAAREMLEKIRETCPQLAEQFAAESNSILADSHEVIKKYSELSTTLDVMPNRAVLIEDYSTAIKRRMEDKNVCFEDFQKQYKLKDKEGLDYIFEKLDIRYQIDLFQESPPVYCALFGLDTPFTVMAVGSSQENAMANLVFEIYRLLEIYMTKGAKG</t>
  </si>
  <si>
    <t>MENLFSMWKVRELADKVTNVVMNYTEIEAKVREATNDEPWGPTGQIMQELAHSTFTYEHFPEVMSMLWKRMFQDNKQHWRRIYKALLVLNYLVKNGSERVVTSAREHIYDLRSLENFSFIDDMGKDQGVNIRHKVKELIDFIQDDDRLREERKKAKKNKDKYIGMSSDMVGMRLGSHERWDDKPRDYGDHDWEEPSSGASRYRDRSFDDEYDIDKEDSDTESARNHTSRKYKDNDPSPTEKRVNININSAITNTPKKSTKPIKKVDLGAAANFGRDASQSPLPQASDLIDDFNPRAEEEEKKSTEFGDFEAAFGSNATTTPKSDDDFADFSSAFSQNNTDANLMNQNQNLFMPNVIPPPNLGIQPPIGGLMGAQAPVMAAKPQNSNDLLGDLSGFSGLSIQPPGGFGNVPNNNQGLVGAAPSLLDGGPLLTPTSAQQPLQPLSSASSNNNTEVKTPANKNQQNIGSTWSNSGNLNIDLDNLLVTKPKQGVSPSMNQLASNPTSPVNQPKLTNQYAMNFNAQGFPQTNAFNQPNKQLFPSF</t>
  </si>
  <si>
    <t>MIAAAGLLLLVPLADCAHIASLNIEQHQGNYSQVMPFLFNQTTEHVLVFPTSDSIYPYRVKAWSSGAKLASPVLVVVRQEREVISWQVPFVVDTTMKDGVVHFHNTSRTLCHNDMPRIAKAKATSRILPIQLSQNFIIALSTSSLANVDISVMVEEERDFYLQEGRPYEVSVSPSESKYYYYKFHDKKNTSAMIEINSDDDVCLTVSIQDSFCPVFDLDKDITYEGKYQTINRKGGMTIRQREFPDGFFLVFVAKADNYQCSQKHSVLLVEHRKQHLILANRTSTITFTINKGINGKEYEIASLATLGALLSFCIVSTIMIFAFTRWGTISKFRPSGDELDADWEEPPEPPITRELKHELLSRQALTVNLLARAPEKDKRRSYNYLWHILSIAIFYSIPVVQLVITYQRVVNRTGDQDMCYYNFLCANPAFGLSDFNHIFSNVGYIIVGILFLGVVLHRQTKIPNSSTGIPVHYGVYYAMGIALIIEGILSACYHICPSQSNYQFDTSFMYVMAVLCMIKLYQNRHPDVNATAYATFTVLGMAIFLAMIGILNGSLTVWIVFVVIYSLLCAYISFKIYFISFVFDGFKQLKQSLKSSNKVEAIAPIRKSRFALLVIANIINYAMLITGLCLYNTGVTDFGTFLLGLLMGNSVLYAVFYTGMKLVNGERICFEAIIYGLLAIAAWATAAVYFLDNATLWTVTPAESRQWNQECIVMSFYDKHDVWHLLSAPALYLTFMFLLSLDDDLVDIKREEITVF</t>
  </si>
  <si>
    <t>MATSWFFVAIVPLVLCLQPKIVMVPQFGRVSQVMDFTLNSNIKYLLLYHPQNNNNPYSIKAWSDSASPQNPILIVVNQGIDTLSWSVPYSIFSQSEVYYHTSRTLCDSHNQNFTITLSTSAPTNTKLSMIVEEERFFHLVNGKRHTIEISPSEPRYFSYDYVPQSHSSLVTIEIDSDDETCLMVSVQKHTCPVLDLNNFINYQGFHQTILTKGGMRIRKKYYTGGFFLVFTVVEDEVCKKKDLPIIPNQNQSSTVHFTVTENIESKNHYIPAVFIVLACFILFSFVAIAIFCVFERYRKKKIAENTEQIAINVDEKTEEEITKEEITEEEIHEERDENNQQIPNNVADFSQNTQKNQKRSMNYLWQILNVGLFYIIPVIQLVVTLQSFLIQTGDFDLCYYNFRCANPLWIISDFNHVFSNIGYILMGIVFSINVFYRHFYSPPLTTGVPANYGVFYAMGAALIMEGVLSGCYHLCPNETNFQFDTSFMYVMIVLCLVKLYQNRHPDVTPTAYTTFSILGATILCGTIGIVFKAPPVFIVFVTIAYLVLLIYASLNIYHFGTARNFLRRCCLRNSEVPRPIQSPNTHRWWLLLLAITVNILLYGLGLILFYHTKTIDFATFILQILAGNAFLYTVVYTCMKIKCTSVRECTCSEKICAQAIIYGFLALVTWVLAGVFFFAEASKWTESPAQSRQLNKQCIFADFYDSHDLWHFFSSLALYFTFMYLLCIDDNLYTNRADIPLF</t>
  </si>
  <si>
    <t>MTPKMLHLFLIMSAVTVICDSFNPIYLNLSYSNFYTFSINKSVEYILEFSAPELKYPPRVTINSSDAQIKTPLMVVARQPKELLSWQLPMVLESDTGNHNFTKISRTLCHDMYRDYASRGITVDSPIVSVSTAAPRNVTFTVQVDYQKDFFIKPSVKYNFNITPSEPRFYFYNFTANITESPNSNYETVILEVFSDDFVCMTVSIQNASCLVFDTNQDITFRGFYETVNTQGGITIPKYKFPYGFFAVFVAKPDDSDCTGIPSLYYDTNRTKTITLIVKPSISYQDYVNAVIATLSSIGIFYFVLIAGFIFCSKRGYVPRQMEYVSSEPATPSTCLGEEVDEISLDETEYDVVSEADQDKSIRLGKSVVYLSDLARKDPRVHKYKSYLYLYNVLTVALFYGLPVIQLVVTYQRALNETGQQDLCYYNFLCAHPLGVISDFNHVFSNSGYVLLGLLFLGITYRREITHKDLNFERQYGIPQHYGMFYAMGVALIMEGVLSGSYHVCPNTANFQFDSSFMYVMAVLCMVKLYQNRHPDINATAYATFGVLAVAILLGMIGILEGNLYFWIVFTIIYLLSCFYLSIQIYYMGCWKLDAGLAMRVWRICVYEFWSGPLNVIKPIHKARMCLLIIANLCNWGMAFWGVYKHQKDFALFLLAIFMGNTLLYFSFYIVMKIINKERVNKLSLFFLSLSVLCAISAMYFFLNKSISWSRTPAQSRQFNQECKLLRFYDFHDIWHFLSAIGMFFTFMVLLTLDDDLSHTHRNKIVVF</t>
  </si>
  <si>
    <t>MFLERKLGALEVIYSTAKATTPQPFDYLLVLDFEATCWSNGDPRKNPAEIIEFPVVLYDVKNAKIIAEFQQYVMPVENPKLSDFCTELTGIQQHQVDNGVPLQACLLLFSRWVAEKMRLYDMDFPNGESQAAKTCAFATWSDWDLGTCLRKECIRKNIRIEKMYRKWIDIRALFKRYIRRPFIGLSGALAELGLTFEGTEHCGLHDARNTARLVGKMVDKGVVLQLTRR</t>
  </si>
  <si>
    <t>SWQTSPPRQTASPTTQTTFPEPLSAGASGGALGSSSTAVALPGAVAGALSAVAPPTDPPVFQCPRRPNLGREGRPIGLKANHFQISMPRGFVHHYDVNIQPDKCPRKVNREIIETMVHAYGKIFGSLKPVFDGRNNLYTRDPLPIGNSREELEVTLPGEGKDRIFRVTIKWVAQVSLYGLEEALEGRTRQIPYEAILALDVVMRHLPSMSYTPVGRSFFSSPEGYYHPLGGGREVWFGFHQSVRPSQWKMMLNIDVSATAFYKAQPVIEFMCEVLDIRDINEQRKPLTDSQRVKFTKEIKGLKIEITHCGSMRRKYRVCNVTRRPAQMQSFPLQLENGQTVECTVAKYFLDKYKMKLRYPHLPCLQVGQEHKHTYLPLEVCNIVAGQRCIKKLTDMQTSTMIKATARSAPDREREINNLVKRADFNNDAYVQEFGLTISNNMMEVRGRVLPPPKLQYGGRVASLSGQVGWHSKQQAMPNQGVWDMRGKQFFTGVEIRVWAIACFAPQRTVREDALRNFTQQLQKISNDAGMPIIGQPCFCKYATGPDQVEPMFRYLKTTFQSLQLVVVVLPGKTPVYAEVKRVGDTVLGMATQCVQAKNVNKTSPQTLSNLCLKINVKLGGINSILVPSIRPKIFNEPIIFLGADVTHPPA</t>
  </si>
  <si>
    <t>MEPRGKGRARGRSVPAAVPPTAQRPGVPQQQQQGGPPRPAPGFGGPPAPQGAWANRAPQQQQPPRPQHVPQQAPWARQAAPLQAQQEVAGRGTRQGGGGDHAVPPAASGGIPNVILGQGDGGNQDPPGSAGRRGGGGGNGGVRGRATRNEIIKTRPETLQSKCGTSGAHLKLQANYLELIQAGKWCLNQYRVDMVPELDNIGERKGLMRLAMKDVLNGYLFDGTVLYTVQTINPDPLEKFVESANGEKVRITVRRVGDVAWGDYHYIQLFNIIIRKCLHYMKFQLVGRSYYDPTSKIQIHEHKLELWPGYFTSMRQHEKKILMTIDVDFKVLRTDNVYDMMCQSRDARAFQNSVIDSVVLTYYNNKTYRIDDVDFKANPKSTFATRDGGQISYIDYYKQKYNIRIQVEDQPLLVSRSKPREIRAGMPETVILIPELCKLTGLTDRQRENFQLMKSLGNYTRVAPQGRIQKLMEFCQRMRACKEVIDELKRWDLQIANTLIELPGRQLPPEKIFAGNQKQFSAGPQADWTRDLRSAPMLVNADMSRMAVICPNKMARDANDFIGILQKAAQGMSFQIKPKLFTIQRDDINSYLEQIEEVTGMNPTLVMCILPNPTVDRYSAIKKKCTVDRGLPSQVILAKNLTSKGVMSIATKVAIQLNCKIGGAPWSVHMPLPGLMIVGYDVCRDSAKKSKSFGAFVATLDKGATRYINFVNEHEHQEELSNHFATNMILACKAYETQNGVKPKCILIYRDGVGEGQLPFVHEQEVKNIEQKLKQELYGDTEFKMAFVVVSKRINTRIFHKADNPPPGTVVDDVITLPERYDFFIVSQCVRQGTVAPTSYNVIHDTIGLPPDKLQILTYKLTHMYYNWSGTVRVPAPCQYAHKLAFFTAKFLHRQPHRDLANTLFYLTRSCFIRFSLFHFSMLLNKSETLFYNLCYNLINIFFSFRLVTCFFIFRPLIIKALFFIFKKFPFSFQKYETNYTELTVLMFCYFFNIFIFKX</t>
  </si>
  <si>
    <t>KHQIKMSSVSYVNILQEYYASKQASLPRYESFEVGTVYAPSFMCKVSCGENIYADAVASTKKEAKQRAAEKALHILEMSEPVIKLTQLQAVGPNANDNYIGKLNEYASKQRQLQPVYSDGALWDGKFTTFCKFMDKTTKGYGSTKKVSKQHSAQLMYEQVVNIIDIPIKKVILNENENTEIIRAFKKLTVTVLERENAKFTEDILIPELIPLTNSSNEMTNSELQRELSKRGFKFDITCYQPNPKVYKLQGSNGLTLFSAQDTKEKATNDLLTMSLKMVKIGYGNDLITF</t>
  </si>
  <si>
    <t>IKSEYTIVMACYLNENVYTHTFTPREYQVELLDSAKKKNTVVCSSTSSSKAFIVVKLLQEYSWQMRLDAAKGKRALLILDMQNVDIMACHIRFLTDLNVVSLMTKTDDTDWEDVFKKYHVIITTAEYCVEFLNAENNLDLNFFNLLVIDDCLYGKRQVLVNSIMNKYLNVNKGDVRVLGLTTGLLGCDLQHDRLEAELYRLEKLLHSTVDTSSEIVTLIRLSCRPKETIIVCPKTMSLTLYDSIKLLVIRAKNFLNDHRYDPSEIYGDDLLDDYDDVPDPKVQPIELLDNFLSILDDLGPWCADKAAFSILSKIEKLKVKIPYERHYLLYCMTSTTLINVRAACDYEFEQIPEMDKIKLYSSPKVLKFLEVLMQFKPPGEKPPEKSFEQESNLVKTKGKGYKGPRRPYIPRNSSEEILCALVFVNNRYTAKAVFALLCALSQCDSEHYWWISALFAVEKVADPVNEIREAEQEHKMQEDVLRKFRSHECNILVTTSLLEQGCDLPKCNLVIRFDLPKTFHSYIQSKARARANDAHYILFTNEEEFMPFVNNLAEYNEVENTLLKRCSSLEPSVEEEVLAEAYSIKCKPYQPKEQGSPNVTLTNAIALINKYCAKLPSDTFTRLTPLWQEHEIDGKFICSLRLPINSPVKQTVVSPPSANALLSRSSAAFMLCQLLHKAGEFDDNLQPIGKENFKANEEDWNNFTLDEPDDETSEIRPGTTKRRQYYYKRMADALLDCHPSISEKTYFYRIVMTLTCPLPEEQNTRGRKIYPPEESPQGFGILTSKPIPKISAFPIFTRSGEVSVGIELCKDDLILSENQICKIREFVNYTFTSVLRLQKYLMLFDPNSSSNNYLIVPTKHENNNFDVDWPFIDRIYENLNVLPELIPDDNRRSYEFRIDDYKDAVVMPWYRNQDQPQYFYVAQICGNLHPKSAFPGSEYATFEEYYKRKYGLQIQNHHQHLLDVDHTSARLNFLTPRYVNRKGVALPTSSEETKRAKRENLEQKQILIPELCAIHPFPASLWRKAVCLPCILYRINALLLTDQIRRTVAQDLHLGVLDLKPDFKWPALNFGWSLSDVLQKSREEELKKLETKVVKLNLDELMKSDEIIEEISRPCDEKLDQDDDVEADDNNRQKWSIGTWSNEMATNSDSVTENSLVRYASPTSWLSNYGDDDFSDSDETESDESESQFGGLRIEFKDNVAEALDDEEYPDDNEFKLYEELQAWKDDDESEYTEDLRKQFQLACERNKQHILKSGIVIPVNETYKKAVVKRNSTSRQINVNVDETFCTLLYVECTRVAEVYNDYTLNYKNTYDISEPLNFSFDFQPDLQEHPGPSPNVLLQALTMSNANDGINLERLETIGDSFLKYAITNYLYAKYEHVHEGKLSHLRSKQVSNLNLYRLGKRKQLGDFMIATKFDPHDNWLPPCFYVPKKLEEALIDAQFPANCWTMADMAATRDMTLDEICSMVRKKGEAYPIISSIIPYNLVTQHSIPDKSIADCVEALIGAYLIECGPRGAHLFMAWLGIRVLPQNSDGTYGEVLIPHSPLRRFVDNPEGQLDRLLDGYEVFEKHIGYKFRDRSYLLQALTHASYSPNQLTDCYQRLEFLGDAVLDYLITRHLYEDRRMHSPGALTDLRSALVNNTIFASLAVRNGFHKYFKHLSPGLNEVIEKFIRLQEESGHALFDELYLVVESECEEVEDVEVPKALGDVFESVAGAIFLDSGMSLDAVWKVYYQMMKNEIEQFSNKVPKSPIRELLELEPETAKFGKPEKLADGRRVRVTVEIFGVGVFKGIGRNYRIAKCTAAKCALKHLKRRGLIKRKEN</t>
  </si>
  <si>
    <t>MANINLDKETFHRRLKKLYSAWQKSESENGFSKMDALVTAVGVDDEVVYSKSGALQTWLLGYELTDTIMVLTEKKAHFLASKKKIDFLRQAETKDENSIQLSLHVRDRTSDEANFKLLIDAIKESKNGKTIGVFSKDNYPGAFMDAWRAALSKVSFQTVDVSAAIAYLLSPKEDSEIITIKKACMVSVDVFTKYLKDQIMEIIDSDRKVKHSKLAEGVESAIADKKYVSGVDVSQVDMCYPAIIQSGGNYSLKFSVVSDKNTLHFGAIICSLGARYKSYCSNIVRTLLVNPNEQVQNNYNFLVTLEEEVLKKLQAGTKLSEVYEAGYNFVKKEKPELADNLTKNFGFATGIEFKESSLMIGPKTTLPAKKGMVFNVNMGFSNLENKDATDKEGKTYALFIGDTVMVNEGQPASVLTMSKKKIKNIGIFLKDESDDEDNDDEKENAPKPEILGRGKRTAVLESKLRTEHTSEEKRKEHQKELASMLNEKAKERLAKQSGSKDVEKVRKSTVSYKNVNQMPRVPEVKELKLYVDQKYETVILPIYGIAVPFHISTIKNISQSVEGDYTYLRINFFHPGSTMGRTDGGNYQQPEATFVKEVTYRSLNTKEPGEISPPSSNLNTAFRLIKEVQRKFKTREAEEREKEDLVKQDTLVLSQNKGNPKLKDLYIRPNIVTKRMTGALEAHSNGFRYTSVRGDKVDILYNNIKNAFFQPCDGEMIILLHFHLKHAIMFGKKKHVDVQFYTEVGEITTDLGKHQHMHDRDDLAAEQSERELRHKLKTAFKSFCEKVEAMTKQEIEFDTPFRELGFPGAPYRSTVLLQPTSGCLVNLTEWPPFVITLEDVELVHFERVQFHLKNFDMIFVFKDYQRKTAMVNAIPMNMLDHVKEWLNSCDIRYSEGVQSLNWVKIMKTITDDPEGFFESGGWTFLDPESDEEAQAQEEETEDEDEVYEPTDMESVSEESEEDSEYSEGDTEESDESASGEDDLGSDEESGKDWSDLEREAAEEDRERNFDDTFDRKKSHHKSSKPSKHSSSKSNHKGSPSKHSNNHHSSSSKHSSSKHSSRDSDRRKSSSSSKSKSSPSKDKDRHHRSSHSDSKKRSREESSDKHKSKKSKK</t>
  </si>
  <si>
    <t>MYEQDEDQFDDEESEEISSELWQEACWIVINAYFDEKGLVRQQLDSFDEFIQMSVQRIVEDSPQIDLQAEAQHTSGELENPSRYLLKFEQIYLSKPTHWEKDGAPSPMMPNEARLRNLTYSAPLYVDITKTIVKDGEDPIETQHQKTFIGKIPIMLRSTYCLLNGLTDRDLTELNECPLDPGGYFIINGSEKVLIAQEKMATNTVYVFSMKDGKYAFKSEIRSCLEHSSRPTSTLWVNMMARGGQAIKKAAIGQRIIAILPYIKQEIPIMIVFRALGFVADRDILEHIIYDFEDPEMMEMVKPSLDEAFVIQEQNIALNFIGTRGARPGVTKEKRIKYAREILQKEMLPHVGVSDFCETKKAYFLGYMVHRLLLAALGRRELDDRDHYGNKRLDLAGPLLAFLFRGLFKNLMKEVRMYAQKFIDRGKDFNLDLAIKTKLITDGLRYSLATGNWGDQKKAHQARAGVSQVLNRLTFASTLSHLRRVNSPIGRDGKLAKPRQLHNTLWGMICPAETPEGAAVGLVKNLALMAYISVGSQPSPILEFLEEWSMENLEEIAPSAIANATKIFVNGCWVGIHRDPEQLMATLRKLRRQMDIIVSEVSMIRDIRDREIRIYTDAGRICRPLLIVENGTLLLKKRHIDMLKEREYNNYGWQVLVASGVVEYIDTLEEETVMIAMSPDDLRQEKEYAYCTTYTHCEIHPAMILGVCASIIPFPDHNQSPRNTYQSAMGKQAMGVYITNFHVRMDTLAHVLYYPHKPLVTTRSMEYLRFRELPAGINSIVAIACYTGYNQEDSVILNASAVERGFFRSVFYRSYKDAESKRIGDQEEQFEKPTRQTCQGMRNALYDKLDDDGIIAPGIRVSGDDVVIGKTMTLPENDDELDGTTKRFTKRDASTFLRNSETGVVDQVMLTLNSEGYKFCKIRVRSVRIPQIGDKFASRHGQKGTCGIQYRQEDMIFTCEGLTPDIIINPHAIPSRMTIGHLIECIQGKVSANKGEIGDATPFNDAVNVQKISTLLQEYGYQLRGNEVMYNGHTGRKINAQIFLGPTYYQRLKHMVDDKIHSRARGPVQILVRQPMEGRARDGGLRFGEMERDCQISHGAAQFLRERLFEVSDQYRIHVCNFCGLIAIANMRNNTFECKGCKNKTQISQVRLPYAAKLLFQELMSMNIAPRLMVL</t>
  </si>
  <si>
    <t>MALKAQVGLKIMNEVVKLKEKKKNGPGQTHAIEWRVLVVDQLAMRMVSACCKMHDISAEGITLVEDIHKKREPLASMEAVYLITPSEKSVHSLMADFEGPRPMYRGAHVFFTEVCPEELFNELCKSCAAKKIKTLKEINIAFLPYESQVFSLDSPDTFQCFYDPSFAAARNANMERMAEQIATLCATLGEYPSVRYRSDWERNVELAQLIQQKLDAYKADEPTMGEGPEKARSQLLILDRGFDCFSPLLHELTFQAMAYDLLPIENDVYKYEASQGVVKEVLLDENDELWVELRHQHIAVVSQSVTKNLKKFTDSKRMTQSDKQSMKDLSQMIKKMPQYQKELSKYATHLHLAEDCMKAYQGYVDKLCKVEQDLAMGTDAEGEKIKDHMRNIVPILLDPKITNEYDKMRIIALYAMTKNGITEENLSKLATHAQIKDKQTIANLQLLGVNVISDGGNRKKPYTVPRKERITEQTYQMSRWTPIIKDIMEDCIEDKLDHKHFPFLAGRAQASAYHAPTSARYGHWHKDKTQQTVKNVPRLLVFIVGGMCFSEMRCAYEVTNAVKNWEVILGSSHILTPEGFMSDLATLTG</t>
  </si>
  <si>
    <t>MANVNLDKQSFHRRLKKLYNSWQNTDGENGFSKMDALVTAVGKDDDIVYSKSGALQIWLLGYELTDTIMVLVEKKAYFLTSKKKVEFLRQAELKEKDENQIQLNLLVRDKDSDEAKFKILCEAIKESKNGKTLGVFAKDNYSGSFVDNWKAMLKKQEFQTADMSSQIAYLISPKEESEITTMKKASQVTVDVFTKYLKDQIMEIIDSEKKVKHSKLAEGVESAISDKKYVSGVDVNQVDMCYPAIIQSGGTYNLKFSVISDKNSLHFGAIVCSLGARYKSYCSNIVRTLLVNPTEEIQNNYNFLLTIEEELIKVLQNGVKLSEVYDTGYNMVKKEKPNLADHLTKNFGFAMGIEFKENSLIIGPKTTVEAKKGMVFNLNIGFSNLENKEASDKEGKIYALFIGDTVLVNEGQPASVLTPSKKKIKNIGIFLKDDSDAEENDEEKENTPKKTEILGRGKRTAVIESKLRTEHSTEEKRKEHQKELAAQLNEKAKERLAKQSGSKDKEKVRKNTVSYKSVNQMPRVPEVKELKLYVDQKYETVILPIYGIAVPFHISTIKNISQSIEGDYTYLRINFFHPGTTMGRNEGNVWSQPEATFLKELTYRSTNTKEPGVVTAPSSNLNTAFRLIKEVQRKFKTREAEEKEKEDLVKQDTLVLSQNKGNPKLKDLYIRPNIVSKRMTGSLEAHTNGFRYTSVRGDKVDILYNNIKNAFFQPCDGEMIILLHFHLKHAIMFGKKKHVDVQFYTEVGEITTDLGKHQHMHDRDDLAAEQSERELRQKLKTAFKSFCEKVESMTKQEIEFDTPFRELGFPGAPFRSTVLLQPTSGCLVNLTEWPPFVVTLEDVELVHFERVQFHLKNFDMVFVFKEYLKKTVMVNAIPMNMLDHVKEWLNSCDIRYSEGVQSLNWVKIMKTITDDPEGFFDSGGWTFLDPESDEEQAKEEESEEEDEAYQPSDLEEVGSDWSEEDSEYSEGDTEDDDDDEDASEDLGSDEESGKDWSDLEREAEEEDREKVYTAEDEGDRRNKHRSKGHDKFSSKGGKSSKDKSRHSSSSHKSPSKHNSSSSSSKHSPSKDKDRNSSSKSRDKDRHSSSNHKSSSHSSSSRDKDKDRKKSSSSHKSSSSGDKKRQRSPSGDKHHSKKSRK</t>
  </si>
  <si>
    <t>MALKNQVGQKIMNEVIKHKPTKKNGPTPGQQAHGVEWRILVVDQLAMRMVSACCKMHDISAEGITLVEDIMKKREPLGTMEAVYLITPSEKSVHALMNDFEPPRQMYRGAHVFFTEACPDQLFSTLCHHPVAKFIKTLKEINIAFIPTESQVFSLDSPDTFQCSYDPSFSAARNANMERMAEQIATLCATLGEYPHVRYRTDWERNVELAQLIQQKLDAYKADEPTMGEGPEKARSQLIILDRGFDCVSPLLHELTFQAMAYDLLPIENDVYKYEASAGVMKEVLLDENDELWVDLRHQHIAVVSQSVTKNLKKFTDSKRMTQSDKQSMKDLSTMIKKMPQYQKELSKYATHLHLAEDCMKAYQGYIDKLCKVEQDLAMGTDAEGEKIKDHMRNIVPILLDPKITNEYDKMRIIALYAMTKNGITDENLSKLATHAQIKDKQTIANLQLLGVNVINDGGPRKKQYTVPRKERITEQTYQMSRWTPIIKDIMEDCIDDKLDQKHYPYLSGRAQSTGYHAAPSSARYGQWHKDRGQQAVKNVPRLLVFVVGGISFSEIRCAYEVTNAQKNWEVIIGSSHILTPEDFLSNLATLAG</t>
  </si>
  <si>
    <t>MALKGQVGQKIMNEVIKHKPKKNGPAHGVEWRVLVVDQLAMRMVSACCKMHDISAEGITLVEDINKKREPLNTMEAIYLITPSEKSVHSLMNDFESPRLMYKGAHVFFTEEVFSLDCPETFQCSYDPAMEAARNANMERMAEQIATLCATLGEYPSVRYRSDWERNVELAQMIQQKLDAYKADEPTMGEGPEKARSQLLILDRGFDCVSPMLHELTFQAMAYDLLPIENDVYKYEASAGVFKEVLLDENDELWVELRHQHIAVVSQSVTKNLKKFTDSKRMTQSDKQSMKDLSQMIKKMPQYQKELSKYATHLHLAEDCMKSYQGYVDKLCKVEQDLAMGTDAEGEKIKDHMRNIVPILLDPKITNEYDKMRIIALYAMIKNGITDENLSKLATHAQIKDKQTIANLQFLGVNVINDGGNRKKPYSVPRKERITEQTYQMSRWTPVIKDIMEDAIEDKLDQKHFPFLAGRAQTSAYHAPTSARYGHWHKDKAQQTVKNVPRIIVFIVGGMSFSEIRCAYEVTNAQKNWEVIIGSSNILTPQSFLKDLNTLTV</t>
  </si>
  <si>
    <t>DDFIPRNYQIQLMEIALQQNTIIYLPTGSGKTFIALMTLKQLSEPLAKSYSEGGKLSVILVNTVALVDQHAKYFENHTYFKVGRYSGEFNLDFWPREKWYEEYNKFNVIIMTSQILKNLIESNYIDLNKINLLIFDECHHGVSNQPMRQIMMNFQGLTSPPRVLGLTATLLNGNCSPLKAMNEVKTLETTYHAKVATVNGLEVIVGYSTNPKELIHYFDKHMCSSIEMEAITELQKVANVLCSIRLINKKPDKVMNLQRLDENETDMKKLKNLVEDCIKQIQMFGMYGGCIATISYIFQIERIKRTCIDADVMQLLNYVTSVLSYIKKIFENKMKDVEGKDKILKYSSNKVIVLISVFEEFKLNSKEELCGIVFVERRFTAKIVCHILEHLALFDSTFQVKANFMVGMQNNPYSNMKENLFIAKKNKQVIESFIHKEINVICSSSVLEEGVDIPKCTLVIKFDKPTNYRSYIQSKGRARHKLSMFYTLVEKEEGAKYLSTLKQFQDVENILNNYLIGKNMERPQPTQQDLMEMYNENPLPPYYVDGPNSANVNMLSAIALLCQYCQSLPTDGYTVYAPDWYIEKKEKTRVHIMMPTICPIVEPIAGHWMSNAKDAKRAAALRACILLHQCGELDDHLMPKKQEVTEEDVSFLFTHYPAVKEANAGTKNKRRLHKKQVPKCLQGELKSNSMKLYLHIINLSPEFSRKEDINQSTLYDMYSSNLCYGVLSPRALPVICDFPTYVSLGTVNVSVEINKGCVVLTKTDLDDIKEFQYLIFNDVLEVLKPFLIFDNSHESQLLLVVPVNKQYRTIDFDVLRNHFSLKPMYGSLTLDEKLNLDVTQENYLKKIVSPTYRSGTMYVVTEVSYNRNPTSDFPNSNYSNFMEYYKDKHNISVLNKNQPLLLVKALSKRLNLIKPRGEMSKKKRKYEEAVEYLIPELLIKQDIPGELWIQASFLPTILTRIVFLLNVEELRSRIALETRLGQVQVLECSPLKLDEHLLDYDPNIEKKENPVKITIQESTGLTENINFVSKVINKDYSAKRTEAEYPWSDIEEPKDLDRQLNVTIMDIEYYEQFMQKKTPDIKSPSPKHVYPALTYNKDFTEVKLGCLQIPFYNQGPDQCDVYKALTAIKANDIVNLERLETLGDSFLKLIATLYITLKFPDFNEGQSTTLKSRIVSNKNLYYLAVKKNLGGIMQYSTLAPKEEWLPPSYCAPSKVQNEILDKNMSYSSLFDVNIPAEEQITGILSLDTVNEINNLETVKENPEELESCLHSVCHFLKHQYIGDKNVADAIEALIGLYFETSGFTGAVKIVEWIGIIPKSERLLDLIKQPSKSPLITSVTDISRFNFMLPEWVKIEKQLDYTFKNRAYLLQALTHGSYSCNRLTRSYETLEFLGDAVLDFLITCHIYESCGFLNPGQLTDLRSALVNNNTFASFVVRLGIQKSLLIMNSQLQGQIDRFVSYMQSRNYVIDDEVVILLDEDDLHLAEYVDVPKILGDIFEALAGAIYLDSNKDLNVVWRVFYKIMYKEIDMFSKNVPKNVIRKLYETQGLYPKFSDATPATGNTTMVALEYMLNGRPKRVFGFGTNKTMAKKAAAKIALRSLNL</t>
  </si>
  <si>
    <t>KERSERDILLTKWRKNYCATSEEMSSKMEELAKENNEEDVTEEKSMWTRTTPADLYYVRDEENAKLIKGSEKQLQLCDEFKANLIDRKKNSNKDKPKYVPPPRKNRARLCKHKSEVHSSSSGSSSEDNLTDEEDYTMEELQRKQQHPDRLHPEMWYNDPGEMNDGPLCRCSVKSRKSGIRHGIYPGEKRQIKCDVNSNNATKLYHYRITISPPTNFLTKTPTIIQHDEHEFIFEGFSMFSHFPLVKLPTCKVIRFNIEYTIFYIEEKIPDNFTIRELDLFYEYLFVELLELVDLDFKAYNDKEGCAQFHFMPRFVRELPDNGKEILSMNEVLIYLLNSSGPLIEKNKLVDMVNMSQFEWQSYADEIKGMIVTYPGKKPCSVRVDQLDRNLDKQGMGDYKFPEIVHFGIRPPQLSYAGNPDYQKAWRDYVKFRHLIANMPKPSFEDKRKLEAKENKLQEMRTQGKMKRDVTVDISSEGFYRTGIMCDIIQHAMLIPVLVCHLRFHHALDILEESICYKFANRSLLQLALTHPSYRENFGTNPDHARNSLTNCGIRQPEYGDRRIHYLNTRKRGINTLINIMSRFGKQYETESNIGHNERLEFLGDAVVEFLSSIHLFYTFPSLEEGGLATYRAAIVQNQHLAVLAKKLRLDQFMLYAHGSDLCHDLELRHAMANCFEAFMGALFLDGGIEVVDKVFSETLFKECSDILEVWVNYPPHPLQQQEPTGDRQWIPKFELLQKLTKFEESIGVEFNHIRLLARAFTDRSIGYTNLTMGSNQRLEFLGDTVLQLIASDYLYKFFPEHHEGHLSLLRSSLVNNRTQAVVCDDLGMTNYAVYHNPKLELKTKDRADLLEAFIGALYVDQDLESCEVFCQVTLFPRLQDFIVKQDWNDPKSKLQQCCLTLRTMDGGEPDIPVYKVIECKGPTNTRLYTVAVYFRGKRLAHETGHSIQQAEMKAAKKALDVSQDLFPQLDHQKRVIAHSMKKQKNKRKDKKNYDSRTPERYSKYRFRSKSRSRSRSRSISYRSRSRTRHSSRSKYKRSKSRSRSCDSPSPKRYNRKSRSRSFSTTRQEKGECS</t>
  </si>
  <si>
    <t>SVLQELLSRRGITPKYELVQIEGAIHEPIFRYRVFLSAELVATGTGRSKKDAKHAAAKNLLDLLVGKLSPEQANQTNGTPGANDITAQVVSPYDDKVMGNPIGWLQEMCMSRRWPPPSYEMEHEEGLPHERQFTIACQVLKFREVGTGKSKKLAKRMAAHKMWQALQDLQLENAVLPEGEEDDKIPLNIKDINFVELLSEIAQEQSFEVTYVDIEEKSFSGRCQCLVQLSVLPVAVCYGTGATPKEAQARAAHNALEYLKIMTKK</t>
  </si>
  <si>
    <t>NTLKNQGNEFTMSVGKHTATVVCKNKRDGKQRAAQAILQSLHPHITSWGSLLRLYGNRSVKSFKEKKLDEQEITJXZLIEKGKNHFEMLPEGWIQVTHDSGMPLYLHKQSRCCTLSKPYFLGPGSVRKHEIPLSAIPCLNYRKALEKEKEPPLEPKLDPNNSLKDIPNARIETVQENIEKHNLKPKSYVCILHEYVQHALKKQPSYKYTELENAATPYQATVSIKDMKYGVGYGTSKKQAKAEAARATLEILIPEMKSKIVLRFKSWSERREFTKKKKTSKQLERPTLPDGTKLITFPIKTSTGENNSNAKKEWIMNPNG</t>
  </si>
  <si>
    <t>MEPRGKGRARGRSVPAAVPPTAQRPGVPQQQQQGGPPRPAPGFGGPPAPQGAWANRAPQQQQPPRPQHVPQQAPWARQAAPLQAQQEVAGRGTRQGGGGDHAVPPAASGGIPNVILGQGDGGNQDPPGSAGRRGGGGGNGGVRGRATRNEIIKTRPETLQSKCGTSGAHLKLQANYLELIQAGKWCLNQYRVDMVPELDNIGERKGLMRLAMKDVLNGYLFDGTVLYTVQTINPDPLEKFVESANGEKVRITVRRVGDVAWGDYHYIQLFNIIIRKCLHYMKFQLVGRSYYDPTSKIQIHEHKLELWPGYFTSMRQHEKKILMTIDVDFKVLRTDNVYDMMCQSRDARAFQNSVIDSVVLTYYNNKTYRIDDVDFKANPKSTFATRDGGQISYIDYYKQKYNIRIQVEDQPLLVSRSKPREIRAGMPETVILIPELCKLTGLTDRQRENFQLMKSLGNYTRVAPQGRIQKLMEFCQRMRACKEVIDELKRWDLQIANTLIELPGRQLPPEKIFAGNQKQFSAGPQADWTRDLRSAPMLVNADMSRMAVICPNKMARDANDFIGILQKAAQGMSFQIKPKLFTIQRDDINSYLEQIEEVTGMNPTLVMCILPNPTVDRYSAIKKKCTVDRGLPSQVILAKNLTSKGVMSIATKVAIQLNCKIGGAPWSVHMPLPGLMIVGYDVCRDSAKKSKSFGAFVATLDKGATRYINFVNEHEHQEELSNHFATNMILACKAYETQNGVKPKCILIYRDGVGEGQLPFVHEQEVKNIEQKLKQELYGDTEFKMAFVVVSKRINTRIFHKADNPPPGTVVDDVITLPERYDFFIVSQCVRQGTVAPTSYNVIHDTIGLPPDKLQILTYKLTHMYYNWSGTVRVPAPCQYAHKLAFFTAKFLHRQPHRDLANTLFYL</t>
  </si>
  <si>
    <t>KNTKTPIMVLQELTQKNHWAPPEYNIVHSTSGTHINRFDFEVHVHHIVAYGTGTSKQIGKQEAAFNALRDLKELGFYNEAENPTQQFSGGIVSPAPESPLVKFNNSYIAALSDLCFENKIANPVYKEISGTGPAHSREFTYECQISSIKTEAISTTKKAAKQLAAQKMLERIKNIVPELVKEFELSPMQSEDVALKKYKEFSIFNVVENKSVPIKDFTETLPNLARERNFTYTDFEQDLQEKTEESLKAILDKLELEYKIIEFQSEPYIAYLTLSTDTPFTLMGVGENKSIATEEIIIQTFKLLDCYL</t>
  </si>
  <si>
    <t>RQATRVTSWQLPTILDTTQKEKHLLFYNVSRTMCHDDMDSIAQHIENASSALKVSQSFIVAISTSDTNVVVHLKVVEEKEFYVKLNKEYSLMISPSEPKYVYFSYaARDVSDTVIIEVDSEDDVCFTVSVQDSACPVLVTNKDITYEGYYQTVSTKGALIIKKTNFKYGFFLVFVAKPDNYDCGQEKSILPIPRTYKMALGNRTSSLTFNIKNSINDGDYIQASVITVLFLGIFGFAIFMMTVAFYKWGTLSKIHLEKVEKIDSANGDLLKPQSANRIDYLLNLDNLKLNALAQHPKIDKRRSFNYLWHICSIALFYSIPVVQLVVTYQRVANKTGNQDMCYYNFMCAHPKFGFSDFNHIYSNVGYVFMGIVFILSSIHRQMKVPLRLQIGIPVHYGLFYAMGMALIIEGLLSACYHICPSQSNYQFDTSFMYVMSVLIMVKLYQNRHPDINASAYATXTFTMLGFTVFLAMVGILNSSLFVWILFVLVYSVLCIYISFKIYFLSFILEGFRKFKNDIVKQGFTKKTFEPVKKVRFILLLLVNLLNYVMLISGLLMYHSGITDFGTFLLGLLMGNSIIHAMFYT</t>
  </si>
  <si>
    <t>RQATRVTSWQLPTILDTTQKEKHLLFYNVSRTMCHDDMDSIAQHIENASSALKVSQSFIVAISTSDTNVVVHLKVVEEKEFYVKLNKEYSLMISPSEPKYVYFSYARDVSDTVIIEVDSEDDVCFTVSVQDSACPVLVTNKDITYEGYYQTVSTKGALIIKKTNFKYGFFLVFVAKPDNYDCGQEKSILPIPRTYKMALGNRTSSLTFNIKNSINDGDYIQASVITVLFLGIFGFAIFMMTVAFYKWGTLSKIHLEKVEKIDSANGDLLKPQSANRIDYLLNLDNLKLNALAQHPKIDKRRSFNYLWHICSIALFYSIPVVQLVVTYQRVANKTGNQDMCYYNFMCAHPKFGFSDFNHIYSNVGYVFMGIVFILSSIHRQMKVPLRLQIGIPVHYGLFYAMGMALIIEGLLSACYHICPSQSNYQFDTSFMYVMXVLXMVKLYXNRHPDINASAYATFSLLGLAIFFAMVGILNGTLTIWIIFVITYGCICLYLSFKVYFFSYILEGVKKFRTDITELGYTVDTLIPIKRGRFILLFIVNVVNFGMLISGILLYNSPSLDFGTFLLGLLMANSILHCFFYTAMKIIHKERICLEATIYGVLAIAFWCSASIYFFDAATLWTVTPAESRVKNQECIVADFYDRHDVWHLLSAPALFFTFMLLQCLDDDLINVHHREIEVF</t>
  </si>
  <si>
    <t>EYDAVQRIKVGKTRRFSKQTFEYFLVLDFEATCWDKGDYDKGSSEVIEFPCVLYDVKNNEIVDEFQQYVMPFEKPKLSPFCTNLTGIEQHQVENGVPLKTCLMLFNKWLNKLIKEHKLSFVRQENLKYTGFCTWSDWDLGTCLFRECKRKGIYRPEHFSRWIDVRAIYKDHYARRPHGLLGALTELGLEFEGRQHCGLHDARNTARLVGRMVEDGVYFKLTKDITGKR</t>
  </si>
  <si>
    <t>MANINLDKDAFHRRLKRLYTAWQKAEGENGFSKMDALITAVGKDDEIVYSKSGALQTWLLGYELTDTIMVLTENKAYFLASKKKIDFLKQAESKDENNIQLSLLIRDKDSDDANFKTLVNAIKDSKSGKSIGVLSKDNYPGPFMESWRNLLKKEEFVSIDVSAPLALLMSPKEDSEIITIKKACLVSVDVFTKYLKDQIMEIIDSDKKVKHSKLAEGVESAIQDKKYVSGVDVNQIDMCYPAIIQSGGNYSLKFSVVSDKNTLHFGAIICSLGARYKSYCSNIVRTLLVNPSDEVQGNYNFLVQLEEEVLKKMQAGTKISEVYEAGVDYLKKEKPQLLDNLTKNFGFAMGIEFKESSLILTGKTTAVLKKGMVFNVNLGFSNLKNKDSSDKQSATYALFLGDTVIVNEGQPATVLTVSKKKIKNIGIFLKDDSEEEENDDEKENTPKPEMLSGRAKRTAVLENKLRTEHTSEEKRKEHQKELAQLLNEKAKERLAKQSGAKDVEKVRKNTISYKNVNQMPRVPEVKELKLYVDQKYETVILPIYGIAVPFHISTIKNISQSIEGDYTYLRVNFFHPGSTMGKNDGNYQQPEATFVKEVTYRSINTKEPGEISPPSSNLNTAFRLIKEVQRKFKTREAEEKEKEDLVKQDTLVLSQNKGNPKLKDLYIRPNIVSKRMTGSLEAHNNGFRYTSVRGDKVDILYNNIKNAFFQPCDGEMIILLHFHLKHAIMFGKKKHVDVQFYTEVGEITTDLGKHQHMHDRDDLAAEQSERELRHKLKTAFKSFCEKVESMTKQEIEFDTPFRELGFPGAPFRSTVLLQPTSGCLVNLTEWPPFVITLEDVELLHFERVQFHLKNFDMVFVFKDYARKTAMVNAIPMNMLDHVKEWLNSCDIRYSEGIQSLNWVKIMKTITDDPEGFFESGGWTFLDPESDVEEAAQDEESEDDEAFDPSDLESVSEESDEDSEYSEGDTEDDDDGSEDLGSDEESGKDWSDLEREAEEEDLNKDRGKFDEDDFKRNRNPAKSSSKVSSSKRKGSSHSPKKHSSSSKHNSSRDKDKRRERDRHNSSNSSGKHKSSSHSKSSSSHKSPSKDHGKSSSSRHNSSSDKKRSRDDSGSSDRHKSKKSRK</t>
  </si>
  <si>
    <t>MYDQDEEQYEEEDAEEISSELWQEACWIVINAYFDEKGLVRQQLDSFDEFIQMSVQRIVEDSPQIDLVAEAQHTSGEVENPPRYLLKFEQIYLSKPTHWEKDGAPSPMMPNEARLRNLTYSAPLYVDITKTIVKEGEDPVETQHQKTFIGKIPIMLRSTYCLLSGLTDRDLTELNECPLDPGGYFIINGSEKVLIAQEKMATNTVYVFSMKDGKYAFKSEIRSCLEHSSRPTSTLWVNMMARGGQAVKKAAIGQRIIAILPYIKQEIPIMIVFRALGFVADRDILEHIIYDFDDPEMMEMVKPSLDEAFVIQEQGVALNFIGARGARPGVTREKRVKYAREILQKEMLPHVGVSDFCETKKAYFLGYMVHRLLLASLGRRELDDRDHYGNKRLDLAGPLLAFLFRGLFKNLMKEVRMYAQKFIDRGKDFNLDLAIKTKLITDGLRYSLATGNWGDQKKAHQARAGVSQVLNRLTYASTLSHLRRVNSPIGRDGKLAKPRQLHNTLWGMICPAETPEGAAVGLVKNLALMAYISVGSQPSPILEFLEEWSMENLEEIAPSAIANATKIFVNGCWVGIHRDPEQLTATLRKLRRQMDIIVSEVSMIRDIRDREIRIYTDAGRICRPLLIAKNGSLLLKKEHIDMLKEREYNNYGWQVLVASGVVEYIDTLEEETVMIAMSPDDLRQDKECAYCTTYTHCEIHPAMILGVCASIIPFPDHNQSPRNTYQSAMGKQAMGVYITNFHVRMDTLAHVLYYPHKPLVTTRSMEYLRFRELPAGINSIVAIACYTGYNQEDSVILNASAVERGFFRSVFYRSYKDAESKRIGDQEEQFEKPTRQTCQGMRNALYDKLDDDGIISPGIRVSGDDVVIGKTMTLPENDDELDGNTKKFTKRDASTFLRNSETGVVDQVMLTLNSEGYKFCKIRVRSVRIPQIGDKFASRHGQKGTCGIQYRQEDMIFSCEGLTPDIIINPHAIPSRMTIGHLIECIQGKVSANKGEIGDATPFNDAVNVQKISTLLQEYGYQLRGNEVMYNGHTGRKMNAQIFLGPTYYQRLKHMVDDKIHSRARGPVQILVRQPMEGRARDGGLRFGEMERDCQISHGAAQFLRERLFEVSDPYRIHVCNFCGLIAIANLRNNTFECKGCKNKTQISQTWIL</t>
  </si>
  <si>
    <t>ACCATGGCGTTAAAGAACCAAGTTGGTCAAAAAATCATGAATGAAGTCATCAAGCACAAGCCCACCAAGAAGAATGGGCCAACTCCAGGACAGCAAGCCCATGGGGTAGAATGGAGGATCCTTGTGGTGGACCAGCTTGCCATGAGGATGGTTTCAGCATGCTGTAAAATGCATGATATATCAGCAGAAGGCATTACATTGGTTGAAGATATTATGAAGAAAAGGGAACCGCTTGGTACCATGGAAGCTGTGTACTTGATAACACCTTCAGAAAAGTCAGTTCATGCTCTTATGAATGACTTTGAACCACCAAGACAGATGTACAGAGGGGCACACGTGTTTTTTACAGAAGCGTGTCCAGACCAATTATTTAGTACCTTGTGCCACCACCC</t>
  </si>
  <si>
    <t>CTCGACCGAGGTTTCGACTGTGTATCTCCCCTTCTTCACGAACTTACTTTCCAAGCAATGGCCTATGACTTACTACCCATAGAAAATGATGTATATAAGTACGAAGCATCGGCTGGTGTTATGAAAGAAGTCCTTCTAGACGAAAACGACGAGCTTTGGGTCGATCTACGCCACCAACACATCGCGGTGGTGTCTCAGAGCGTCACCAAGAATCTGAAGAAATTCACCGACTCCAAACGCATGACCCAGAGCGACAAGCAGTCGATGAAGGATCTCTCAACCATGATCAAAAAGATGCCGCAATATCAGAAAGAATTGTCCAAGTATGCTACGCATCTTCATCTCGCTGAAGACTGCATGAAGGCCTATCAGGGGTATATAGACAAGTTGTGTAAAGTTGAGCAGGATTTGGCAATGGGAACTGATGCCGAAGGCGAGAAAATCAAGGATCACATGCGCAACATCGTCCCCATCTTGCTAGATCCCAAAATCACCAATGAATACGATAAGATGCGTATTATAGCATTGTACGCCATGACGAAAAACGGCATCACAGATGAAAATCTCTCCAAATTGGCTACCCATGCCCAAATCAAGGACAAACAGACCATCGCCAACCTTCAGTTA</t>
  </si>
  <si>
    <t>CCTACCCATTGGGAGAAAGACGGTGCCCCATCTCCTATGATGCCTAATGAAGCTAGATTAAGAAATTTGACTTATTCTGCTCCTCTTTATGTAGATATAACAAAAACAATTGTGAAAGAAGGAGAGGATCCTATAGAAACTCAACATCAGAAAACTTTTATAGGTAAAATTCCCATTATGTTGAGGTCAACATACTGTCTGCTCAGTGGATTAACAGATCGTGATTTAACAGAATTAAACGAGTGTCCCTTAGATCCTGGCGGATATTTCATAATTAACGGTTCTGAAAAAGTATTAATTGCTCAAGAGAAGATGGCAACTAACACAGTATATGTATTTTCAATGAAAGACGGAAAATATGCGTACAAATCTGAAATAAGATCTTGTCTTGAGCACAGCTCTCGGCCAACATCAACTCTGTGGGTAAATATGATGGCTCGTGGTGGCCAGGCCATCAAAAAAGCTGCT</t>
  </si>
  <si>
    <t>AAAGCCATTGTGTTCCGTCCATTCAAAGGTGAAGTCCTGGATGCGGTGGTTCGACAAGTCAACAAAGTTGGCATGTTCGCCGAAATAGGTCCTTTATCTTGTTTCATTTCTCATCATTCCATACCCGCAGAAATGGAGTTTTGTCCTAACGTTAATCCCCAATGCTATAAGACTAAAGACGAAGATGTTGTGATACGAGCAGAAGGAGAAATCAGATTGA</t>
  </si>
  <si>
    <r>
      <t>Supplemantary Table 1: Potantial RNAi targets in</t>
    </r>
    <r>
      <rPr>
        <b/>
        <i/>
        <sz val="14"/>
        <color theme="1"/>
        <rFont val="Calibri"/>
        <family val="2"/>
        <scheme val="minor"/>
      </rPr>
      <t xml:space="preserve"> T. castaneum</t>
    </r>
    <r>
      <rPr>
        <b/>
        <sz val="14"/>
        <color theme="1"/>
        <rFont val="Calibri"/>
        <family val="2"/>
        <scheme val="minor"/>
      </rPr>
      <t xml:space="preserve"> and</t>
    </r>
    <r>
      <rPr>
        <b/>
        <i/>
        <sz val="14"/>
        <color theme="1"/>
        <rFont val="Calibri"/>
        <family val="2"/>
        <scheme val="minor"/>
      </rPr>
      <t xml:space="preserve"> D. v. virgifera  </t>
    </r>
  </si>
  <si>
    <r>
      <t xml:space="preserve">Supplemantary Table 2: RNAi diet-based bioassay dose-response in  </t>
    </r>
    <r>
      <rPr>
        <b/>
        <i/>
        <sz val="14"/>
        <color theme="1"/>
        <rFont val="Calibri"/>
        <family val="2"/>
        <scheme val="minor"/>
      </rPr>
      <t>D. v. virgifera</t>
    </r>
  </si>
  <si>
    <t>Tc dre4</t>
  </si>
  <si>
    <t>Tc RpII140</t>
  </si>
  <si>
    <t>Tc Rop</t>
  </si>
  <si>
    <t>Dvv dre4</t>
  </si>
  <si>
    <t>Dvv RpII140</t>
  </si>
  <si>
    <t>Dvv Rop</t>
  </si>
  <si>
    <t>Ma dre4</t>
  </si>
  <si>
    <t>Ma RpII140</t>
  </si>
  <si>
    <t>Ma Rop</t>
  </si>
  <si>
    <t>Tc Ago1</t>
  </si>
  <si>
    <t>Tc Ago2a</t>
  </si>
  <si>
    <t>Tc Ago2b</t>
  </si>
  <si>
    <t>Tc Ago3</t>
  </si>
  <si>
    <t>Tc C3Po</t>
  </si>
  <si>
    <t>Tc Dicer1</t>
  </si>
  <si>
    <t>Tc Dicer2</t>
  </si>
  <si>
    <t>Tc Drosha</t>
  </si>
  <si>
    <t>Tc Loquacious</t>
  </si>
  <si>
    <t>Tc Pasha</t>
  </si>
  <si>
    <t>Tc piwi</t>
  </si>
  <si>
    <t>Tc R2D2</t>
  </si>
  <si>
    <t>Tc rsd3</t>
  </si>
  <si>
    <t>Tc silA</t>
  </si>
  <si>
    <t>Tc silB</t>
  </si>
  <si>
    <t>Tc silC|sid</t>
  </si>
  <si>
    <t>Tc snp</t>
  </si>
  <si>
    <t>Ma Ago1</t>
  </si>
  <si>
    <t>Ma Ago2a</t>
  </si>
  <si>
    <t>Ma Ago2b</t>
  </si>
  <si>
    <t>Ma Ago3</t>
  </si>
  <si>
    <t>Ma C3Po</t>
  </si>
  <si>
    <t>Ma Dicer1</t>
  </si>
  <si>
    <t>Ma Dicer2</t>
  </si>
  <si>
    <t>Ma Drosha</t>
  </si>
  <si>
    <t>Ma Loquacious</t>
  </si>
  <si>
    <t>Ma Pasha</t>
  </si>
  <si>
    <t>Ma piwi</t>
  </si>
  <si>
    <t>Ma R2D2</t>
  </si>
  <si>
    <t>Ma rsd3</t>
  </si>
  <si>
    <t>Ma silA</t>
  </si>
  <si>
    <t>Ma silB</t>
  </si>
  <si>
    <t>Ma silC|sid</t>
  </si>
  <si>
    <t>Ma snp</t>
  </si>
  <si>
    <t>ATGGCAAACATAAATTTGGACAAAGAAACTTTTCACCGCCGCTTAAAGAAGTTGTACAGTGCTTGGCAAAAATCGGAGAGCGAGAATGGTTTCTCTAAGATGGATGCTTTGGTTACAGCCGTCGGTGTGGACGACGAAGTGGTTTACAGTAAGTCGGGGGCCCTCCAGACCTGGCTTTTGGGCTACGAACTGACCGACACCATCATGGTCCTGACCGAGAAGAAAGCCCACTTCCTGGCCAGTAAGAAAAAAATTGATTTTCTGAGACAAGCCGAAACTAAGGACGAGAATTCGATTCAGTTGTCTCTGCATGTGCGAGACCGCACGAGCGACGAGGCCAATTTCAAGCTCCTCATTGACGCGATCAAAGAGAGCAAGAACGGGAAAACAATCGGGGTTTTCTCCAAAGACAACTACCCGGGCGCTTTCATGGACGCCTGGCGCGCGGCTTTGTCCAAAGTTAGCTTCCAGACAGTTGATGTGAGCGCGGCTATTGCCTATTTGCTATCGCCAAAGGAAGATTCAGAAATCATAACAATTAAAAAAGCCTGCATGGTGAGTGTCGATGTGTTTACCAAGTATCTCAAAGACCAGATAATGGAGATAATTGACTCCGATCGCAAAGTCAAGCACAGCAAACTGGCGGAAGGCGTGGAGTCTGCAATCGCCGACAAAAAATACGTTTCGGGCGTCGATGTTTCTCAGGTTGATATGTGCTATCCTGCCATAATCCAGTCAGGGGGCAACTACAGCCTAAAATTCAGTGTAGTGAGTGACAAGAACACTCTACACTTTGGGGCCATCATATGCTCGCTGGGCGCCCGGTACAAGTCCTACTGTTCAAACATTGTCCGCACGTTGCTTGTGAACCCAAACGAACAAGTACAAAACAATTATAATTTCCTCGTTACCCTTGAAGAAGAGGTTTTGAAAAAATTGCAAGCCGGGACAAAGCTTTCAGAGGTATACGAAGCCGGTTACAACTTTGTTAAGAAAGAAAAGCCTGAACTGGCGGATAATCTGACCAAAAATTTCGGTTTCGCAACGGGGATTGAATTCAAAGAGAGCTCGCTTATGATCGGCCCAAAAACAACTCTCCCGGCGAAAAAGGGAATGGTCTTCAACGTCAACATGGGTTTTAGCAACCTGGAGAACAAAGATGCGACCGATAAAGAGGGCAAAACGTACGCGCTGTTTATTGGCGACACTGTGATGGTGAATGAAGGCCAACCGGCCTCGGTCCTCACCATGTCCAAGAAGAAAATCAAAAATATCGGGATCTTTCTCAAGGATGAGTCCGATGATGAGGATAACGACGATGAGAAAGAAAATGCCCCAAAACCTGAAATACTAGGGAGGGGCAAACGCACCGCCGTTTTGGAGTCCAAACTTAGAACCGAACATACGTCTGAAGAGAAACGAAAAGAGCATCAGAAGGAATTGGCTTCGATGCTGAACGAGAAAGCAAAGGAACGGCTTGCTAAACAATCGGGATCGAAGGATGTTGAAAAAGTTAGGAAAAGCACAGTGTCGTATAAAAATGTCAATCAAATGCCCCGTGTGCCTGAAGTCAAAGAACTGAAACTCTACGTGGATCAGAAATATGAAACTGTCATTTTGCCGATTTATGGAATTGCAGTGCCGTTCCATATCTCCACCATTAAGAATATATCGCAGTCGGTCGAAGGCGATTACACGTACCTTCGGATCAACTTTTTCCATCCCGGATCCACCATGGGCAGGACCGATGGTGGCAACTACCAGCAGCCTGAAGCCACTTTCGTCAAAGAAGTTACCTACCGCAGTTTGAACACCAAAGAGCCCGGAGAAATTTCCCCTCCCTCTTCGAACCTAAACACTGCATTCCGACTAATCAAGGAAGTACAACGAAAATTCAAAACCCGCGAAGCGGAAGAACGCGAAAAAGAAGATCTTGTTAAACAAGACACGCTGGTCTTGTCGCAGAACAAGGGCAATCCCAAGCTTAAAGATCTTTACATACGACCTAATATCGTCACAAAGCGTATGACCGGCGCTTTGGAAGCTCACAGTAACGGTTTCCGGTACACTTCAGTCAGAGGCGACAAAGTTGATATTTTATACAATAATATTAAGAATGCATTCTTTCAACCTTGCGACGGTGAAATGATCATACTTTTGCATTTTCACCTGAAGCATGCGATCATGTTCGGGAAAAAGAAGCACGTGGACGTGCAGTTTTACACGGAAGTAGGTGAAATCACGACTGATTTAGGCAAACACCAGCATATGCATGATAGGGATGATTTGGCTGCTGAGCAGTCTGAGAGGGAGTTGAGGCACAAGCTGAAGACGGCGTTCAAGAGCTTTTGCGAAAAGGTCGAAGCGATGACAAAACAAGAAATCGAGTTCGATACGCCGTTCCGGGAGCTCGGCTTTCCCGGAGCCCCCTACAGGTCCACAGTATTACTCCAGCCGACGTCGGGTTGCCTCGTCAATTTAACCGAATGGCCCCCGTTCGTAATTACGCTCGAAGACGTCGAATTAGTCCACTTCGAAAGAGTCCAATTCCATTTGAAAAACTTCGATATGATTTTCGTCTTCAAGGACTACCAACGCAAAACCGCAATGGTGAACGCCATCCCGATGAATATGCTGGACCATGTCAAAGAATGGCTCAACTCTTGCGACATCCGCTACTCCGAAGGTGTCCAGTCGTTAAACTGGGTCAAAATCATGAAAACAATCACCGATGATCCCGAGGGATTTTTCGAAAGCGGCGGATGGACGTTCCTGGACCCGGAATCGGACGAAGAAGCCCAGGCCCAAGAGGAGGAAACGGAGGACGAGGACGAAGTTTACGAACCGACCGACATGGAAAGCGTGTCGGAAGAAAGCGAGGAAGATTCCGAATACTCTGAAGGCGACACTGAGGAGAGTGACGAAAGCGCTTCCGGGGAGGACGATCTAGGATCTGATGAAGAATCCGGGAAGGACTGGTCCGACCTGGAGCGGGAAGCAGCCGAGGAGGACCGGGAACGCAATTTCGACGATACTTTCGACCGGAAAAAGTCGCATCACAAGTCGAGCAAACCCAGCAAACACTCGTCGAGTAAAAGCAACCACAAAGGCTCGCCGAGCAAACATTCAAACAACCATCATTCCTCAAGTAGCAAACATTCGAGTTCGAAACATAGCAGCAGAGATAGTGATAGGCGTAAATCTTCTTCAAGTTCGAAATCGAAATCTTCACCCTCGAAAGACAAGGACCGCCATCACAGAAGCTCGCATTCGGATTCGAAAAAGCGCAGTCGGGAGGAGAGCAGCGATAAACACAAGTCCAAGAAGTCGAAGAAGTAA</t>
  </si>
  <si>
    <t>ATGTATGAACAAGACGAAGACCAATTCGACGATGAAGAGTCTGAAGAAATCAGCTCCGAGTTGTGGCAAGAGGCCTGCTGGATCGTCATCAACGCCTATTTCGACGAAAAAGGCCTCGTCCGGCAACAACTGGACAGTTTCGACGAGTTTATCCAAATGTCGGTGCAACGAATCGTCGAAGACTCGCCCCAAATCGACCTCCAAGCCGAGGCACAGCACACAAGCGGCGAGCTTGAAAACCCCTCTCGGTATTTACTGAAATTCGAGCAGATCTACCTATCCAAACCGACCCATTGGGAGAAAGACGGCGCCCCCTCGCCCATGATGCCCAACGAGGCCCGCTTGCGCAACCTGACCTACTCGGCCCCCTTGTACGTCGATATCACCAAGACCATAGTCAAGGACGGCGAGGACCCCATTGAGACCCAGCACCAGAAAACCTTCATCGGGAAAATCCCGATTATGCTCCGATCCACGTACTGTCTCCTCAACGGTCTAACCGACCGCGACTTGACCGAACTCAACGAGTGCCCCCTTGACCCCGGCGGCTACTTCATCATCAACGGCTCAGAGAAAGTCCTAATCGCCCAGGAGAAAATGGCCACGAACACCGTCTACGTCTTCTCGATGAAAGACGGGAAATACGCCTTCAAATCCGAAATCCGCTCCTGTCTCGAGCACAGCTCGCGCCCCACGTCCACCCTCTGGGTCAACATGATGGCACGTGGGGGCCAGGCGATCAAAAAGGCCGCCATCGGGCAACGAATCATCGCGATCTTGCCCTACATCAAGCAGGAGATCCCCATCATGATCGTGTTCCGGGCCTTGGGGTTCGTGGCCGATCGGGACATCCTCGAGCACATTATTTACGACTTCGAAGACCCCGAGATGATGGAAATGGTGAAACCGTCCCTGGACGAAGCGTTCGTGATCCAGGAACAGAACATCGCACTCAACTTCATTGGGACCAGGGGGGCCCGGCCGGGCGTCACCAAAGAAAAGCGTATCAAATACGCGCGAGAGATCCTCCAGAAGGAGATGCTGCCCCACGTTGGAGTGTCCGATTTTTGCGAGACGAAAAAAGCCTACTTTTTGGGGTACATGGTGCACCGGTTGCTCCTGGCGGCTTTGGGGCGCCGCGAGCTGGACGATCGGGATCACTACGGTAACAAACGACTGGACTTGGCGGGGCCCCTGCTTGCGTTTTTGTTCCGTGGGTTGTTTAAAAACTTGATGAAGGAAGTACGGATGTATGCCCAGAAATTTATTGATCGGGGCAAAGACTTTAACCTCGACTTGGCCATTAAGACTAAGTTGATTACGGACGGGTTGAGGTATTCTCTGGCGACTGGTAACTGGGGGGACCAGAAGAAGGCCCACCAGGCCAGAGCCGGTGTCTCGCAGGTGTTGAACCGTTTGACTTTTGCCTCGACTTTGTCGCACTTGAGACGTGTTAATTCGCCCATTGGACGTGACGGGAAGTTGGCGAAGCCCCGACAGTTGCACAACACGCTCTGGGGGATGATTTGTCCGGCGGAGACACCAGAAGGGGCGGCTGTTGGTCTGGTGAAAAATCTGGCCCTCATGGCGTATATTTCGGTGGGGTCGCAACCCTCTCCAATTTTGGAGTTTTTGGAGGAGTGGTCGATGGAGAATTTGGAGGAGATTGCGCCGTCTGCCATAGCCAACGCGACCAAGATTTTTGTTAATGGTTGCTGGGTGGGAATTCACAGGGACCCCGAACAGTTGATGGCGACGTTACGCAAGTTGAGGAGACAGATGGATATTATTGTGTCGGAGGTTTCCATGATTCGGGATATTCGGGACCGGGAGATTCGCATTTACACGGATGCTGGACGGATTTGTCGGCCGTTACTAATCGTGGAAAATGGGACTTTATTGTTGAAGAAGCGCCACATTGATATGTTGAAAGAGAGGGAATATAATAACTACGGGTGGCAGGTTTTGGTGGCTTCAGGGGTTGTCGAATATATCGATACTTTGGAAGAGGAGACTGTGATGATTGCGATGTCTCCGGACGATTTGAGACAGGAGAAGGAATACGCGTATTGTACCACTTACACACATTGTGAGATCCATCCAGCTATGATTTTGGGTGTTTGTGCCAGTATTATACCCTTCCCGGATCACAACCAGAGTCCCAGAAACACATATCAAAGTGCTATGGGCAAGCAAGCCATGGGTGTGTACATCACCAACTTCCATGTCCGCATGGACACCCTTGCCCACGTCCTGTATTACCCCCACAAACCGTTGGTTACAACCAGATCAATGGAATATCTCAGATTCAGGGAATTACCGGCTGGGATTAACAGCATCGTGGCCATTGCGTGTTACACCGGTTATAACCAGGAGGATTCGGTTATTTTGAACGCGTCGGCCGTCGAAAGGGGATTTTTCCGATCTGTGTTTTACCGCTCGTACAAGGACGCCGAATCGAAACGCATCGGCGACCAAGAGGAGCAGTTCGAGAAACCGACTCGCCAGACCTGCCAAGGCATGCGCAACGCCCTCTACGACAAACTGGACGATGACGGCATCATAGCACCAGGAATCCGTGTCTCTGGCGACGACGTCGTCATCGGCAAAACAATGACACTGCCGGAAAACGACGACGAGTTGGACGGCACCACCAAACGTTTCACAAAACGTGACGCCTCCACGTTCCTCCGGAACAGCGAAACGGGGGTGGTGGACCAGGTCATGCTCACCCTCAACTCGGAGGGCTACAAATTCTGCAAAATTAGGGTGCGTTCCGTGCGCATCCCCCAAATTGGGGACAAGTTCGCGTCACGGCACGGACAGAAGGGCACCTGCGGGATACAGTACCGCCAGGAGGACATGATTTTCACGTGCGAGGGCCTAACCCCTGACATTATAATCAACCCCCATGCCATCCCCTCGCGTATGACCATCGGGCACTTGATTGAGTGCATCCAAGGCAAAGTCTCGGCAAACAAGGGCGAAATCGGCGACGCTACCCCGTTTAATGACGCCGTCAACGTGCAGAAAATCTCAACTTTGCTACAAGAGTACGGGTATCAGCTCCGAGGCAACGAAGTGATGTACAATGGACACACAGGCCGGAAAATCAACGCGCAGATTTTCTTAGGCCCGACGTATTATCAGAGACTGAAGCACATGGTCGACGATAAGATACATTCGAGGGCGCGAGGGCCCGTCCAGATTTTGGTGCGACAACCCATGGAAGGGAGGGCCCGCGATGGGGGGCTGCGGTTTGGGGAAATGGAACGTGATTGTCAGATTTCGCACGGAGCGGCACAGTTTCTACGCGAGAGGTTGTTCGAGGTTTCGGATCAGTATAGAATACATGTTTGTAATTTTTGCGGGTTGATTGCCATCGCTAATATGAGGAATAACACGTTCGAGTGCAAGGGGTGCAAAAATAAGACGCAGATTTCGCAAGTGAGGCTGCCGTATGCGGCCAAGTTGCTCTTCCAGGAGCTGATGTCGATGAATATCGCGCCGCGGTTGATGGTTTTGTAA</t>
  </si>
  <si>
    <t>ATGGCCTTGAAAGCCCAAGTTGGATTAAAAATAATGAACGAAGTGGTGAAACTAAAAGAGAAAAAGAAGAACGGTCCAGGACAAACGCATGCAATCGAATGGAGGGTGCTTGTGGTGGATCAGTTGGCTATGAGGATGGTGTCGGCTTGTTGCAAAATGCATGATATTTCAGCTGAGGGGATAACACTCGTCGAAGATATTCACAAGAAACGCGAACCGTTGGCGTCAATGGAAGCCGTTTATTTGATAACACCGTCAGAAAAGTCGGTTCATTCACTTATGGCGGATTTTGAGGGACCCCGTCCGATGTACAGGGGGGCTCATGTTTTTTTCACCGAAGCGTGTCCCGATACGTTATTTAGCGAATTGGCGCGGCACAGGGTTGCCAAATTTATCAAAACTTTAAAAGAGATAAATGTGGCGTTTATTCCGTTTGAACAACAGGTATTTTCATTGGATTCTCCTGACACTTTTCAATGTTTTTACGATCCGAGCTTTGCCGCCGCTCGAAATGCCAATATGGAACGAATGGCTGAACAAATTGCAACGTTGTGTGCAACTCTTGGCGAATATCCATCCGTTAGATATCGCAGTGATTGGGAGCGCAATGTCGAGCTGGCACAGCTCATCCAGCAAAAGTTGGACGCTTACAAAGCCGACGAGCCGACAATGGGCGAAGGCCCTGAAAAAGCCCGATCCCAACTTTTAATCCTCGATCGTGGTTTCGATTGTTTTTCGCCGCTTCTGCACGAATTAACATTTCAAGCGATGGCTTACGACCTGCTTCCGATCGAAAACGACGTCTACAAATATGAGGCGTCACAAGGTGTGGTAAAAGAAGTCCTATTGGACGAAAACGACGAATTGTGGGTGGAGCTACGCCACCAACACATCGCAGTCGTCTCGCAAAGCGTCACCAAAAACCTGAAGAAGTTCACCGATTCGAAACGTATGACACAGAGTGATAAACAATCGATGAAAGATTTGTCCCAAATGATTAAAAAAATGCCACAATACCAAAAAGAACTGTCAAAATATGCCACACACTTACATTTGGCCGAAGATTGTATGAAAGCTTACCAAGGCTATGTTGATAAATTATGCAAAGTTGAGCAAGATCTAGCGATGGGAACCGACGCCGAAGGCGAAAAAATCAAAGATCACATGCGAAACATTGTTCCAATCCTACTCGATCCGAAAATTACAAATGAATACGATAAAATGCGCATTATCGCACTATACGCAATGACAAAAAATGGAATCACTGAAGAAAACTTATCCAAGTTGGCCACGCACGCCCAAATCAAGGACAAACAAACTATTGCCAATTTACAACTCTTGGGTGTGAACGTCATCAGTGATGGTGGTAACCGTAAAAAACCGTACACGGTGCCGCGTAAAGAACGCATAACTGAACAGACGTATCAAATGTCAAGATGGACGCCCATTATCAAGGACATAATGGAGGATTGCATTGAGGATAAACTCGATCATAAGCATTTTCCGTTTTTGGCAGGTCGTGCACAGGCTAGTGCTTATCATGCACCCACCAGTGCCCGCTATGGCCATTGGCACAAAGACAAAACCCAGCAAACTGTGAAAAATGTACCACGCCTGCTAGTTTTCATCGTAGGCGGTATGTGTTTCTCTGAAATGAGGTGTGCATATGAAGTGACAAATGCAGTAAAAAATTGGGAGGTTATACTCGGATCCTCACATATTCTCACACCTGAAGGTTTTATGAGCGATTTGGCAACGTTGACTGGCTAG</t>
  </si>
  <si>
    <t>ATGGCTAATGTCAATTTAGACAAACAGTCTTTTCACCGTAGATTAAAGAAGCTCTACAATTCATGGCAAAATACCGATGGAGAAAATGGTTTCTCAAAAATGGATGCTTTAGTCACTGCAGTCGGCAAAGACGATGATATTGTGTACAGCAAATCAGGTGCATTGCAAATATGGCTGTTGGGCTACGAACTTACAGATACTATTATGGTTCTTGTAGAGAAAAAAGCTTATTTCTTAACCAGTAAAAAGAAGGTTGAATTTCTTCGGCAAGCCGAACTTAAAGAGAAGGATGAGAACCAAATCCAACTAAACTTGTTGGTCCGCGATAAAGACAGCGACGAAGCAAAATTTAAAATTCTTTGTGAAGCTATAAAGGAGAGCAAAAATGGTAAAACTTTGGGGGTTTTTGCAAAGGATAATTATTCTGGATCTTTTGTTGATAATTGGAAAGCAATGCTCAAGAAACAAGAATTTCAAACTGCGGATATGAGTTCTCAGATTGCTTACCTCATTAGCCCTAAAGAAGAATCTGAAATTACTACCATGAAAAAAGCATCTCAGGTAACTGTAGATGTATTCACAAAGTATTTAAAAGATCAGATTATGGAGATTATTGATTCGGAAAAGAAAGTCAAGCATAGCAAACTAGCAGAAGGAGTTGAATCTGCCATAAGTGATAAAAAATATGTCTCAGGGGTTGATGTTAATCAAGTTGATATGTGCTACCCTGCCATTATACAGTCTGGAGGCACTTACAATTTAAAATTCAGTGTTATTAGTGATAAAAATTCACTACATTTTGGAGCCATTGTTTGTTCTCTAGGCGCTCGCTATAAGTCATACTGTTCCAACATCGTCCGAACCTTGTTAGTAAACCCCACAGAGGAAATCCAAAACAACTATAATTTTCTTTTAACAATTGAAGAGGAGTTAATAAAAGTGCTTCAGAATGGAGTAAAATTGTCGGAAGTTTATGACACTGGTTACAATATGGTTAAAAAGGAAAAGCCAAATTTAGCTGACCATTTGACCAAAAATTTTGGATTCGCAATGGGGATAGAATTCAAAGAAAATTCCCTGATTATTGGACCAAAAACTACAGTTGAAGCCAAAAAGGGGATGGTGTTCAATTTAAATATAGGTTTTTCTAATTTGGAAAATAAGGAAGCTTCTGACAAGGAGGGAAAAATATATGCTTTATTCATTGGAGATACTGTTTTGGTTAATGAAGGTCAGCCAGCAAGTGTCTTAACACCATCCAAGAAGAAGATTAAGAACATCGGTATTTTCCTTAAAGATGATTCTGACGCAGAAGAAAATGATGAGGAAAAAGAAAACACTCCGAAAAAGACCGAAATTTTGGGAAGGGGTAAAAGAACTGCTGTTATTGAATCAAAACTGCGTACTGAACACAGCACCGAAGAAAAAAGAAAAGAGCACCAGAAAGAATTGGCAGCTCAACTAAATGAAAAAGCAAAAGAGCGTTTGGCAAAACAATCTGGATCTAAAGATAAAGAGAAAGTGAGAAAAAATACTGTGTCATACAAAAGTGTCAATCAAATGCCTAGAGTTCCCGAGGTAAAAGAACTAAAATTATATGTGGACCAGAAGTATGAAACTGTTATTTTACCTATTTATGGAATTGCGGTACCTTTCCATATTTCTACAATCAAAAATATTTCTCAATCTATTGAGGGAGACTACACCTATTTGCGTATTAACTTTTTCCATCCCGGTACAACTATGGGCAGAAATGAAGGTAATGTCTGGTCTCAGCCTGAAGCAACTTTCCTTAAAGAATTAACATATAGGAGTACCAATACAAAAGAACCAGGAGTAGTAACTGCTCCCTCGTCTAACCTTAATACAGCCTTTCGTCTAATTAAAGAAGTTCAAAGGAAATTTAAGACACGAGAAGCTGAAGAAAAAGAAAAAGAGGATTTGGTTAAACAGGACACATTAGTACTTTCACAGAATAAAGGAAATCCTAAATTAAAAGATCTGTATATTAGGCCAAATATTGTTTCAAAACGTATGACAGGATCATTAGAAGCTCACACTAATGGTTTTAGGTATACTTCTGTGAGGGGTGATAAAGTAGACATTCTTTACAACAACATCAAGAATGCCTTCTTTCAACCGTGTGATGGAGAAATGATAATTCTGTTACATTTTCACCTAAAACATGCTATCATGTTCGGAAAAAAGAAACATGTTGACGTTCAATTCTATACGGAAGTCGGAGAAATTACCACAGATTTGGGCAAACATCAACACATGCACGATCGAGATGATCTGGCTGCTGAGCAGTCGGAAAGAGAGCTCAGACAAAAATTGAAAACTGCATTCAAAAGTTTTTGTGAAAAGGTTGAATCTATGACAAAACAAGAAATTGAATTTGATACACCATTCCGGGAGTTGGGATTTCCAGGAGCCCCCTTCCGCTCTACAGTCCTTCTCCAGCCTACATCTGGTTGTTTGGTTAACCTGACTGAATGGCCTCCATTTGTTGTCACCCTAGAAGATGTAGAGTTAGTACATTTTGAACGTGTACAATTCCACCTGAAGAACTTCGATATGGTGTTTGTTTTTAAGGAGTATCTTAAAAAGACTGTCATGGTAAATGCTATACCAATGAATATGCTGGATCATGTAAAAGAATGGTTAAATTCTTGTGACATTAGATATTCTGAAGGAGTTCAGTCTCTTAATTGGGTCAAAATTATGAAAACCATTACAGATGATCCAGAAGGTTTCTTTGACAGTGGTGGTTGGACTTTCCTTGACCCAGAATCTGACGAAGAACAAGCTAAAGAAGAAGAATCAGAAGAAGAAGATGAAGCGTATCAACCGTCTGATTTAGAAGAAGTAGGATCTGATTGGAGCGAAGAAGACTCTGAATATTCGGAAGGTGATACTGAAGATGATGACGATGATGAAGATGCTTCTGAAGATCTAGGATCTGACGAAGAATCGGGAAAAGACTGGTCTGATCTTGAACGTGAAGCGGAAGAAGAGGATAGAGAAAAAGTTTATACTGCTGAAGACGAAGGTGACAGAAGAAATAAACATCGCAGCAAGGGTCATGATAAATTTTCATCCAAAGGTGGCAAATCATCAAAAGATAAAAGCAGACATAGCAGTAGCAGTCATAAGAGCCCTAGCAAACATAACTCCTCTTCAAGCAGTAGTAAACATTCACCTTCAAAAGATAAGGACCGAAACAGCAGTTCAAAAAGTAGGGACAAAGATAGACACTCATCATCGAACCATAAATCTTCTAGCCACTCATCCTCATCTAGAGATAAGGACAAGGACAGAAAAAAGAGCTCGTCTTCTCACAAAAGCAGCAGTTCTGGCGATAAAAAGAGACAAAGAAGTCCCAGCGGTGACAAACACCACTCGAAGAAATCTAGAAAGTGA</t>
  </si>
  <si>
    <t>ATGGCGTTAAAGAACCAAGTTGGTCAAAAAATCATGAATGAAGTCATCAAGCACAAGCCCACCAAGAAGAATGGGCCAACTCCAGGACAGCAAGCCCATGGGGTAGAATGGAGGATCCTTGTGGTGGACCAGCTTGCCATGAGGATGGTTTCAGCATGCTGTAAAATGCATGATATATCAGCAGAAGGCATTACATTGGTTGAAGATATTATGAAGAAAAGGGAACCGCTTGGTACCATGGAAGCTGTGTACTTGATAACACCTTCAGAAAAGTCAGTTCATGCTCTTATGAATGACTTTGAACCACCAAGACAGATGTACAGAGGGGCACACGTGTTTTTTACAGAAGCGTGTCCAGACCAATTATTTAGTACCTTGTGCCACCACCCCGTAGCAAAGTTTATTAAAACCCTAAAAGAAATCAACATAGCATTCATTCCGACTGAGTCACAGGTGTTCTCATTGGATTCACCAGACACGTTCCAGTGTAGCTACGATCCATCATTTTCCGCTGCTAGAAACGCCAACATGGAAAGAATGGCAGAACAAATTGCGACACTCTGTGCGACTCTAGGGGAATACCCACACGTCAGATATAGAACTGATTGGGAAAGAAATGTTGAGCTGGCTCAACTAATTCAGCAGAAATTGGACGCCTATAAAGCCGACGAACCTACCATGGGAGAGGGGCCGGAAAAGGCGAGATCACAATTAATTATCCTCGACCGAGGTTTCGACTGTGTATCTCCCCTTCTTCACGAACTTACTTTCCAAGCAATGGCCTATGACTTACTACCCATAGAAAATGATGTATATAAGTACGAAGCATCGGCTGGTGTTATGAAAGAAGTCCTTCTAGACGAAAACGACGAGCTTTGGGTCGATCTACGCCACCAACACATCGCGGTGGTGTCTCAGAGCGTCACCAAGAATCTGAAGAAATTCACCGACTCCAAACGCATGACCCAGAGCGACAAGCAGTCGATGAAGGATCTCTCAACCATGATCAAAAAGATGCCGCAATATCAGAAAGAATTGTCCAAGTATGCTACGCATCTTCATCTCGCTGAAGACTGCATGAAGGCCTATCAGGGGTATATAGACAAGTTGTGTAAAGTTGAGCAGGATTTGGCAATGGGAACTGATGCCGAAGGCGAGAAAATCAAGGATCACATGCGCAACATCGTCCCCATCTTGCTAGATCCCAAAATCACCAATGAATACGATAAGATGCGTATTATAGCATTGTACGCCATGACGAAAAACGGCATCACAGATGAAAATCTCTCCAAATTGGCTACCCATGCCCAAATCAAGGACAAACAGACCATCGCCAACCTTCAGTTACTTGGAGTCAACGTTATTAATGATGGAGGACCAAGAAAAAAACAATATACAGTACCGCGCAAAGAAAGAATTACAGAACAAACGTACCAAATGTCAAGATGGACACCTATCATTAAGGATATAATGGAGGATTGCATAGACGACAAACTGGATCAGAAACACTACCCGTATTTGAGCGGACGAGCACAGTCTACGGGATACCATGCAGCGCCCTCTAGTGCCCGTTATGGCCAGTGGCACAAAGACAGAGGTCAACAAGCCGTGAAGAACGTTCCTCGACTGCTCGTCTTCGTCGTGGGTGGAATCAGTTTTTCAGAGATCAGGTGCGCCTACGAAGTGACCAACGCGCAGAAGAACTGGGAAGTCATCATCGGCTCGTCGCACATACTCACTCCCGAGGACTTCCTAAGCAATCTGGCAACGTTGGCCGGCTAG</t>
  </si>
  <si>
    <t>ATGTATGATCAAGAAGATGATCAATTTGACGATGAAGATACAGAAGAAATCAGTGGAGAACTCTGGCAGGAAGCCTGCTGGATTGTTATTAATGCCTACTTTGATGAAAAAGGTTTGGTACGGCAGCAGTTGGATAGTTTTGATGAATTCATTCAAATGTCTGTACAGAGGATCGTTGAAGATTCCCCACAGATAGATCTACAAGCAGAAGCGCAGCATACATCTGGGGAAATCGAAACCCCACCTCGATATTTGCTGAAGTTTGAACAGATCTATCTTTCAAAACCTACCCATTGGGAGAAAGACGGTGCCCCATCTCCTATGATGCCTAATGAAGCTAGATTAAGAAATTTGACTTATTCTGCTCCTCTTTATGTAGATATAACAAAAACAATTGTGAAAGAAGGAGAGGATCCTATAGAAACTCAACATCAGAAAACTTTTATAGGTAAAATTCCCATTATGTTGAGGTCAACATACTGTCTGCTCAGTGGATTAACAGATCGTGATTTAACAGAATTAAACGAGTGTCCCTTAGATCCTGGCGGATATTTCATAATTAACGGTTCTGAAAAAGTATTAATTGCTCAAGAGAAGATGGCAACTAACACAGTATATGTATTTTCAATGAAAGACGGAAAATATGCGTACAAATCTGAAATAAGATCTTGTCTTGAGCACAGCTCTCGGCCAACATCAACTCTGTGGGTAAATATGATGGCTCGTGGTGGCCAGGCCATCAAAAAAGCTGCTATTGGTCAACGTATTATAGCTATTCTTCCATACATCAAACAAGAGATCCCTATAATGATAGTTTTCAGAGCTTTAGGGTTTGTAGCAGACAGAGATATTCTAGAACACATTATTTACGATTTCGACGATCCAGAATTGATGGAAATGGTAAAACCTTCGTTAGATGAAGCTTTCGTAATTCAGGAACAGAATATTGCTTTGAATTTCATCGGAGCGAGAGGTGCCAGGCCGGGAGTAACTAAAGAAAAGCGTGTGAAATATGCTAGAGAAATTTTACAAAAGGAAATGTTGCCTCATGTTGGTGTATCCGATTTTTGTGAGACTAAAAAAGCTTATTTTCTTGGATATATGGTACATCGACTTTTGCTGGCTGCACTCGGACGTCGAGAGTTAGATGACAGAGATCACTACGGAAATAAGAGACTCGATTTGGCTGGACCATTATTGGCTTTCCTCTTCAGAGGGCTTTTCAAGAACCTAATGAAAGAAGTTCGTATGTATGCCCAGAAGTTTATCGATAGAGGCAAAGATTTCAATCTGGATCTGGCCATCAAAACCAAACTAATAACGGACGGTCTGAGGTATTCTCTCGCTACTGGAAACTGGGGTGACCAGAAAAAAGCCCATCAAGCAAGAGCTGGCGTGTCCCAGGTATTGAATCGTCTAACTTTCGCATCGACGTTGTCACATTTAAGGCGTGTCAATTCTCCAATTGGACGAGACGGTAAACTAGCCAAGCCTCGACAGTTGCATAATACGTTGTGGGGAATGATTTGCCCTGCTGAAACTCCAGAAGGTGCTGCTGTAGGACTTGTAAAAAATCTTGCTCTGATGGCTTATATTTCCGTCGGTTCCCAACCATCGCCAATTTTGGAGTTCTTGGAGGAGTGGTCCATGGAAAACTTGGAAGAAATAGCGCCATCTGCAATTGCTAACGCTACCAAAATCTTTGTGAATGGTTGTTGGGTGGGAATTCACAGAGACCCTGAACAACTTATGGCGACACTGCGTAAACTTCGACGTCAAATGGACATCATCGTATCAGAAGTATCGATGATTCGAGATATTCGTGACAGAGAAATAAGAATTTACACAGACGCCGGAAGAATCTGTAGACCTTTGTTAATCGTCGAAAATGGCCAGTTGCTATTGAAGAAAAGACATATTGATATGTTAAAAGAAAGAGAATATAATAATTATGGTTGGCAGGTACTGGTCGCGTCTGGTGTGGTGGAGTACATAGACACCTTAGAAGAAGAAACCGTAATGATTGCCATGAACCCCGAAGATTTACGCCAAGACAAAGAATGCGCTTATTGTACAACATACACTCATTGTGAAATTCATCCAGCCATGATTTTAGGAGTTTGCGCTTCCATCATTCCGTTCCCAGATCACAACCAGAGTCCCAGAAACACCTATCAAAGTGCTATGGGTAAACAAGCCATGGGTGTCTATATCACAAACTTCCACGTTAGAATGGACACACTGGCCCACGTCCTGTACTATCCACATAAACCTCTGGTAACGACAAGATCTATGGAGTATCTTAGATTCAGAGAGTTACCGGCTGGAATCAATAGTATCGTTGCGATTGCTTGTTATACAGGATACAATCAGGAAGATTCTGTTATCTTGAATGCTTCTGCAGTAGAAAGAGGATTTTTCAGATCTGTGTTTTACCGGTCTTATAAAGACGCCGAATCCAAACGTATAGGAGACCAGGAAGAACAATTCGAAAAACCGACAAGACAGACGTGCCAGGGCATGAGGAATGCCCTTTACGATAAATTAGACGACGACGGACTGATATCTCCAGGTATTCGTGTGTCTGGAGACGATGTAGTTATAGGAAAAACTATGACGCTACCAGAAACAGATGACGAGTTGGATGGAACTACAAAACGGTACTCCAAGAGAGACGCATCAACATTTTTGCGTAACAGTGAAACTGGAGTTGTTGATCAAGTGATGTTAACGCTAAATTCAGAAGGATATAAGTTTTGTAAGATAAGGGTGAGATCTGTGAGGATACCACAAATTGGAGACAAGTTCGCGTCTAGGCACGGACAAAAGGGAACGTGCGGTATACAATACCGTCAAGAGGATATGATTTTTAGTGCTGAAGGTATTACTCCAGACATTATCATCAATCCTCACGCTATCCCCTCCCGTATGACGATTGGTCACTTGATCGAGTGCATCCAAGGTAAGGTATCATCCAATAAAGGAGAAATCGGTGATGCTACACCTTTCAACGATGCCGTCAACGTACAGAAAATCTCCACTTTGTTACAAGAATATGGTTATCAACTCAGAGGCAACGAAGTAATGTACAACGGCCACACTGGACGTAAGATAAATGCTCAGATTTTCTTAGGACCTACTTACTATCAAAGATTGAAGCACATGGTGGACGATAAGATCCATTCAAGAGCTAGAGGACCGTTGCAGATTCTCGTCAGACAGCCTATGGAGGGTCGTGCAAGAGACGGTGGTCTACGTTTCGGTGAGATGGAACGAGATTGTCAAATTTCACACGGTGCTGCACAATTCTTAAGAGAGAGGCTGTTTGAAGTTTCTGATCCTTATAGAATCCATATTTGCAACTTCTGTGGTTTGATAGCTATCGCCAATTTGCGTAACAACACCTTTGAATGTAAGGGTTGCAAAAATAAGACGCAGATATCGCAAGTTAGACTGCCTTATGCTGCGAAATTACTGTTCCAAGAGCTAATGTCGATGAATATAGCGCCGAGACTTATGGTACTGTAG</t>
  </si>
  <si>
    <t>MYDQEDDQFDDEDTEEISGELWQEACWIVINAYFDEKGLVRQQLDSFDEFIQMSVQRIVEDSPQIDLQAEAQHTSGEIETPPRYLLKFEQIYLSKPTHWEKDGAPSPMMPNEARLRNLTYSAPLYVDITKTIVKEGEDPIETQHQKTFIGKIPIMLRSTYCLLSGLTDRDLTELNECPLDPGGYFIINGSEKVLIAQEKMATNTVYVFSMKDGKYAYKSEIRSCLEHSSRPTSTLWVNMMARGGQAIKKAAIGQRIIAILPYIKQEIPIMIVFRALGFVADRDILEHIIYDFDDPELMEMVKPSLDEAFVIQEQNIALNFIGARGARPGVTKEKRVKYAREILQKEMLPHVGVSDFCETKKAYFLGYMVHRLLLAALGRRELDDRDHYGNKRLDLAGPLLAFLFRGLFKNLMKEVRMYAQKFIDRGKDFNLDLAIKTKLITDGLRYSLATGNWGDQKKAHQARAGVSQVLNRLTFASTLSHLRRVNSPIGRDGKLAKPRQLHNTLWGMICPAETPEGAAVGLVKNLALMAYISVGSQPSPILEFLEEWSMENLEEIAPSAIANATKIFVNGCWVGIHRDPEQLMATLRKLRRQMDIIVSEVSMIRDIRDREIRIYTDAGRICRPLLIVENGQLLLKKRHIDMLKEREYNNYGWQVLVASGVVEYIDTLEEETVMIAMNPEDLRQDKECAYCTTYTHCEIHPAMILGVCASIIPFPDHNQSPRNTYQSAMGKQAMGVYITNFHVRMDTLAHVLYYPHKPLVTTRSMEYLRFRELPAGINSIVAIACYTGYNQEDSVILNASAVERGFFRSVFYRSYKDAESKRIGDQEEQFEKPTRQTCQGMRNALYDKLDDDGLISPGIRVSGDDVVIGKTMTLPETDDELDGTTKRYSKRDASTFLRNSETGVVDQVMLTLNSEGYKFCKIRVRSVRIPQIGDKFASRHGQKGTCGIQYRQEDMIFSAEGITPDIIINPHAIPSRMTIGHLIECIQGKVSSNKGEIGDATPFNDAVNVQKISTLLQEYGYQLRGNEVMYNGHTGRKINAQIFLGPTYYQRLKHMVDDKIHSRARGPLQILVRQPMEGRARDGGLRFGEMERDCQISHGAAQFLRERLFEVSDPYRIHICNFCGLIAIANLRNNTFECKGCKNKTQISQVRLPYAAKLLFQELMSMNIAPRLMVL</t>
  </si>
  <si>
    <t>ATGGCGAATATAAATCTCGACAAGGACGCATTCCACCGGCGATTGAAGCGTCTGTACACCGCGTGGCAGAAGGCCGAGGGAGAAAATGGGTTTTCTAAGATGGATGCTTTGATTACAGCGGTGGGAAAAGACGATGAAATTGTGTACAGCAAGTCCGGGGCCCTGCAAACGTGGCTTTTGGGGTACGAGTTAACAGACACTATAATGGTGCTGACGGAGAATAAGGCGTACTTTTTGGCCAGCAAGAAAAAGATAGACTTTTTAAAACAAGCTGAGAGCAAGGATGAAAACAACATACAGTTGTCTTTGCTAATAAGAGACAAGGACAGCGATGATGCTAACTTTAAAACTCTTGTGAACGCTATCAAAGACTCGAAAAGTGGCAAATCCATTGGTGTTCTCTCAAAAGACAATTACCCAGGCCCTTTCATGGAATCCTGGCGTAACCTCCTTAAAAAAGAAGAGTTTGTTAGCATCGATGTAAGCGCCCCTTTGGCGCTGCTAATGTCGCCGAAAGAGGACTCTGAAATAATAACAATTAAAAAAGCATGCCTGGTTTCAGTTGATGTATTCACAAAATACCTTAAAGATCAGATAATGGAGATTATCGACTCTGACAAAAAAGTAAAGCATAGCAAATTGGCTGAAGGAGTAGAGTCTGCAATACAAGACAAAAAGTATGTATCTGGGGTGGATGTTAACCAAATTGATATGTGCTACCCAGCTATTATACAATCGGGGGGTAATTATAGCCTGAAATTCAGTGTTGTCAGTGATAAAAATACTCTGCATTTTGGGGCTATCATATGTTCCCTTGGGGCAAGATACAAGTCCTATTGCTCAAATATTGTCAGAACTTTGTTGGTAAATCCTAGTGATGAGGTACAGGGGAATTATAATTTTCTTGTGCAACTTGAAGAAGAGGTTTTGAAAAAAATGCAGGCCGGTACAAAGATTTCTGAGGTTTATGAGGCTGGAGTTGATTATTTAAAAAAAGAGAAACCCCAGTTGCTTGATAATCTTACAAAGAATTTTGGTTTTGCTATGGGGATTGAGTTCAAAGAAAGTTCATTAATTTTAACAGGGAAAACTACTGCTGTTTTGAAAAAAGGCATGGTTTTCAATGTCAATTTAGGATTTAGCAACTTAAAAAACAAAGATTCTTCTGATAAACAATCAGCTACTTATGCMTTGTTCCTTGGGGATACGGTTATAGTAAACGAAGGTCAACCAGCTACAGTTTTAACAGTCTCTAAGAAAAAAATCAAAAACATTGGTATATTCTTGAAAGATGACTCGGAAGAGGAAGAAAACGACGATGAAAAAGAAAACACCCCAAAACCGGAAATGCTGAGTGGAAGAGCAAAACGTACGGCCGTTTTGGAAAACAAACTTCGCACGGAGCACACCTCAGAGGAGAAACGTAAAGAACATCAAAAAGAACTCGCGCAACTGCTCAACGAAAAAGCTAAGGAACGTTTGGCCAAACAATCTGGCGCCAAGGATGTAGAAAAAGTTCGGAAAAACACGATCTCCTACAAAAACGTGAACCAAATGCCCCGAGTACCTGAAGTGAAGGAGCTGAAGTTGTATGTTGATCAGAAGTATGAGACTGTTATTTTGCCTATCTATGGGATTGCTGTTCCCTTCCATATTTCCACAATCAAGAATATTTCACAGTCCATTGAGGGGGATTATACTTATCTTAGAGTGAATTTCTTTCATCCTGGGTCTACCATGGGCAAAAATGATGGCAACTACCAGCAACCGGAAGCGACGTTCGTGAAGGAAGTGACCTACCGCAGCATAAACACGAAAGAACCCGGCGAAATATCCCCGCCCTCTTCGAACCTGAACACCGCGTTCCGCCTCATCAAGGAGGTGCAGCGCAAATTCAAAACCCGCGAGGCCGAGGAGAAAGAGAAGGAGGACCTCGTCAAACAGGACACGTTGGTTCTGTCGCAGAACAAGGGTAACCCGAAGTTGAAGGATCTCTACATCAGGCCCAACATCGTCAGCAAAAGAATGACGGGCAGTCTCGAGGCCCACAACAACGGCTTCAGGTACACCTCCGTCAGAGGCGATAAGGTCGACATCCTCTACAACAACATCAAGAACGCCTTCTTCCAACCGTGCGACGGCGAGATGATCATACTGCTGCATTTCCACCTGAAGCACGCGATAATGTTCGGCAAAAAGAAGCACGTGGACGTGCAGTTTTACACCGAGGTCGGCGAGATCACGACGGACCTGGGCAAACACCAGCACATGCACGACAGGGACGACCTGGCCGCGGAGCAATCCGAGAGGGAGTTGAGGCACAAACTCAAAACCGCGTTCAAGTCGTTCTGCGAGAAGGTCGAGTCGATGACGAAGCAGGAAATCGAGTTCGACACGCCGTTCAGGGAGCTGGGATTCCCCGGCGCCCCCTTCCGCTCGACGGTGCTGCTGCAGCCGACTTCCGGTTGCCTGGTCAATTTGACGGAGTGGCCGCCGTTCGTGATCACTTTGGAGGATGTGGAGCTGCTTCATTTCGAAAGGGTGCAGTTCCACTTGAAGAACTTCGATATGGTTTTCGTTTTCAAGGATTACGCGAGGAAGACGGCCATGGTGAACGCGATTCCGATGAACATGCTGGATCACGTCAAGGAGTGGCTGAACTCCTGCGATATCAGATATTCCGAGGGCATCCAATCATTGAACTGGGTAAAAATCATGAAAACCATCACCGACGACCCCGAAGGCTTCTTCGAGAGCGGCGGCTGGACTTTCCTGGACCCGGAATCGGACGTCGAGGAGGCGGCGCAGGACGAAGAGTCCGAGGACGACGAAGCCTTCGACCCCTCCGACTTGGAGTCCGTCTCCGAGGAGAGCGACGAGGACTCGGAGTACTCCGAAGGCGACACGGAGGACGACGACGACGGCAGCGAAGATCTGGGATCGGACGAGGAGTCCGGCAAGGACTGGTCCGACTTGGAGCGCGAAGCCGAAGAGGAGGACCTGAACAAGGATCGCGGCAAGTTCGACGAGGACGACTTCAAGAGGAACCGAAACCCGGCGAAATCCTCCTCCAAAGTTTCCTCGTCGAAGCGCAAAGGCAGCAGCCATTCCCCCAAGAAGCACTCCTCCAGTTCCAAACACAACTCCAGCAGGGACAAGGACAAGCGCAGGGAAAGAGACAGGCACAACTCGTCGAATTCCAGCGGAAAGCACAAATCCTCCTCTCACTCTAAATCTTCGAGCTCGCACAAGTCGCCCTCCAAAGATCACGGCAAATCTTCCTCCTCGCGTCATAATTCTTCTTCGGACAAAAAACGCAGTCGAGACGACAGCGGCAGCAGCGACCGTCACAAGTCCAAGAAGTCCAGGAAGTAA</t>
  </si>
  <si>
    <t>TTGTTAGAGTGTTCATCACAAATTATATGCAATATGGCGTTAAAAGGACAAGTTGGGCAAAAAATTATGAACGAGGTAATAAAGCATAAACCAAAGAAAAATGGACCCGCTCATGGAGTGGAATGGAGAGTTTTGGTTGTGGATCAACTTGCCATGAGAATGGTTTCAGCCTGTTGTAAAATGCACGATATTTCAGCTGAGGGCATCACATTGGTTGAAGATATAAACAAGAAAAGAGAACCCTTAAACACCATGGAAGCAATATATCTAATAACACCATCTGAAAAATCTGTTCACTCACTGATGAACGATTTTGAATCGCCAAGACTTATGTACAAAGGGGCACATGTATTTTTTACTGAAGAGGTGTTTTCTTTGGACTGCCCAGAAACATTCCAATGCAGTTATGATCCTGCTATGGAAGCAGCCAGAAATGCAAACATGGAGAGAATGGCAGAACAAATTGCTACATTGTGTGCAACTCTGGGAGAATACCCTTCAGTAAGATACCGAAGTGATTGGGAACGCAACGTGGAACTAGCGCAGATGATTCAGCAAAAGTTGGATGCCTATAAAGCGGATGAGCCCACAATGGGAGAGGGGCCTGAAAAAGCGAGATCGCAACTTTTGATTCTTGACCGCGGCTTCGACTGCGTATCACCCATGCTGCACGAACTTACATTCCAGGCAATGGCCTACGATTTGCTGCCAATCGAAAACGACGTGTACAAATATGAAGCTTCAGCGGGAGTATTTAAGGAAGTGTTGCTCGACGAAAACGACGAGTTATGGGTAGAATTACGACATCAGCATATCGCTGTAGTGTCGCAGAGTGTGACGAAAAACTTGAAGAAATTTACCGATTCAAAACGAATGACCCAAAGTGATAAACAATCAATGAAAGATCTGTCACAAATGATTAAGAAAATGCCCCAATATCAAAAGGAGTTATCTAAATATGCTACACACTTGCATCTTGCTGAAGACTGCATGAAATCTTACCAAGGATATGTTGACAAATTATGTAAAGTTGAACAAGACCTAGCAATGGGTACAGATGCAGAAGGAGAAAAAATTAAAGACCATATGCGTAACATCGTACCGATTTTACTTGATCCAAAAATAACAAACGAATATGACAAAATGAGAATAATTGCTCTATATGCAATGATTAAAAATGGCATAACCGACGAAAATTTATCAAAACTTGCTACTCATGCCCAAATAAAAGACAAACAAACTATTGCTAATTTGCAATTCTTGGGAGTTAATGTTATCAATGATGGTGGGAACCGGAAAAAACCGTATTCGGTGCCAAGAAAAGAGCGTATTACTGAACAAACGTATCAAATGTCTAGATGGACGCCTGTAATTAAGGATATTATGGAAGACGCTATTGAAGATAAATTAGATCAAAAACACTTTCCATTTTTAGCTGGCCGAGCGCAAACCAGTGCTTACCACGCCCCAACAAGTGCTCGATATGGTCATTGGCATAAAGACAAGGCCCAGCAGACAGTGAAAAATGTGCCCAGAATAATTGTCTTCATTGTTGGAGGCATGAGTTTTTCAGAAATCAGATGTGCGTATGAGGTAACAAACGCCCAAAAAAATTGGGAGGTCATTATTGGATCCTCCAACATTTTGACTCCCCAAAGTTTTCTTAAGGATTTAAACACTCTTACAGTCTAG</t>
  </si>
  <si>
    <t>ATGTATGATCAAGATGAAGAGCAATATGAGGAGGAAGACGCGGAAGAAATTAGTTCCGAATTGTGGCAGGAAGCCTGTTGGATCGTTATAAACGCGTATTTCGACGAGAAAGGCCTGGTACGGCAACAATTGGACAGTTTCGATGAGTTCATTCAGATGTCTGTGCAGAGAATCGTGGAGGATTCCCCGCAAATCGATTTGGTGGCAGAGGCGCAGCACACGTCGGGAGAAGTGGAAAACCCCCCGCGATATTTGCTGAAATTCGAGCAGATTTACCTTTCGAAGCCCACGCATTGGGAGAAAGACGGGGCCCCGTCCCCTATGATGCCCAACGAGGCCAGACTGAGAAATTTGACGTACTCTGCACCTCTTTACGTGGACATAACGAAGACTATCGTTAAGGAGGGCGAAGATCCTGTCGAGACCCAACACCAGAAGACTTTCATAGGGAAAATCCCGATTATGTTGAGGTCTACGTACTGCCTTCTCAGCGGCTTAACAGATCGTGATTTGACGGAGTTAAACGAGTGTCCTTTGGATCCCGGGGGTTATTTCATCATAAACGGGTCGGAGAAGGTTTTAATTGCCCAGGAAAAAATGGCTACGAACACAGTGTATGTGTTTTCGATGAAGGACGGGAAATACGCGTTTAAATCCGAGATTAGGTCGTGTTTGGAGCATTCTTCGCGCCCCACCTCCACTTTGTGGGTGAATATGATGGCTCGTGGCGGGCAAGCTGTGAAAAAGGCAGCCATCGGGCAAAGAATCATCGCTATTTTACCATATATCAAGCAAGAAATACCCATTATGATCGTATTCAGAGCGCTAGGTTTTGTGGCCGACAGAGACATCCTCGAACACATCATCTATGACTTTGACGACCCTGAAATGATGGAGATGGTGAAACCGTCCCTAGACGAGGCTTTTGTAATCCAAGAGCAGGGTGTGGCCTTGAATTTTATTGGTGCTAGAGGGGCCAGGCCCGGCGTAACGAGGGAAAAGCGTGTTAAATACGCCAGGGAAATTTTGCAGAAGGAAATGCTGCCGCATGTAGGAGTTTCCGATTTCTGCGAAACCAAAAAAGCGTATTTCTTGGGGTACATGGTGCACAGGCTGCTTCTGGCCTCTTTGGGGCGCAGAGAGTTAGACGACAGGGATCATTACGGCAACAAAAGGTTGGATTTGGCTGGGCCGTTGCTGGCTTTCTTGTTCAGAGGTCTTTTCAAAAACTTAATGAAGGAAGTGCGCATGTACGCCCAAAAATTCATCGACAGAGGAAAAGATTTCAACTTGGATTTGGCAATCAAAACCAAACTCATCACCGACGGTTTGCGTTACTCTCTTGCCACCGGTAACTGGGGCGACCAGAAAAAGGCCCATCAAGCCAGAGCCGGAGTGTCTCAGGTACTGAACAGACTGACTTACGCCTCGACTTTATCTCATTTGAGGCGCGTAAACTCGCCCATCGGTCGCGACGGTAAACTAGCCAAACCCCGTCAGTTGCACAACACCCTGTGGGGCATGATTTGCCCGGCGGAAACGCCAGAGGGCGCTGCGGTGGGTTTGGTAAAAAATCTCGCCCTTATGGCTTACATTTCCGTCGGTTCGCAACCCTCTCCGATCTTGGAGTTCTTGGAGGAGTGGTCGATGGAGAATTTGGAGGAAATAGCGCCGTCTGCTATCGCTAACGCCACTAAGATTTTTGTCAATGGGTGTTGGGTCGGTATTCACAGGGATCCGGAGCAATTGACGGCGACTTTGAGGAAGCTACGTCGCCAGATGGATATTATCGTATCCGAGGTATCCATGATCCGTGATATCCGCGATCGCGAAATCCGTATCTACACGGATGCTGGTCGTATTTGCAGACCTTTATTGATTGCTAAAAATGGCAGCCTGTTACTGAAAAAAGAACACATCGACATGTTGAAAGAGAGAGAATACAACAACTATGGCTGGCAAGTGTTGGTAGCCTCAGGTGTTGTCGAATACATTGACACCCTAGAAGAAGAAACTGTGATGATTGCCATGTCTCCTGACGATTTGAGACAAGACAAGGAGTGCGCCTACTGTACGACTTACACTCACTGCGAAATTCATCCCGCCATGATTTTGGGAGTCTGCGCGTCAATTATCCCGTTCCCCGATCACAACCAAAGTCCCAGGAACACCTATCAAAGCGCCATGGGAAAACAAGCCATGGGCGTGTACATAACAAACTTCCACGTGCGGATGGACACGCTCGCGCACGTGCTCTACTACCCCCACAAACCGCTGGTAACCACCAGATCCATGGAGTACCTGCGGTTCAGAGAGCTTCCCGCCGGCATCAACAGCATCGTGGCCATCGCCTGCTACACCGGCTACAACCAGGAGGATTCGGTTATTTTAAACGCTTCGGCCGTCGAAAGAGGCTTCTTCCGATCGGTGTTTTATCGTTCGTACAAGGACGCCGAGTCCAAGCGCATTGGGGATCAGGAGGAGCAGTTCGAGAAGCCGACCAGGCAGACCTGCCAGGGCATGCGCAACGCGCTGTACGACAAACTCGACGACGACGGTATCATTTCGCCCGGTATTCGTGTCTCCGGGGACGACGTCGTCATCGGCAAAACCATGACACTCCCGGAAAACGACGATGAGCTGGACGGTAACACGAAGAAGTTCACCAAGAGGGACGCCAGTACTTTCTTGCGTAACAGCGAGACTGGCGTGGTGGATCAGGTGATGTTGACCTTGAACTCCGAGGGTTACAAGTTCTGTAAGATTCGCGTGAGGTCCGTGAGGATTCCGCAGATAGGCGACAAATTCGCCTCGCGTCACGGGCAGAAGGGTACTTGCGGCATACAGTACCGGCAAGAAGATATGATTTTCTCGTGCGAGGGTTTGACCCCGGACATCATCATCAACCCGCACGCCATCCCATCTCGTATGACGATTGGGCATTTGATCGAGTGCATCCAAGGTAAGGTATCGGCGAATAAGGGGGAGATCGGGGACGCGACCCCGTTTAACGACGCGGTAAACGTGCAGAAAATTTCCACTCTCCTGCAAGAGTACGGGTACCAACTGAGAGGGAACGAGGTGATGTACAACGGGCACACGGGGCGCAAAATGAACGCGCAGATTTTCCTGGGCCCCACCTACTACCAGCGCCTCAAGCACATGGTGGACGATAAGATCCACTCGAGGGCCAGAGGCCCGGTGCAGATCCTCGTCAGGCAGCCCATGGAGGGTCGAGCCAGGGACGGGGGCCTGCGTTTCGGGGAGATGGAGCGCGATTGCCAGATTTCGCACGGCGCGGCGCAGTTTCTGCGCGAGCGCTTGTTCGAGGTGTCCGATCCCTACAGGATCCACGTGTGCAACTTCTGCGGGCTGATCGCCATCGCTAACTTGCGGAACAACACGTTCGAGTGCAAGGGGTGCAAGAATAAGACGCAGATTTCGCAGACATGGATCCTGTAG</t>
  </si>
  <si>
    <r>
      <t>40.01 ± 4.96</t>
    </r>
    <r>
      <rPr>
        <sz val="14"/>
        <color rgb="FF000000"/>
        <rFont val="Calibri"/>
        <family val="2"/>
        <scheme val="minor"/>
      </rPr>
      <t>*</t>
    </r>
  </si>
  <si>
    <r>
      <t>54.90 ± 9.81</t>
    </r>
    <r>
      <rPr>
        <sz val="14"/>
        <color rgb="FF000000"/>
        <rFont val="Calibri"/>
        <family val="2"/>
        <scheme val="minor"/>
      </rPr>
      <t>*</t>
    </r>
  </si>
  <si>
    <r>
      <t>41.57 ± 6.12</t>
    </r>
    <r>
      <rPr>
        <sz val="14"/>
        <color rgb="FF000000"/>
        <rFont val="Calibri"/>
        <family val="2"/>
        <scheme val="minor"/>
      </rPr>
      <t>*</t>
    </r>
  </si>
  <si>
    <r>
      <t>82.68 ± 9.73</t>
    </r>
    <r>
      <rPr>
        <sz val="14"/>
        <color rgb="FF000000"/>
        <rFont val="Calibri"/>
        <family val="2"/>
        <scheme val="minor"/>
      </rPr>
      <t xml:space="preserve">* </t>
    </r>
  </si>
  <si>
    <r>
      <t>52.08 ± 1.70</t>
    </r>
    <r>
      <rPr>
        <sz val="14"/>
        <color rgb="FF000000"/>
        <rFont val="Calibri"/>
        <family val="2"/>
        <scheme val="minor"/>
      </rPr>
      <t>*</t>
    </r>
  </si>
  <si>
    <r>
      <t>87.49 ± 30.9</t>
    </r>
    <r>
      <rPr>
        <sz val="14"/>
        <color rgb="FF000000"/>
        <rFont val="Calibri"/>
        <family val="2"/>
        <scheme val="minor"/>
      </rPr>
      <t>*</t>
    </r>
  </si>
  <si>
    <r>
      <t>53.99 ± 10.97</t>
    </r>
    <r>
      <rPr>
        <sz val="14"/>
        <color rgb="FF000000"/>
        <rFont val="Calibri"/>
        <family val="2"/>
        <scheme val="minor"/>
      </rPr>
      <t>*</t>
    </r>
  </si>
  <si>
    <r>
      <t>49.17 ± 6.45</t>
    </r>
    <r>
      <rPr>
        <sz val="14"/>
        <color rgb="FF000000"/>
        <rFont val="Calibri"/>
        <family val="2"/>
        <scheme val="minor"/>
      </rPr>
      <t>*</t>
    </r>
  </si>
  <si>
    <r>
      <t>47.06 ± 6.62</t>
    </r>
    <r>
      <rPr>
        <sz val="14"/>
        <color rgb="FF000000"/>
        <rFont val="Calibri"/>
        <family val="2"/>
        <scheme val="minor"/>
      </rPr>
      <t>*</t>
    </r>
  </si>
  <si>
    <r>
      <t>51.89 ± 6.09</t>
    </r>
    <r>
      <rPr>
        <sz val="14"/>
        <color rgb="FF000000"/>
        <rFont val="Calibri"/>
        <family val="2"/>
        <scheme val="minor"/>
      </rPr>
      <t xml:space="preserve">* </t>
    </r>
  </si>
  <si>
    <r>
      <t>47.06 ± 5.88</t>
    </r>
    <r>
      <rPr>
        <sz val="14"/>
        <color rgb="FF000000"/>
        <rFont val="Calibri"/>
        <family val="2"/>
        <scheme val="minor"/>
      </rPr>
      <t>*</t>
    </r>
  </si>
  <si>
    <r>
      <t>83.45 ± 5.62</t>
    </r>
    <r>
      <rPr>
        <sz val="14"/>
        <color rgb="FF000000"/>
        <rFont val="Calibri"/>
        <family val="2"/>
        <scheme val="minor"/>
      </rPr>
      <t>*</t>
    </r>
  </si>
  <si>
    <r>
      <t>41.67 ± 8.78</t>
    </r>
    <r>
      <rPr>
        <sz val="14"/>
        <color rgb="FF000000"/>
        <rFont val="Calibri"/>
        <family val="2"/>
        <scheme val="minor"/>
      </rPr>
      <t>*</t>
    </r>
  </si>
  <si>
    <r>
      <t>82.80 ± 1.78</t>
    </r>
    <r>
      <rPr>
        <sz val="14"/>
        <color rgb="FF000000"/>
        <rFont val="Calibri"/>
        <family val="2"/>
        <scheme val="minor"/>
      </rPr>
      <t>*</t>
    </r>
  </si>
  <si>
    <r>
      <t>76.72 ± 3.07</t>
    </r>
    <r>
      <rPr>
        <sz val="14"/>
        <color rgb="FF000000"/>
        <rFont val="Calibri"/>
        <family val="2"/>
        <scheme val="minor"/>
      </rPr>
      <t>*</t>
    </r>
  </si>
  <si>
    <r>
      <t>97.06 ± 1.70</t>
    </r>
    <r>
      <rPr>
        <sz val="14"/>
        <color rgb="FF000000"/>
        <rFont val="Calibri"/>
        <family val="2"/>
        <scheme val="minor"/>
      </rPr>
      <t>*</t>
    </r>
  </si>
  <si>
    <r>
      <t>38.24 ± 7.78</t>
    </r>
    <r>
      <rPr>
        <sz val="14"/>
        <color rgb="FF000000"/>
        <rFont val="Calibri"/>
        <family val="2"/>
        <scheme val="minor"/>
      </rPr>
      <t>*</t>
    </r>
  </si>
  <si>
    <r>
      <t>59.20 ± 4.97</t>
    </r>
    <r>
      <rPr>
        <sz val="12"/>
        <color rgb="FF000000"/>
        <rFont val="Calibri"/>
        <family val="2"/>
        <scheme val="minor"/>
      </rPr>
      <t>*</t>
    </r>
  </si>
  <si>
    <r>
      <t>46.11 ± 3.49</t>
    </r>
    <r>
      <rPr>
        <sz val="14"/>
        <color rgb="FF000000"/>
        <rFont val="Calibri"/>
        <family val="2"/>
        <scheme val="minor"/>
      </rPr>
      <t>*</t>
    </r>
  </si>
  <si>
    <r>
      <t>43.77 ± 3.09</t>
    </r>
    <r>
      <rPr>
        <sz val="14"/>
        <color rgb="FF000000"/>
        <rFont val="Calibri"/>
        <family val="2"/>
        <scheme val="minor"/>
      </rPr>
      <t>*</t>
    </r>
  </si>
  <si>
    <t>Supplemantary Table 10: Primers and probes used in probe hydrolysis PCR for gene copy number analysis in maize</t>
  </si>
  <si>
    <t>Supplementary Table 9: Nucleotide and protein sequences of RNAi target genes</t>
  </si>
  <si>
    <t>Supplementary Table 8: Protein sequences of RNAi pathway genes</t>
  </si>
  <si>
    <r>
      <t>Supplemantary Table 7: Raw data of</t>
    </r>
    <r>
      <rPr>
        <b/>
        <i/>
        <sz val="14"/>
        <color theme="1"/>
        <rFont val="Arial"/>
        <family val="2"/>
      </rPr>
      <t xml:space="preserve"> M. aeneus</t>
    </r>
    <r>
      <rPr>
        <b/>
        <sz val="14"/>
        <color theme="1"/>
        <rFont val="Arial"/>
        <family val="2"/>
      </rPr>
      <t xml:space="preserve"> injection and feeding assays</t>
    </r>
  </si>
  <si>
    <t xml:space="preserve">Supplemantary Table 6: Raw bioassay, copy number, and transcript data of T0 maize </t>
  </si>
  <si>
    <r>
      <t xml:space="preserve">Supplemantary Table 5: Raw data of </t>
    </r>
    <r>
      <rPr>
        <b/>
        <i/>
        <sz val="14"/>
        <color theme="1"/>
        <rFont val="Calibri"/>
        <family val="2"/>
        <scheme val="minor"/>
      </rPr>
      <t>D. v. virgifera</t>
    </r>
    <r>
      <rPr>
        <b/>
        <sz val="14"/>
        <color theme="1"/>
        <rFont val="Calibri"/>
        <family val="2"/>
        <scheme val="minor"/>
      </rPr>
      <t xml:space="preserve"> fedding bioassay on artificial diet</t>
    </r>
  </si>
  <si>
    <r>
      <t xml:space="preserve">Supplemantary Table 4: One-way ANOVA of mortality of </t>
    </r>
    <r>
      <rPr>
        <b/>
        <i/>
        <sz val="14"/>
        <color theme="1"/>
        <rFont val="Arial"/>
        <family val="2"/>
      </rPr>
      <t>T. castaneum</t>
    </r>
    <r>
      <rPr>
        <b/>
        <sz val="14"/>
        <color theme="1"/>
        <rFont val="Arial"/>
        <family val="2"/>
      </rPr>
      <t xml:space="preserve"> and </t>
    </r>
    <r>
      <rPr>
        <b/>
        <i/>
        <sz val="14"/>
        <color theme="1"/>
        <rFont val="Arial"/>
        <family val="2"/>
      </rPr>
      <t>M. aeneus</t>
    </r>
    <r>
      <rPr>
        <b/>
        <sz val="14"/>
        <color theme="1"/>
        <rFont val="Arial"/>
        <family val="2"/>
      </rPr>
      <t xml:space="preserve"> bioassays</t>
    </r>
  </si>
  <si>
    <r>
      <t>Supplemantary Table 3: Raw data for</t>
    </r>
    <r>
      <rPr>
        <b/>
        <i/>
        <sz val="14"/>
        <color theme="1"/>
        <rFont val="Calibri"/>
        <family val="2"/>
        <scheme val="minor"/>
      </rPr>
      <t xml:space="preserve"> T. castaneum</t>
    </r>
    <r>
      <rPr>
        <b/>
        <sz val="14"/>
        <color theme="1"/>
        <rFont val="Calibri"/>
        <family val="2"/>
        <scheme val="minor"/>
      </rPr>
      <t xml:space="preserve"> injection bioassays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</si>
</sst>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000"/>
    <numFmt numFmtId="165" formatCode="0.0000000"/>
  </numFmts>
  <fonts count="2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Calibri"/>
      <family val="2"/>
      <scheme val="minor"/>
    </font>
    <font>
      <sz val="11"/>
      <name val="Calibri"/>
      <family val="2"/>
    </font>
    <font>
      <b/>
      <sz val="11"/>
      <color rgb="FF000000"/>
      <name val="Calibri"/>
      <family val="2"/>
      <scheme val="minor"/>
    </font>
    <font>
      <sz val="11"/>
      <color theme="1"/>
      <name val="Courier New"/>
      <family val="3"/>
    </font>
    <font>
      <sz val="11"/>
      <color rgb="FF000000"/>
      <name val="Courier New"/>
      <family val="3"/>
    </font>
    <font>
      <b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b/>
      <i/>
      <sz val="14"/>
      <color theme="1"/>
      <name val="Arial"/>
      <family val="2"/>
    </font>
    <font>
      <sz val="12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7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0" fontId="3" fillId="0" borderId="0"/>
    <xf numFmtId="0" fontId="7" fillId="0" borderId="0"/>
  </cellStyleXfs>
  <cellXfs count="486">
    <xf numFmtId="0" fontId="0" fillId="0" borderId="0" xfId="0"/>
    <xf numFmtId="0" fontId="0" fillId="0" borderId="0" xfId="0" applyFill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13" xfId="0" applyBorder="1"/>
    <xf numFmtId="0" fontId="0" fillId="0" borderId="14" xfId="0" applyBorder="1"/>
    <xf numFmtId="0" fontId="0" fillId="0" borderId="0" xfId="0" applyBorder="1"/>
    <xf numFmtId="0" fontId="4" fillId="0" borderId="0" xfId="0" applyFont="1"/>
    <xf numFmtId="0" fontId="5" fillId="0" borderId="12" xfId="0" applyFont="1" applyBorder="1"/>
    <xf numFmtId="0" fontId="5" fillId="0" borderId="13" xfId="0" applyFont="1" applyBorder="1"/>
    <xf numFmtId="0" fontId="5" fillId="0" borderId="14" xfId="0" applyFont="1" applyBorder="1"/>
    <xf numFmtId="0" fontId="5" fillId="0" borderId="15" xfId="0" applyFont="1" applyBorder="1"/>
    <xf numFmtId="0" fontId="5" fillId="0" borderId="16" xfId="0" applyFont="1" applyBorder="1"/>
    <xf numFmtId="0" fontId="5" fillId="0" borderId="30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5" xfId="0" applyFont="1" applyBorder="1"/>
    <xf numFmtId="0" fontId="4" fillId="0" borderId="27" xfId="0" applyFont="1" applyBorder="1"/>
    <xf numFmtId="0" fontId="4" fillId="0" borderId="30" xfId="0" applyFont="1" applyBorder="1"/>
    <xf numFmtId="1" fontId="4" fillId="0" borderId="3" xfId="0" applyNumberFormat="1" applyFont="1" applyBorder="1"/>
    <xf numFmtId="1" fontId="4" fillId="0" borderId="4" xfId="0" applyNumberFormat="1" applyFont="1" applyBorder="1"/>
    <xf numFmtId="1" fontId="4" fillId="0" borderId="5" xfId="0" applyNumberFormat="1" applyFont="1" applyBorder="1"/>
    <xf numFmtId="1" fontId="4" fillId="0" borderId="27" xfId="0" applyNumberFormat="1" applyFont="1" applyBorder="1"/>
    <xf numFmtId="2" fontId="4" fillId="0" borderId="5" xfId="0" applyNumberFormat="1" applyFont="1" applyBorder="1"/>
    <xf numFmtId="0" fontId="5" fillId="0" borderId="23" xfId="0" applyFont="1" applyBorder="1"/>
    <xf numFmtId="0" fontId="4" fillId="0" borderId="7" xfId="0" applyFont="1" applyBorder="1"/>
    <xf numFmtId="0" fontId="4" fillId="0" borderId="6" xfId="0" applyFont="1" applyBorder="1"/>
    <xf numFmtId="0" fontId="4" fillId="0" borderId="8" xfId="0" applyFont="1" applyBorder="1"/>
    <xf numFmtId="0" fontId="4" fillId="0" borderId="22" xfId="0" applyFont="1" applyBorder="1"/>
    <xf numFmtId="0" fontId="4" fillId="0" borderId="23" xfId="0" applyFont="1" applyBorder="1"/>
    <xf numFmtId="0" fontId="4" fillId="0" borderId="18" xfId="0" applyFont="1" applyBorder="1"/>
    <xf numFmtId="0" fontId="4" fillId="0" borderId="31" xfId="0" applyFont="1" applyBorder="1"/>
    <xf numFmtId="0" fontId="4" fillId="0" borderId="19" xfId="0" applyFont="1" applyBorder="1"/>
    <xf numFmtId="0" fontId="4" fillId="0" borderId="20" xfId="0" applyFont="1" applyBorder="1"/>
    <xf numFmtId="0" fontId="4" fillId="0" borderId="21" xfId="0" applyFont="1" applyBorder="1"/>
    <xf numFmtId="1" fontId="4" fillId="0" borderId="18" xfId="0" applyNumberFormat="1" applyFont="1" applyBorder="1"/>
    <xf numFmtId="1" fontId="4" fillId="0" borderId="31" xfId="0" applyNumberFormat="1" applyFont="1" applyBorder="1"/>
    <xf numFmtId="1" fontId="4" fillId="0" borderId="20" xfId="0" applyNumberFormat="1" applyFont="1" applyBorder="1"/>
    <xf numFmtId="2" fontId="4" fillId="0" borderId="19" xfId="0" applyNumberFormat="1" applyFont="1" applyBorder="1"/>
    <xf numFmtId="1" fontId="4" fillId="0" borderId="19" xfId="0" applyNumberFormat="1" applyFont="1" applyBorder="1"/>
    <xf numFmtId="0" fontId="4" fillId="0" borderId="12" xfId="0" applyFont="1" applyBorder="1"/>
    <xf numFmtId="0" fontId="4" fillId="0" borderId="13" xfId="0" applyFont="1" applyBorder="1"/>
    <xf numFmtId="0" fontId="4" fillId="0" borderId="14" xfId="0" applyFont="1" applyBorder="1"/>
    <xf numFmtId="0" fontId="4" fillId="0" borderId="15" xfId="0" applyFont="1" applyBorder="1"/>
    <xf numFmtId="0" fontId="4" fillId="0" borderId="16" xfId="0" applyFont="1" applyBorder="1"/>
    <xf numFmtId="0" fontId="4" fillId="0" borderId="32" xfId="0" applyFont="1" applyBorder="1"/>
    <xf numFmtId="0" fontId="4" fillId="0" borderId="33" xfId="0" applyFont="1" applyBorder="1"/>
    <xf numFmtId="0" fontId="4" fillId="0" borderId="34" xfId="0" applyFont="1" applyBorder="1"/>
    <xf numFmtId="0" fontId="4" fillId="0" borderId="35" xfId="0" applyFont="1" applyBorder="1"/>
    <xf numFmtId="0" fontId="4" fillId="0" borderId="36" xfId="0" applyFont="1" applyBorder="1"/>
    <xf numFmtId="1" fontId="4" fillId="0" borderId="32" xfId="0" applyNumberFormat="1" applyFont="1" applyBorder="1"/>
    <xf numFmtId="1" fontId="4" fillId="0" borderId="33" xfId="0" applyNumberFormat="1" applyFont="1" applyBorder="1"/>
    <xf numFmtId="1" fontId="4" fillId="0" borderId="34" xfId="0" applyNumberFormat="1" applyFont="1" applyBorder="1"/>
    <xf numFmtId="1" fontId="4" fillId="0" borderId="35" xfId="0" applyNumberFormat="1" applyFont="1" applyBorder="1"/>
    <xf numFmtId="2" fontId="4" fillId="0" borderId="34" xfId="0" applyNumberFormat="1" applyFont="1" applyBorder="1"/>
    <xf numFmtId="0" fontId="5" fillId="0" borderId="21" xfId="0" applyFont="1" applyBorder="1"/>
    <xf numFmtId="0" fontId="5" fillId="0" borderId="0" xfId="0" applyFont="1" applyBorder="1" applyAlignment="1">
      <alignment horizontal="center" vertical="center" textRotation="90"/>
    </xf>
    <xf numFmtId="0" fontId="5" fillId="0" borderId="0" xfId="0" applyFont="1" applyBorder="1"/>
    <xf numFmtId="0" fontId="4" fillId="0" borderId="0" xfId="0" applyFont="1" applyBorder="1"/>
    <xf numFmtId="1" fontId="4" fillId="0" borderId="0" xfId="0" applyNumberFormat="1" applyFont="1" applyBorder="1"/>
    <xf numFmtId="0" fontId="0" fillId="0" borderId="42" xfId="0" applyFont="1" applyFill="1" applyBorder="1"/>
    <xf numFmtId="0" fontId="0" fillId="0" borderId="0" xfId="0" applyFont="1"/>
    <xf numFmtId="0" fontId="0" fillId="0" borderId="28" xfId="0" applyFont="1" applyFill="1" applyBorder="1"/>
    <xf numFmtId="0" fontId="0" fillId="0" borderId="0" xfId="0" applyFont="1" applyBorder="1"/>
    <xf numFmtId="0" fontId="0" fillId="0" borderId="47" xfId="0" applyFont="1" applyBorder="1"/>
    <xf numFmtId="0" fontId="0" fillId="0" borderId="0" xfId="0" applyFont="1" applyFill="1" applyBorder="1"/>
    <xf numFmtId="0" fontId="0" fillId="0" borderId="48" xfId="0" applyFont="1" applyBorder="1"/>
    <xf numFmtId="0" fontId="0" fillId="0" borderId="48" xfId="0" applyFont="1" applyFill="1" applyBorder="1"/>
    <xf numFmtId="0" fontId="0" fillId="0" borderId="8" xfId="0" applyFont="1" applyBorder="1" applyAlignment="1">
      <alignment horizontal="right"/>
    </xf>
    <xf numFmtId="0" fontId="0" fillId="0" borderId="37" xfId="0" applyFont="1" applyBorder="1"/>
    <xf numFmtId="0" fontId="0" fillId="0" borderId="20" xfId="0" applyFont="1" applyBorder="1"/>
    <xf numFmtId="0" fontId="0" fillId="0" borderId="37" xfId="0" applyFont="1" applyFill="1" applyBorder="1"/>
    <xf numFmtId="0" fontId="0" fillId="0" borderId="17" xfId="0" applyFont="1" applyBorder="1"/>
    <xf numFmtId="0" fontId="0" fillId="0" borderId="17" xfId="0" applyFont="1" applyFill="1" applyBorder="1"/>
    <xf numFmtId="0" fontId="0" fillId="2" borderId="8" xfId="0" applyFont="1" applyFill="1" applyBorder="1" applyAlignment="1">
      <alignment horizontal="right" vertical="center"/>
    </xf>
    <xf numFmtId="0" fontId="0" fillId="0" borderId="38" xfId="0" applyFont="1" applyBorder="1"/>
    <xf numFmtId="0" fontId="0" fillId="0" borderId="49" xfId="0" applyFont="1" applyBorder="1"/>
    <xf numFmtId="0" fontId="0" fillId="0" borderId="38" xfId="0" applyFont="1" applyFill="1" applyBorder="1"/>
    <xf numFmtId="0" fontId="0" fillId="0" borderId="50" xfId="0" applyFont="1" applyBorder="1"/>
    <xf numFmtId="0" fontId="0" fillId="0" borderId="50" xfId="0" applyFont="1" applyFill="1" applyBorder="1"/>
    <xf numFmtId="0" fontId="0" fillId="0" borderId="14" xfId="0" applyFont="1" applyBorder="1" applyAlignment="1">
      <alignment horizontal="right"/>
    </xf>
    <xf numFmtId="0" fontId="0" fillId="0" borderId="44" xfId="0" applyFont="1" applyBorder="1"/>
    <xf numFmtId="0" fontId="0" fillId="0" borderId="35" xfId="0" applyFont="1" applyBorder="1"/>
    <xf numFmtId="0" fontId="0" fillId="0" borderId="44" xfId="0" applyFont="1" applyFill="1" applyBorder="1"/>
    <xf numFmtId="0" fontId="0" fillId="0" borderId="28" xfId="0" applyFont="1" applyBorder="1"/>
    <xf numFmtId="0" fontId="0" fillId="0" borderId="0" xfId="0" applyFont="1" applyFill="1"/>
    <xf numFmtId="15" fontId="0" fillId="0" borderId="6" xfId="0" applyNumberFormat="1" applyBorder="1"/>
    <xf numFmtId="14" fontId="0" fillId="0" borderId="6" xfId="0" applyNumberFormat="1" applyBorder="1"/>
    <xf numFmtId="0" fontId="0" fillId="0" borderId="51" xfId="0" applyFont="1" applyBorder="1"/>
    <xf numFmtId="0" fontId="0" fillId="0" borderId="52" xfId="0" applyFont="1" applyBorder="1"/>
    <xf numFmtId="0" fontId="0" fillId="0" borderId="53" xfId="0" applyFont="1" applyBorder="1"/>
    <xf numFmtId="0" fontId="0" fillId="0" borderId="29" xfId="0" applyFont="1" applyBorder="1"/>
    <xf numFmtId="0" fontId="0" fillId="2" borderId="8" xfId="0" applyFont="1" applyFill="1" applyBorder="1" applyAlignment="1">
      <alignment horizontal="center" vertical="center"/>
    </xf>
    <xf numFmtId="0" fontId="0" fillId="0" borderId="0" xfId="0" applyFont="1" applyFill="1" applyAlignment="1">
      <alignment horizontal="right"/>
    </xf>
    <xf numFmtId="49" fontId="0" fillId="0" borderId="0" xfId="0" applyNumberFormat="1" applyFont="1" applyFill="1" applyAlignment="1">
      <alignment horizontal="right"/>
    </xf>
    <xf numFmtId="0" fontId="0" fillId="0" borderId="0" xfId="0" applyFont="1" applyFill="1" applyAlignment="1">
      <alignment horizontal="left"/>
    </xf>
    <xf numFmtId="0" fontId="2" fillId="0" borderId="0" xfId="0" applyFont="1" applyFill="1" applyBorder="1" applyAlignment="1">
      <alignment horizontal="right" vertical="center"/>
    </xf>
    <xf numFmtId="0" fontId="0" fillId="0" borderId="7" xfId="0" applyBorder="1"/>
    <xf numFmtId="0" fontId="0" fillId="0" borderId="12" xfId="0" applyBorder="1"/>
    <xf numFmtId="15" fontId="0" fillId="0" borderId="13" xfId="0" applyNumberFormat="1" applyBorder="1"/>
    <xf numFmtId="0" fontId="0" fillId="0" borderId="18" xfId="0" applyBorder="1"/>
    <xf numFmtId="0" fontId="0" fillId="0" borderId="31" xfId="0" applyBorder="1"/>
    <xf numFmtId="15" fontId="0" fillId="0" borderId="31" xfId="0" applyNumberFormat="1" applyBorder="1"/>
    <xf numFmtId="0" fontId="0" fillId="0" borderId="19" xfId="0" applyBorder="1"/>
    <xf numFmtId="0" fontId="0" fillId="0" borderId="20" xfId="0" applyBorder="1"/>
    <xf numFmtId="0" fontId="0" fillId="0" borderId="22" xfId="0" applyBorder="1"/>
    <xf numFmtId="0" fontId="0" fillId="0" borderId="15" xfId="0" applyBorder="1"/>
    <xf numFmtId="0" fontId="0" fillId="0" borderId="21" xfId="0" applyBorder="1"/>
    <xf numFmtId="0" fontId="0" fillId="0" borderId="23" xfId="0" applyBorder="1"/>
    <xf numFmtId="0" fontId="0" fillId="0" borderId="16" xfId="0" applyBorder="1"/>
    <xf numFmtId="0" fontId="1" fillId="0" borderId="0" xfId="0" applyFont="1"/>
    <xf numFmtId="0" fontId="0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right"/>
    </xf>
    <xf numFmtId="0" fontId="0" fillId="0" borderId="0" xfId="0" applyFont="1" applyFill="1" applyBorder="1" applyAlignment="1">
      <alignment horizontal="left"/>
    </xf>
    <xf numFmtId="0" fontId="0" fillId="0" borderId="51" xfId="0" applyFont="1" applyFill="1" applyBorder="1"/>
    <xf numFmtId="0" fontId="0" fillId="0" borderId="29" xfId="0" applyFont="1" applyFill="1" applyBorder="1"/>
    <xf numFmtId="0" fontId="1" fillId="0" borderId="1" xfId="0" applyFont="1" applyBorder="1"/>
    <xf numFmtId="0" fontId="1" fillId="0" borderId="2" xfId="0" applyFont="1" applyBorder="1"/>
    <xf numFmtId="0" fontId="1" fillId="0" borderId="24" xfId="0" applyFont="1" applyBorder="1"/>
    <xf numFmtId="0" fontId="8" fillId="0" borderId="3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0" fillId="4" borderId="7" xfId="0" applyFill="1" applyBorder="1" applyAlignment="1">
      <alignment vertical="center"/>
    </xf>
    <xf numFmtId="0" fontId="9" fillId="4" borderId="8" xfId="0" applyFont="1" applyFill="1" applyBorder="1" applyAlignment="1">
      <alignment vertical="center"/>
    </xf>
    <xf numFmtId="0" fontId="2" fillId="4" borderId="7" xfId="0" applyFont="1" applyFill="1" applyBorder="1" applyAlignment="1">
      <alignment vertical="center"/>
    </xf>
    <xf numFmtId="0" fontId="10" fillId="4" borderId="8" xfId="0" applyFont="1" applyFill="1" applyBorder="1" applyAlignment="1">
      <alignment vertical="center"/>
    </xf>
    <xf numFmtId="0" fontId="2" fillId="4" borderId="12" xfId="0" applyFont="1" applyFill="1" applyBorder="1" applyAlignment="1">
      <alignment vertical="center"/>
    </xf>
    <xf numFmtId="0" fontId="10" fillId="4" borderId="14" xfId="0" applyFont="1" applyFill="1" applyBorder="1" applyAlignment="1">
      <alignment vertical="center"/>
    </xf>
    <xf numFmtId="0" fontId="1" fillId="0" borderId="54" xfId="0" applyFont="1" applyBorder="1" applyAlignment="1">
      <alignment horizontal="center" vertical="center"/>
    </xf>
    <xf numFmtId="0" fontId="1" fillId="0" borderId="55" xfId="0" applyFont="1" applyBorder="1" applyAlignment="1">
      <alignment horizontal="center" vertical="center" wrapText="1"/>
    </xf>
    <xf numFmtId="0" fontId="1" fillId="0" borderId="55" xfId="0" applyFont="1" applyBorder="1" applyAlignment="1">
      <alignment horizontal="center" vertical="center"/>
    </xf>
    <xf numFmtId="0" fontId="1" fillId="0" borderId="56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 wrapText="1"/>
    </xf>
    <xf numFmtId="0" fontId="1" fillId="0" borderId="42" xfId="0" applyFont="1" applyBorder="1" applyAlignment="1">
      <alignment horizontal="center" vertical="center" wrapText="1"/>
    </xf>
    <xf numFmtId="0" fontId="1" fillId="0" borderId="42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14" fontId="0" fillId="0" borderId="3" xfId="0" applyNumberFormat="1" applyBorder="1"/>
    <xf numFmtId="14" fontId="0" fillId="0" borderId="7" xfId="0" applyNumberFormat="1" applyBorder="1"/>
    <xf numFmtId="14" fontId="0" fillId="0" borderId="12" xfId="0" applyNumberFormat="1" applyBorder="1"/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25" xfId="0" applyFont="1" applyBorder="1"/>
    <xf numFmtId="0" fontId="1" fillId="0" borderId="42" xfId="0" applyFont="1" applyBorder="1"/>
    <xf numFmtId="0" fontId="1" fillId="0" borderId="26" xfId="0" applyFont="1" applyBorder="1"/>
    <xf numFmtId="0" fontId="1" fillId="0" borderId="1" xfId="0" applyFont="1" applyFill="1" applyBorder="1"/>
    <xf numFmtId="0" fontId="1" fillId="0" borderId="42" xfId="0" applyFont="1" applyFill="1" applyBorder="1"/>
    <xf numFmtId="0" fontId="1" fillId="0" borderId="15" xfId="0" applyFont="1" applyFill="1" applyBorder="1" applyAlignment="1">
      <alignment horizontal="center" vertical="center"/>
    </xf>
    <xf numFmtId="0" fontId="1" fillId="0" borderId="13" xfId="0" applyFont="1" applyFill="1" applyBorder="1" applyAlignment="1">
      <alignment horizontal="center" vertical="center"/>
    </xf>
    <xf numFmtId="0" fontId="1" fillId="0" borderId="28" xfId="0" applyFont="1" applyFill="1" applyBorder="1"/>
    <xf numFmtId="0" fontId="1" fillId="0" borderId="2" xfId="0" applyFont="1" applyFill="1" applyBorder="1"/>
    <xf numFmtId="2" fontId="0" fillId="0" borderId="6" xfId="0" applyNumberFormat="1" applyBorder="1"/>
    <xf numFmtId="2" fontId="0" fillId="0" borderId="13" xfId="0" applyNumberFormat="1" applyBorder="1"/>
    <xf numFmtId="2" fontId="0" fillId="0" borderId="31" xfId="0" applyNumberFormat="1" applyBorder="1"/>
    <xf numFmtId="0" fontId="6" fillId="0" borderId="13" xfId="0" applyFont="1" applyFill="1" applyBorder="1" applyAlignment="1">
      <alignment horizontal="center" vertical="center"/>
    </xf>
    <xf numFmtId="165" fontId="4" fillId="0" borderId="4" xfId="0" applyNumberFormat="1" applyFont="1" applyBorder="1" applyAlignment="1">
      <alignment horizontal="center"/>
    </xf>
    <xf numFmtId="165" fontId="4" fillId="0" borderId="31" xfId="0" applyNumberFormat="1" applyFont="1" applyBorder="1" applyAlignment="1">
      <alignment horizontal="center"/>
    </xf>
    <xf numFmtId="1" fontId="4" fillId="5" borderId="20" xfId="0" applyNumberFormat="1" applyFont="1" applyFill="1" applyBorder="1" applyAlignment="1">
      <alignment horizontal="center"/>
    </xf>
    <xf numFmtId="1" fontId="4" fillId="5" borderId="31" xfId="0" applyNumberFormat="1" applyFont="1" applyFill="1" applyBorder="1" applyAlignment="1">
      <alignment horizontal="center"/>
    </xf>
    <xf numFmtId="165" fontId="4" fillId="5" borderId="31" xfId="0" applyNumberFormat="1" applyFont="1" applyFill="1" applyBorder="1" applyAlignment="1">
      <alignment horizontal="center"/>
    </xf>
    <xf numFmtId="165" fontId="4" fillId="5" borderId="19" xfId="0" applyNumberFormat="1" applyFont="1" applyFill="1" applyBorder="1" applyAlignment="1">
      <alignment horizontal="center"/>
    </xf>
    <xf numFmtId="1" fontId="4" fillId="5" borderId="35" xfId="0" applyNumberFormat="1" applyFont="1" applyFill="1" applyBorder="1" applyAlignment="1">
      <alignment horizontal="center"/>
    </xf>
    <xf numFmtId="1" fontId="4" fillId="5" borderId="33" xfId="0" applyNumberFormat="1" applyFont="1" applyFill="1" applyBorder="1" applyAlignment="1">
      <alignment horizontal="center"/>
    </xf>
    <xf numFmtId="165" fontId="4" fillId="5" borderId="33" xfId="0" applyNumberFormat="1" applyFont="1" applyFill="1" applyBorder="1" applyAlignment="1">
      <alignment horizontal="center"/>
    </xf>
    <xf numFmtId="165" fontId="4" fillId="5" borderId="34" xfId="0" applyNumberFormat="1" applyFont="1" applyFill="1" applyBorder="1" applyAlignment="1">
      <alignment horizontal="center"/>
    </xf>
    <xf numFmtId="165" fontId="4" fillId="0" borderId="27" xfId="0" applyNumberFormat="1" applyFont="1" applyBorder="1" applyAlignment="1">
      <alignment horizontal="center"/>
    </xf>
    <xf numFmtId="165" fontId="4" fillId="0" borderId="20" xfId="0" applyNumberFormat="1" applyFont="1" applyBorder="1" applyAlignment="1">
      <alignment horizontal="center"/>
    </xf>
    <xf numFmtId="1" fontId="4" fillId="5" borderId="20" xfId="0" applyNumberFormat="1" applyFont="1" applyFill="1" applyBorder="1" applyAlignment="1">
      <alignment horizontal="center" vertical="center"/>
    </xf>
    <xf numFmtId="1" fontId="4" fillId="5" borderId="35" xfId="0" applyNumberFormat="1" applyFont="1" applyFill="1" applyBorder="1" applyAlignment="1">
      <alignment horizontal="center" vertical="center"/>
    </xf>
    <xf numFmtId="1" fontId="4" fillId="0" borderId="27" xfId="0" applyNumberFormat="1" applyFont="1" applyBorder="1" applyAlignment="1">
      <alignment horizontal="center" vertical="center"/>
    </xf>
    <xf numFmtId="1" fontId="4" fillId="0" borderId="20" xfId="0" applyNumberFormat="1" applyFont="1" applyBorder="1" applyAlignment="1">
      <alignment horizontal="center" vertical="center"/>
    </xf>
    <xf numFmtId="165" fontId="4" fillId="3" borderId="31" xfId="0" applyNumberFormat="1" applyFont="1" applyFill="1" applyBorder="1" applyAlignment="1">
      <alignment horizontal="center"/>
    </xf>
    <xf numFmtId="165" fontId="4" fillId="6" borderId="31" xfId="0" applyNumberFormat="1" applyFont="1" applyFill="1" applyBorder="1"/>
    <xf numFmtId="165" fontId="4" fillId="6" borderId="19" xfId="0" applyNumberFormat="1" applyFont="1" applyFill="1" applyBorder="1"/>
    <xf numFmtId="165" fontId="4" fillId="6" borderId="4" xfId="0" applyNumberFormat="1" applyFont="1" applyFill="1" applyBorder="1"/>
    <xf numFmtId="165" fontId="4" fillId="6" borderId="5" xfId="0" applyNumberFormat="1" applyFont="1" applyFill="1" applyBorder="1"/>
    <xf numFmtId="165" fontId="0" fillId="6" borderId="6" xfId="0" applyNumberFormat="1" applyFill="1" applyBorder="1"/>
    <xf numFmtId="165" fontId="4" fillId="3" borderId="31" xfId="0" applyNumberFormat="1" applyFont="1" applyFill="1" applyBorder="1"/>
    <xf numFmtId="165" fontId="4" fillId="3" borderId="19" xfId="0" applyNumberFormat="1" applyFont="1" applyFill="1" applyBorder="1"/>
    <xf numFmtId="165" fontId="4" fillId="7" borderId="31" xfId="0" applyNumberFormat="1" applyFont="1" applyFill="1" applyBorder="1"/>
    <xf numFmtId="165" fontId="4" fillId="7" borderId="4" xfId="0" applyNumberFormat="1" applyFont="1" applyFill="1" applyBorder="1"/>
    <xf numFmtId="165" fontId="4" fillId="7" borderId="31" xfId="0" applyNumberFormat="1" applyFont="1" applyFill="1" applyBorder="1" applyAlignment="1">
      <alignment horizontal="center"/>
    </xf>
    <xf numFmtId="165" fontId="4" fillId="7" borderId="4" xfId="0" applyNumberFormat="1" applyFont="1" applyFill="1" applyBorder="1" applyAlignment="1">
      <alignment horizontal="center"/>
    </xf>
    <xf numFmtId="0" fontId="4" fillId="3" borderId="0" xfId="0" applyFont="1" applyFill="1"/>
    <xf numFmtId="0" fontId="4" fillId="6" borderId="0" xfId="0" applyFont="1" applyFill="1"/>
    <xf numFmtId="0" fontId="4" fillId="7" borderId="0" xfId="0" applyFont="1" applyFill="1"/>
    <xf numFmtId="0" fontId="5" fillId="0" borderId="0" xfId="0" applyFont="1"/>
    <xf numFmtId="1" fontId="4" fillId="0" borderId="3" xfId="0" applyNumberFormat="1" applyFont="1" applyBorder="1" applyAlignment="1">
      <alignment horizontal="center" vertical="center"/>
    </xf>
    <xf numFmtId="1" fontId="4" fillId="0" borderId="18" xfId="0" applyNumberFormat="1" applyFont="1" applyBorder="1" applyAlignment="1">
      <alignment horizontal="center" vertical="center"/>
    </xf>
    <xf numFmtId="165" fontId="4" fillId="0" borderId="33" xfId="0" applyNumberFormat="1" applyFont="1" applyBorder="1" applyAlignment="1">
      <alignment horizontal="center"/>
    </xf>
    <xf numFmtId="0" fontId="5" fillId="0" borderId="5" xfId="0" applyFont="1" applyBorder="1"/>
    <xf numFmtId="0" fontId="5" fillId="0" borderId="8" xfId="0" applyFont="1" applyBorder="1"/>
    <xf numFmtId="0" fontId="5" fillId="0" borderId="39" xfId="0" applyFont="1" applyBorder="1"/>
    <xf numFmtId="0" fontId="5" fillId="0" borderId="40" xfId="0" applyFont="1" applyBorder="1"/>
    <xf numFmtId="0" fontId="5" fillId="0" borderId="41" xfId="0" applyFont="1" applyBorder="1"/>
    <xf numFmtId="0" fontId="5" fillId="0" borderId="49" xfId="0" applyFont="1" applyBorder="1"/>
    <xf numFmtId="165" fontId="4" fillId="0" borderId="19" xfId="0" applyNumberFormat="1" applyFont="1" applyBorder="1" applyAlignment="1">
      <alignment horizontal="center"/>
    </xf>
    <xf numFmtId="165" fontId="4" fillId="0" borderId="35" xfId="0" applyNumberFormat="1" applyFont="1" applyBorder="1" applyAlignment="1">
      <alignment horizontal="center"/>
    </xf>
    <xf numFmtId="165" fontId="4" fillId="0" borderId="46" xfId="0" applyNumberFormat="1" applyFont="1" applyBorder="1" applyAlignment="1">
      <alignment horizontal="center"/>
    </xf>
    <xf numFmtId="165" fontId="4" fillId="0" borderId="47" xfId="0" applyNumberFormat="1" applyFont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165" fontId="4" fillId="0" borderId="3" xfId="0" applyNumberFormat="1" applyFont="1" applyBorder="1" applyAlignment="1">
      <alignment horizontal="center" vertical="center"/>
    </xf>
    <xf numFmtId="165" fontId="4" fillId="0" borderId="18" xfId="0" applyNumberFormat="1" applyFont="1" applyBorder="1" applyAlignment="1">
      <alignment horizontal="center" vertical="center"/>
    </xf>
    <xf numFmtId="165" fontId="4" fillId="7" borderId="33" xfId="0" applyNumberFormat="1" applyFont="1" applyFill="1" applyBorder="1" applyAlignment="1">
      <alignment horizontal="center"/>
    </xf>
    <xf numFmtId="165" fontId="4" fillId="5" borderId="5" xfId="0" applyNumberFormat="1" applyFont="1" applyFill="1" applyBorder="1" applyAlignment="1">
      <alignment horizontal="center"/>
    </xf>
    <xf numFmtId="0" fontId="1" fillId="2" borderId="21" xfId="0" applyFont="1" applyFill="1" applyBorder="1" applyAlignment="1">
      <alignment horizontal="right" vertical="center"/>
    </xf>
    <xf numFmtId="0" fontId="1" fillId="0" borderId="23" xfId="0" applyFont="1" applyBorder="1" applyAlignment="1">
      <alignment horizontal="right"/>
    </xf>
    <xf numFmtId="0" fontId="1" fillId="0" borderId="58" xfId="0" applyFont="1" applyBorder="1" applyAlignment="1">
      <alignment horizontal="right"/>
    </xf>
    <xf numFmtId="0" fontId="1" fillId="2" borderId="30" xfId="0" applyFont="1" applyFill="1" applyBorder="1" applyAlignment="1">
      <alignment horizontal="right" vertical="center"/>
    </xf>
    <xf numFmtId="0" fontId="1" fillId="0" borderId="16" xfId="0" applyFont="1" applyBorder="1" applyAlignment="1">
      <alignment horizontal="right"/>
    </xf>
    <xf numFmtId="165" fontId="4" fillId="6" borderId="4" xfId="0" applyNumberFormat="1" applyFont="1" applyFill="1" applyBorder="1" applyAlignment="1">
      <alignment horizontal="center"/>
    </xf>
    <xf numFmtId="165" fontId="4" fillId="7" borderId="46" xfId="0" applyNumberFormat="1" applyFont="1" applyFill="1" applyBorder="1" applyAlignment="1">
      <alignment horizontal="center"/>
    </xf>
    <xf numFmtId="165" fontId="4" fillId="7" borderId="19" xfId="0" applyNumberFormat="1" applyFont="1" applyFill="1" applyBorder="1" applyAlignment="1">
      <alignment horizontal="center"/>
    </xf>
    <xf numFmtId="165" fontId="4" fillId="7" borderId="34" xfId="0" applyNumberFormat="1" applyFont="1" applyFill="1" applyBorder="1" applyAlignment="1">
      <alignment horizontal="center"/>
    </xf>
    <xf numFmtId="165" fontId="4" fillId="7" borderId="20" xfId="0" applyNumberFormat="1" applyFont="1" applyFill="1" applyBorder="1" applyAlignment="1">
      <alignment horizontal="center"/>
    </xf>
    <xf numFmtId="165" fontId="4" fillId="3" borderId="4" xfId="0" applyNumberFormat="1" applyFont="1" applyFill="1" applyBorder="1" applyAlignment="1">
      <alignment horizontal="center"/>
    </xf>
    <xf numFmtId="165" fontId="4" fillId="3" borderId="46" xfId="0" applyNumberFormat="1" applyFont="1" applyFill="1" applyBorder="1" applyAlignment="1">
      <alignment horizontal="center"/>
    </xf>
    <xf numFmtId="165" fontId="4" fillId="3" borderId="5" xfId="0" applyNumberFormat="1" applyFont="1" applyFill="1" applyBorder="1" applyAlignment="1">
      <alignment horizontal="center"/>
    </xf>
    <xf numFmtId="165" fontId="4" fillId="3" borderId="19" xfId="0" applyNumberFormat="1" applyFont="1" applyFill="1" applyBorder="1" applyAlignment="1">
      <alignment horizontal="center"/>
    </xf>
    <xf numFmtId="165" fontId="4" fillId="3" borderId="59" xfId="0" applyNumberFormat="1" applyFont="1" applyFill="1" applyBorder="1" applyAlignment="1">
      <alignment horizontal="center"/>
    </xf>
    <xf numFmtId="165" fontId="4" fillId="3" borderId="33" xfId="0" applyNumberFormat="1" applyFont="1" applyFill="1" applyBorder="1" applyAlignment="1">
      <alignment horizontal="center"/>
    </xf>
    <xf numFmtId="165" fontId="4" fillId="3" borderId="34" xfId="0" applyNumberFormat="1" applyFont="1" applyFill="1" applyBorder="1" applyAlignment="1">
      <alignment horizontal="center"/>
    </xf>
    <xf numFmtId="165" fontId="4" fillId="6" borderId="31" xfId="0" applyNumberFormat="1" applyFont="1" applyFill="1" applyBorder="1" applyAlignment="1">
      <alignment horizontal="center"/>
    </xf>
    <xf numFmtId="165" fontId="4" fillId="6" borderId="5" xfId="0" applyNumberFormat="1" applyFont="1" applyFill="1" applyBorder="1" applyAlignment="1">
      <alignment horizontal="center"/>
    </xf>
    <xf numFmtId="165" fontId="4" fillId="6" borderId="19" xfId="0" applyNumberFormat="1" applyFont="1" applyFill="1" applyBorder="1" applyAlignment="1">
      <alignment horizontal="center"/>
    </xf>
    <xf numFmtId="165" fontId="4" fillId="6" borderId="46" xfId="0" applyNumberFormat="1" applyFont="1" applyFill="1" applyBorder="1" applyAlignment="1">
      <alignment horizontal="center"/>
    </xf>
    <xf numFmtId="165" fontId="4" fillId="6" borderId="59" xfId="0" applyNumberFormat="1" applyFont="1" applyFill="1" applyBorder="1" applyAlignment="1">
      <alignment horizontal="center"/>
    </xf>
    <xf numFmtId="0" fontId="1" fillId="0" borderId="44" xfId="0" applyFont="1" applyBorder="1" applyAlignment="1">
      <alignment horizontal="right"/>
    </xf>
    <xf numFmtId="0" fontId="5" fillId="0" borderId="58" xfId="0" applyFont="1" applyBorder="1"/>
    <xf numFmtId="1" fontId="4" fillId="5" borderId="18" xfId="0" applyNumberFormat="1" applyFont="1" applyFill="1" applyBorder="1" applyAlignment="1">
      <alignment horizontal="center" vertical="center"/>
    </xf>
    <xf numFmtId="1" fontId="4" fillId="5" borderId="32" xfId="0" applyNumberFormat="1" applyFont="1" applyFill="1" applyBorder="1" applyAlignment="1">
      <alignment horizontal="center" vertical="center"/>
    </xf>
    <xf numFmtId="1" fontId="4" fillId="5" borderId="18" xfId="0" applyNumberFormat="1" applyFont="1" applyFill="1" applyBorder="1" applyAlignment="1">
      <alignment horizontal="center"/>
    </xf>
    <xf numFmtId="1" fontId="4" fillId="5" borderId="32" xfId="0" applyNumberFormat="1" applyFont="1" applyFill="1" applyBorder="1" applyAlignment="1">
      <alignment horizontal="center"/>
    </xf>
    <xf numFmtId="0" fontId="5" fillId="0" borderId="51" xfId="0" applyFont="1" applyBorder="1"/>
    <xf numFmtId="0" fontId="5" fillId="0" borderId="29" xfId="0" applyFont="1" applyFill="1" applyBorder="1"/>
    <xf numFmtId="0" fontId="5" fillId="0" borderId="14" xfId="0" applyFont="1" applyFill="1" applyBorder="1"/>
    <xf numFmtId="0" fontId="0" fillId="0" borderId="3" xfId="0" applyBorder="1"/>
    <xf numFmtId="0" fontId="0" fillId="0" borderId="30" xfId="0" applyBorder="1"/>
    <xf numFmtId="0" fontId="0" fillId="0" borderId="27" xfId="0" applyBorder="1"/>
    <xf numFmtId="0" fontId="0" fillId="0" borderId="39" xfId="0" applyBorder="1"/>
    <xf numFmtId="0" fontId="0" fillId="0" borderId="40" xfId="0" applyBorder="1"/>
    <xf numFmtId="0" fontId="0" fillId="0" borderId="58" xfId="0" applyBorder="1"/>
    <xf numFmtId="0" fontId="0" fillId="0" borderId="41" xfId="0" applyBorder="1"/>
    <xf numFmtId="0" fontId="0" fillId="0" borderId="49" xfId="0" applyBorder="1"/>
    <xf numFmtId="0" fontId="1" fillId="0" borderId="10" xfId="0" applyFont="1" applyBorder="1" applyAlignment="1">
      <alignment horizontal="right"/>
    </xf>
    <xf numFmtId="0" fontId="1" fillId="0" borderId="57" xfId="0" applyFont="1" applyBorder="1" applyAlignment="1">
      <alignment horizontal="center" vertical="center" textRotation="90"/>
    </xf>
    <xf numFmtId="0" fontId="1" fillId="0" borderId="12" xfId="0" applyFont="1" applyBorder="1" applyAlignment="1">
      <alignment horizontal="center" vertical="center" textRotation="90"/>
    </xf>
    <xf numFmtId="0" fontId="0" fillId="0" borderId="0" xfId="0" applyFont="1" applyFill="1" applyBorder="1" applyAlignment="1">
      <alignment horizontal="left" vertical="top"/>
    </xf>
    <xf numFmtId="0" fontId="0" fillId="0" borderId="60" xfId="0" applyFont="1" applyFill="1" applyBorder="1"/>
    <xf numFmtId="0" fontId="2" fillId="0" borderId="60" xfId="0" applyFont="1" applyFill="1" applyBorder="1" applyAlignment="1">
      <alignment horizontal="right" vertical="center"/>
    </xf>
    <xf numFmtId="0" fontId="0" fillId="0" borderId="60" xfId="0" applyFont="1" applyFill="1" applyBorder="1" applyAlignment="1">
      <alignment horizontal="left"/>
    </xf>
    <xf numFmtId="0" fontId="2" fillId="0" borderId="38" xfId="0" applyFont="1" applyFill="1" applyBorder="1" applyAlignment="1">
      <alignment horizontal="right" vertical="center"/>
    </xf>
    <xf numFmtId="0" fontId="0" fillId="0" borderId="38" xfId="0" applyFont="1" applyFill="1" applyBorder="1" applyAlignment="1">
      <alignment horizontal="left"/>
    </xf>
    <xf numFmtId="0" fontId="2" fillId="0" borderId="37" xfId="0" applyFont="1" applyFill="1" applyBorder="1" applyAlignment="1">
      <alignment horizontal="right" vertical="center"/>
    </xf>
    <xf numFmtId="0" fontId="0" fillId="0" borderId="37" xfId="0" applyFont="1" applyFill="1" applyBorder="1" applyAlignment="1">
      <alignment horizontal="left"/>
    </xf>
    <xf numFmtId="0" fontId="0" fillId="0" borderId="60" xfId="0" applyFont="1" applyFill="1" applyBorder="1" applyAlignment="1">
      <alignment horizontal="left" vertical="top"/>
    </xf>
    <xf numFmtId="0" fontId="0" fillId="0" borderId="38" xfId="0" applyFont="1" applyFill="1" applyBorder="1" applyAlignment="1">
      <alignment horizontal="left" vertical="top"/>
    </xf>
    <xf numFmtId="0" fontId="0" fillId="0" borderId="37" xfId="0" applyFont="1" applyFill="1" applyBorder="1" applyAlignment="1">
      <alignment horizontal="left" vertical="top"/>
    </xf>
    <xf numFmtId="0" fontId="0" fillId="0" borderId="61" xfId="0" applyFont="1" applyFill="1" applyBorder="1"/>
    <xf numFmtId="0" fontId="0" fillId="0" borderId="53" xfId="0" applyFont="1" applyFill="1" applyBorder="1"/>
    <xf numFmtId="0" fontId="0" fillId="0" borderId="52" xfId="0" applyFont="1" applyFill="1" applyBorder="1"/>
    <xf numFmtId="0" fontId="0" fillId="0" borderId="37" xfId="0" applyFont="1" applyFill="1" applyBorder="1" applyAlignment="1">
      <alignment horizontal="right"/>
    </xf>
    <xf numFmtId="0" fontId="2" fillId="0" borderId="42" xfId="0" applyFont="1" applyFill="1" applyBorder="1" applyAlignment="1">
      <alignment horizontal="right" vertical="center"/>
    </xf>
    <xf numFmtId="0" fontId="0" fillId="0" borderId="42" xfId="0" applyFont="1" applyFill="1" applyBorder="1" applyAlignment="1">
      <alignment horizontal="left"/>
    </xf>
    <xf numFmtId="0" fontId="0" fillId="0" borderId="26" xfId="0" applyFont="1" applyFill="1" applyBorder="1"/>
    <xf numFmtId="0" fontId="0" fillId="0" borderId="50" xfId="0" applyFont="1" applyFill="1" applyBorder="1" applyAlignment="1">
      <alignment horizontal="center" vertical="top"/>
    </xf>
    <xf numFmtId="0" fontId="0" fillId="0" borderId="17" xfId="0" applyFont="1" applyFill="1" applyBorder="1" applyAlignment="1">
      <alignment horizontal="center" vertical="top"/>
    </xf>
    <xf numFmtId="0" fontId="0" fillId="0" borderId="25" xfId="0" applyFont="1" applyFill="1" applyBorder="1" applyAlignment="1">
      <alignment horizontal="center" vertical="top"/>
    </xf>
    <xf numFmtId="0" fontId="0" fillId="0" borderId="62" xfId="0" applyFont="1" applyFill="1" applyBorder="1" applyAlignment="1">
      <alignment horizontal="center" vertical="top"/>
    </xf>
    <xf numFmtId="0" fontId="0" fillId="0" borderId="48" xfId="0" applyFont="1" applyFill="1" applyBorder="1" applyAlignment="1">
      <alignment horizontal="center" vertical="top"/>
    </xf>
    <xf numFmtId="0" fontId="0" fillId="0" borderId="63" xfId="0" applyFont="1" applyFill="1" applyBorder="1"/>
    <xf numFmtId="0" fontId="0" fillId="0" borderId="63" xfId="0" applyFont="1" applyFill="1" applyBorder="1" applyAlignment="1">
      <alignment horizontal="right" vertical="center"/>
    </xf>
    <xf numFmtId="0" fontId="0" fillId="0" borderId="63" xfId="0" applyFont="1" applyFill="1" applyBorder="1" applyAlignment="1">
      <alignment horizontal="right"/>
    </xf>
    <xf numFmtId="49" fontId="0" fillId="0" borderId="63" xfId="0" applyNumberFormat="1" applyFont="1" applyFill="1" applyBorder="1" applyAlignment="1">
      <alignment horizontal="right"/>
    </xf>
    <xf numFmtId="0" fontId="0" fillId="0" borderId="63" xfId="0" applyFont="1" applyFill="1" applyBorder="1" applyAlignment="1">
      <alignment horizontal="left"/>
    </xf>
    <xf numFmtId="0" fontId="0" fillId="0" borderId="64" xfId="0" applyFont="1" applyFill="1" applyBorder="1"/>
    <xf numFmtId="0" fontId="0" fillId="0" borderId="11" xfId="0" applyFont="1" applyFill="1" applyBorder="1"/>
    <xf numFmtId="0" fontId="0" fillId="0" borderId="51" xfId="0" applyFont="1" applyFill="1" applyBorder="1" applyAlignment="1">
      <alignment horizontal="left" vertical="top"/>
    </xf>
    <xf numFmtId="0" fontId="0" fillId="0" borderId="61" xfId="0" applyFont="1" applyFill="1" applyBorder="1" applyAlignment="1">
      <alignment horizontal="left" vertical="top"/>
    </xf>
    <xf numFmtId="0" fontId="0" fillId="0" borderId="53" xfId="0" applyFont="1" applyFill="1" applyBorder="1" applyAlignment="1">
      <alignment horizontal="left" vertical="top"/>
    </xf>
    <xf numFmtId="0" fontId="0" fillId="0" borderId="61" xfId="0" applyFont="1" applyFill="1" applyBorder="1" applyAlignment="1">
      <alignment horizontal="right"/>
    </xf>
    <xf numFmtId="0" fontId="0" fillId="0" borderId="51" xfId="0" applyFont="1" applyFill="1" applyBorder="1" applyAlignment="1">
      <alignment horizontal="right"/>
    </xf>
    <xf numFmtId="0" fontId="0" fillId="0" borderId="51" xfId="0" applyFont="1" applyFill="1" applyBorder="1" applyAlignment="1">
      <alignment horizontal="right" vertical="top"/>
    </xf>
    <xf numFmtId="0" fontId="0" fillId="0" borderId="61" xfId="0" applyFont="1" applyFill="1" applyBorder="1" applyAlignment="1">
      <alignment horizontal="right" vertical="top"/>
    </xf>
    <xf numFmtId="0" fontId="0" fillId="0" borderId="64" xfId="0" applyFont="1" applyFill="1" applyBorder="1" applyAlignment="1">
      <alignment horizontal="right"/>
    </xf>
    <xf numFmtId="0" fontId="1" fillId="0" borderId="63" xfId="0" applyFont="1" applyFill="1" applyBorder="1" applyAlignment="1">
      <alignment horizontal="center" vertical="center"/>
    </xf>
    <xf numFmtId="0" fontId="1" fillId="0" borderId="44" xfId="0" applyFont="1" applyFill="1" applyBorder="1" applyAlignment="1">
      <alignment horizontal="center" vertical="center" wrapText="1"/>
    </xf>
    <xf numFmtId="0" fontId="1" fillId="0" borderId="29" xfId="0" applyFont="1" applyFill="1" applyBorder="1" applyAlignment="1">
      <alignment horizontal="center" vertical="center" wrapText="1"/>
    </xf>
    <xf numFmtId="0" fontId="1" fillId="0" borderId="44" xfId="0" applyFont="1" applyFill="1" applyBorder="1" applyAlignment="1">
      <alignment horizontal="center" vertical="center"/>
    </xf>
    <xf numFmtId="0" fontId="1" fillId="0" borderId="29" xfId="0" applyFont="1" applyFill="1" applyBorder="1" applyAlignment="1">
      <alignment horizontal="center" vertical="center"/>
    </xf>
    <xf numFmtId="0" fontId="1" fillId="0" borderId="26" xfId="0" applyFont="1" applyFill="1" applyBorder="1"/>
    <xf numFmtId="0" fontId="1" fillId="0" borderId="24" xfId="0" applyFont="1" applyFill="1" applyBorder="1"/>
    <xf numFmtId="0" fontId="14" fillId="0" borderId="0" xfId="0" applyFont="1"/>
    <xf numFmtId="0" fontId="15" fillId="0" borderId="0" xfId="0" applyFont="1"/>
    <xf numFmtId="0" fontId="17" fillId="0" borderId="0" xfId="0" applyFont="1"/>
    <xf numFmtId="0" fontId="18" fillId="0" borderId="0" xfId="0" applyFont="1" applyFill="1" applyAlignment="1">
      <alignment horizontal="left"/>
    </xf>
    <xf numFmtId="0" fontId="14" fillId="0" borderId="0" xfId="0" applyFont="1" applyFill="1"/>
    <xf numFmtId="0" fontId="14" fillId="0" borderId="0" xfId="0" applyFont="1" applyBorder="1"/>
    <xf numFmtId="0" fontId="0" fillId="0" borderId="62" xfId="0" applyFont="1" applyFill="1" applyBorder="1" applyAlignment="1">
      <alignment horizontal="right"/>
    </xf>
    <xf numFmtId="0" fontId="0" fillId="0" borderId="48" xfId="0" applyFont="1" applyFill="1" applyBorder="1" applyAlignment="1">
      <alignment horizontal="right"/>
    </xf>
    <xf numFmtId="0" fontId="0" fillId="0" borderId="65" xfId="0" applyFont="1" applyFill="1" applyBorder="1" applyAlignment="1">
      <alignment horizontal="right"/>
    </xf>
    <xf numFmtId="0" fontId="4" fillId="0" borderId="0" xfId="0" applyFont="1" applyFill="1"/>
    <xf numFmtId="0" fontId="0" fillId="0" borderId="42" xfId="0" applyFont="1" applyFill="1" applyBorder="1" applyAlignment="1">
      <alignment horizontal="left" vertical="top"/>
    </xf>
    <xf numFmtId="0" fontId="0" fillId="0" borderId="42" xfId="0" applyFont="1" applyBorder="1" applyAlignment="1">
      <alignment horizontal="right"/>
    </xf>
    <xf numFmtId="49" fontId="0" fillId="0" borderId="42" xfId="0" applyNumberFormat="1" applyFont="1" applyBorder="1" applyAlignment="1">
      <alignment horizontal="right"/>
    </xf>
    <xf numFmtId="49" fontId="0" fillId="0" borderId="60" xfId="0" applyNumberFormat="1" applyFont="1" applyBorder="1" applyAlignment="1">
      <alignment horizontal="right"/>
    </xf>
    <xf numFmtId="0" fontId="0" fillId="0" borderId="60" xfId="0" applyFont="1" applyBorder="1" applyAlignment="1">
      <alignment horizontal="right"/>
    </xf>
    <xf numFmtId="49" fontId="0" fillId="0" borderId="0" xfId="0" applyNumberFormat="1" applyFont="1" applyBorder="1" applyAlignment="1">
      <alignment horizontal="right"/>
    </xf>
    <xf numFmtId="0" fontId="0" fillId="0" borderId="0" xfId="0" applyFont="1" applyBorder="1" applyAlignment="1">
      <alignment horizontal="right"/>
    </xf>
    <xf numFmtId="49" fontId="0" fillId="0" borderId="38" xfId="0" applyNumberFormat="1" applyFont="1" applyBorder="1" applyAlignment="1">
      <alignment horizontal="right"/>
    </xf>
    <xf numFmtId="0" fontId="0" fillId="0" borderId="38" xfId="0" applyFont="1" applyBorder="1" applyAlignment="1">
      <alignment horizontal="right"/>
    </xf>
    <xf numFmtId="49" fontId="0" fillId="0" borderId="37" xfId="0" applyNumberFormat="1" applyFont="1" applyBorder="1" applyAlignment="1">
      <alignment horizontal="right"/>
    </xf>
    <xf numFmtId="0" fontId="0" fillId="0" borderId="37" xfId="0" applyFont="1" applyBorder="1" applyAlignment="1">
      <alignment horizontal="right"/>
    </xf>
    <xf numFmtId="49" fontId="0" fillId="0" borderId="0" xfId="0" applyNumberFormat="1" applyFont="1" applyFill="1" applyBorder="1" applyAlignment="1">
      <alignment horizontal="right"/>
    </xf>
    <xf numFmtId="49" fontId="0" fillId="0" borderId="0" xfId="0" applyNumberFormat="1" applyFont="1" applyFill="1" applyBorder="1" applyAlignment="1">
      <alignment horizontal="left"/>
    </xf>
    <xf numFmtId="49" fontId="0" fillId="0" borderId="37" xfId="0" applyNumberFormat="1" applyFont="1" applyFill="1" applyBorder="1" applyAlignment="1">
      <alignment horizontal="right"/>
    </xf>
    <xf numFmtId="49" fontId="0" fillId="0" borderId="37" xfId="0" applyNumberFormat="1" applyFont="1" applyFill="1" applyBorder="1" applyAlignment="1">
      <alignment horizontal="left"/>
    </xf>
    <xf numFmtId="0" fontId="0" fillId="0" borderId="0" xfId="0" applyFont="1" applyBorder="1" applyAlignment="1">
      <alignment horizontal="left" vertical="top"/>
    </xf>
    <xf numFmtId="0" fontId="0" fillId="0" borderId="60" xfId="0" applyFont="1" applyBorder="1" applyAlignment="1">
      <alignment horizontal="left" vertical="top"/>
    </xf>
    <xf numFmtId="0" fontId="0" fillId="0" borderId="26" xfId="0" applyFont="1" applyFill="1" applyBorder="1" applyAlignment="1">
      <alignment horizontal="right" vertical="top"/>
    </xf>
    <xf numFmtId="0" fontId="0" fillId="0" borderId="64" xfId="0" applyFont="1" applyFill="1" applyBorder="1" applyAlignment="1">
      <alignment horizontal="right" vertical="top"/>
    </xf>
    <xf numFmtId="0" fontId="0" fillId="0" borderId="42" xfId="0" applyFont="1" applyBorder="1" applyAlignment="1">
      <alignment horizontal="left" vertical="top"/>
    </xf>
    <xf numFmtId="0" fontId="0" fillId="0" borderId="63" xfId="0" applyFont="1" applyFill="1" applyBorder="1" applyAlignment="1">
      <alignment horizontal="left" vertical="top"/>
    </xf>
    <xf numFmtId="0" fontId="1" fillId="0" borderId="65" xfId="0" applyFont="1" applyFill="1" applyBorder="1" applyAlignment="1">
      <alignment horizontal="center" vertical="center" wrapText="1"/>
    </xf>
    <xf numFmtId="0" fontId="0" fillId="0" borderId="62" xfId="0" applyFont="1" applyFill="1" applyBorder="1"/>
    <xf numFmtId="0" fontId="6" fillId="0" borderId="12" xfId="0" applyFont="1" applyFill="1" applyBorder="1" applyAlignment="1">
      <alignment horizontal="center" vertical="center"/>
    </xf>
    <xf numFmtId="0" fontId="6" fillId="0" borderId="14" xfId="0" applyFont="1" applyFill="1" applyBorder="1" applyAlignment="1">
      <alignment horizontal="center" vertical="center"/>
    </xf>
    <xf numFmtId="0" fontId="12" fillId="0" borderId="15" xfId="0" applyFont="1" applyBorder="1"/>
    <xf numFmtId="0" fontId="12" fillId="0" borderId="16" xfId="0" applyFont="1" applyBorder="1"/>
    <xf numFmtId="0" fontId="12" fillId="0" borderId="12" xfId="0" applyFont="1" applyBorder="1"/>
    <xf numFmtId="0" fontId="12" fillId="0" borderId="14" xfId="0" applyFont="1" applyBorder="1"/>
    <xf numFmtId="2" fontId="0" fillId="0" borderId="18" xfId="0" applyNumberFormat="1" applyBorder="1"/>
    <xf numFmtId="2" fontId="0" fillId="0" borderId="19" xfId="0" applyNumberFormat="1" applyBorder="1"/>
    <xf numFmtId="2" fontId="0" fillId="0" borderId="20" xfId="0" applyNumberFormat="1" applyBorder="1"/>
    <xf numFmtId="2" fontId="0" fillId="0" borderId="21" xfId="0" applyNumberFormat="1" applyBorder="1"/>
    <xf numFmtId="164" fontId="0" fillId="0" borderId="69" xfId="0" applyNumberFormat="1" applyBorder="1"/>
    <xf numFmtId="2" fontId="0" fillId="0" borderId="7" xfId="0" applyNumberFormat="1" applyBorder="1"/>
    <xf numFmtId="2" fontId="0" fillId="0" borderId="8" xfId="0" applyNumberFormat="1" applyBorder="1"/>
    <xf numFmtId="2" fontId="0" fillId="0" borderId="22" xfId="0" applyNumberFormat="1" applyBorder="1"/>
    <xf numFmtId="2" fontId="0" fillId="0" borderId="23" xfId="0" applyNumberFormat="1" applyBorder="1"/>
    <xf numFmtId="164" fontId="0" fillId="0" borderId="70" xfId="0" applyNumberFormat="1" applyBorder="1"/>
    <xf numFmtId="2" fontId="0" fillId="0" borderId="12" xfId="0" applyNumberFormat="1" applyBorder="1"/>
    <xf numFmtId="2" fontId="0" fillId="0" borderId="14" xfId="0" applyNumberFormat="1" applyBorder="1"/>
    <xf numFmtId="2" fontId="0" fillId="0" borderId="15" xfId="0" applyNumberFormat="1" applyBorder="1"/>
    <xf numFmtId="2" fontId="0" fillId="0" borderId="16" xfId="0" applyNumberFormat="1" applyBorder="1"/>
    <xf numFmtId="164" fontId="0" fillId="0" borderId="71" xfId="0" applyNumberFormat="1" applyBorder="1"/>
    <xf numFmtId="0" fontId="13" fillId="0" borderId="0" xfId="0" applyFont="1" applyFill="1" applyAlignment="1"/>
    <xf numFmtId="0" fontId="0" fillId="4" borderId="12" xfId="0" applyFill="1" applyBorder="1" applyAlignment="1">
      <alignment vertical="center"/>
    </xf>
    <xf numFmtId="0" fontId="0" fillId="0" borderId="0" xfId="0" applyFont="1" applyFill="1" applyBorder="1" applyAlignment="1">
      <alignment horizontal="left" vertical="top"/>
    </xf>
    <xf numFmtId="0" fontId="0" fillId="0" borderId="51" xfId="0" applyFont="1" applyFill="1" applyBorder="1" applyAlignment="1">
      <alignment horizontal="right" vertical="top"/>
    </xf>
    <xf numFmtId="0" fontId="8" fillId="0" borderId="57" xfId="0" applyFont="1" applyBorder="1" applyAlignment="1">
      <alignment horizontal="center" vertical="center"/>
    </xf>
    <xf numFmtId="0" fontId="8" fillId="0" borderId="72" xfId="0" applyFont="1" applyBorder="1" applyAlignment="1">
      <alignment horizontal="center" vertical="center"/>
    </xf>
    <xf numFmtId="0" fontId="0" fillId="4" borderId="3" xfId="0" applyFill="1" applyBorder="1" applyAlignment="1">
      <alignment vertical="center"/>
    </xf>
    <xf numFmtId="0" fontId="0" fillId="0" borderId="62" xfId="0" applyFont="1" applyFill="1" applyBorder="1" applyAlignment="1">
      <alignment horizontal="center" vertical="center"/>
    </xf>
    <xf numFmtId="0" fontId="0" fillId="0" borderId="50" xfId="0" applyFont="1" applyFill="1" applyBorder="1" applyAlignment="1">
      <alignment horizontal="center" vertical="center"/>
    </xf>
    <xf numFmtId="0" fontId="0" fillId="0" borderId="17" xfId="0" applyFont="1" applyFill="1" applyBorder="1" applyAlignment="1">
      <alignment horizontal="center" vertical="center"/>
    </xf>
    <xf numFmtId="0" fontId="0" fillId="0" borderId="48" xfId="0" applyFont="1" applyFill="1" applyBorder="1" applyAlignment="1">
      <alignment horizontal="center" vertical="center"/>
    </xf>
    <xf numFmtId="0" fontId="0" fillId="0" borderId="51" xfId="0" applyFont="1" applyFill="1" applyBorder="1" applyAlignment="1">
      <alignment horizontal="center" vertical="center"/>
    </xf>
    <xf numFmtId="0" fontId="0" fillId="0" borderId="61" xfId="0" applyFont="1" applyFill="1" applyBorder="1" applyAlignment="1">
      <alignment horizontal="center" vertical="center"/>
    </xf>
    <xf numFmtId="0" fontId="0" fillId="0" borderId="26" xfId="0" applyFont="1" applyFill="1" applyBorder="1" applyAlignment="1">
      <alignment horizontal="center" vertical="center"/>
    </xf>
    <xf numFmtId="0" fontId="0" fillId="0" borderId="25" xfId="0" applyFont="1" applyFill="1" applyBorder="1" applyAlignment="1">
      <alignment horizontal="center" vertical="center"/>
    </xf>
    <xf numFmtId="0" fontId="2" fillId="0" borderId="37" xfId="0" applyFont="1" applyBorder="1" applyAlignment="1">
      <alignment vertical="center"/>
    </xf>
    <xf numFmtId="0" fontId="0" fillId="4" borderId="5" xfId="0" applyFill="1" applyBorder="1" applyAlignment="1">
      <alignment vertical="center"/>
    </xf>
    <xf numFmtId="0" fontId="0" fillId="4" borderId="8" xfId="0" applyFill="1" applyBorder="1" applyAlignment="1">
      <alignment vertical="center"/>
    </xf>
    <xf numFmtId="0" fontId="0" fillId="4" borderId="14" xfId="0" applyFill="1" applyBorder="1" applyAlignment="1">
      <alignment vertical="center"/>
    </xf>
    <xf numFmtId="0" fontId="13" fillId="5" borderId="0" xfId="0" applyFont="1" applyFill="1" applyAlignment="1">
      <alignment horizontal="left"/>
    </xf>
    <xf numFmtId="0" fontId="0" fillId="0" borderId="50" xfId="0" applyFont="1" applyFill="1" applyBorder="1" applyAlignment="1">
      <alignment horizontal="center" vertical="center" textRotation="90"/>
    </xf>
    <xf numFmtId="0" fontId="0" fillId="0" borderId="48" xfId="0" applyFont="1" applyFill="1" applyBorder="1" applyAlignment="1">
      <alignment horizontal="center" vertical="center" textRotation="90"/>
    </xf>
    <xf numFmtId="0" fontId="0" fillId="0" borderId="28" xfId="0" applyFont="1" applyFill="1" applyBorder="1" applyAlignment="1">
      <alignment horizontal="center" vertical="center" textRotation="90"/>
    </xf>
    <xf numFmtId="0" fontId="0" fillId="0" borderId="38" xfId="0" applyFont="1" applyFill="1" applyBorder="1" applyAlignment="1">
      <alignment horizontal="left" vertical="top"/>
    </xf>
    <xf numFmtId="0" fontId="0" fillId="0" borderId="37" xfId="0" applyFont="1" applyFill="1" applyBorder="1" applyAlignment="1">
      <alignment horizontal="left" vertical="top"/>
    </xf>
    <xf numFmtId="0" fontId="0" fillId="0" borderId="38" xfId="0" applyFont="1" applyBorder="1" applyAlignment="1">
      <alignment horizontal="left" vertical="top"/>
    </xf>
    <xf numFmtId="0" fontId="0" fillId="0" borderId="37" xfId="0" applyFont="1" applyBorder="1" applyAlignment="1">
      <alignment horizontal="left" vertical="top"/>
    </xf>
    <xf numFmtId="0" fontId="0" fillId="0" borderId="53" xfId="0" applyFont="1" applyFill="1" applyBorder="1" applyAlignment="1">
      <alignment horizontal="right" vertical="top"/>
    </xf>
    <xf numFmtId="0" fontId="0" fillId="0" borderId="52" xfId="0" applyFont="1" applyFill="1" applyBorder="1" applyAlignment="1">
      <alignment horizontal="right" vertical="top"/>
    </xf>
    <xf numFmtId="0" fontId="0" fillId="0" borderId="50" xfId="0" applyFont="1" applyFill="1" applyBorder="1" applyAlignment="1">
      <alignment horizontal="center" vertical="top"/>
    </xf>
    <xf numFmtId="0" fontId="0" fillId="0" borderId="17" xfId="0" applyFont="1" applyFill="1" applyBorder="1" applyAlignment="1">
      <alignment horizontal="center" vertical="top"/>
    </xf>
    <xf numFmtId="0" fontId="0" fillId="0" borderId="53" xfId="0" applyFont="1" applyFill="1" applyBorder="1" applyAlignment="1">
      <alignment horizontal="left" vertical="top"/>
    </xf>
    <xf numFmtId="0" fontId="0" fillId="0" borderId="52" xfId="0" applyFont="1" applyFill="1" applyBorder="1" applyAlignment="1">
      <alignment horizontal="left" vertical="top"/>
    </xf>
    <xf numFmtId="0" fontId="0" fillId="0" borderId="0" xfId="0" applyFont="1" applyFill="1" applyBorder="1" applyAlignment="1">
      <alignment horizontal="left" vertical="top"/>
    </xf>
    <xf numFmtId="0" fontId="0" fillId="0" borderId="0" xfId="0" applyFont="1" applyBorder="1" applyAlignment="1">
      <alignment horizontal="left" vertical="top"/>
    </xf>
    <xf numFmtId="0" fontId="0" fillId="0" borderId="51" xfId="0" applyFont="1" applyFill="1" applyBorder="1" applyAlignment="1">
      <alignment horizontal="right" vertical="top"/>
    </xf>
    <xf numFmtId="0" fontId="0" fillId="0" borderId="50" xfId="0" applyFont="1" applyFill="1" applyBorder="1" applyAlignment="1">
      <alignment horizontal="left" vertical="top"/>
    </xf>
    <xf numFmtId="0" fontId="0" fillId="0" borderId="17" xfId="0" applyFont="1" applyFill="1" applyBorder="1" applyAlignment="1">
      <alignment horizontal="left" vertical="top"/>
    </xf>
    <xf numFmtId="0" fontId="0" fillId="0" borderId="48" xfId="0" applyFont="1" applyFill="1" applyBorder="1" applyAlignment="1">
      <alignment horizontal="center" vertical="top"/>
    </xf>
    <xf numFmtId="0" fontId="0" fillId="0" borderId="51" xfId="0" applyFont="1" applyFill="1" applyBorder="1" applyAlignment="1">
      <alignment horizontal="left" vertical="top"/>
    </xf>
    <xf numFmtId="0" fontId="0" fillId="0" borderId="48" xfId="0" applyFont="1" applyFill="1" applyBorder="1" applyAlignment="1">
      <alignment horizontal="left" vertical="top"/>
    </xf>
    <xf numFmtId="0" fontId="13" fillId="5" borderId="0" xfId="0" applyFont="1" applyFill="1" applyAlignment="1">
      <alignment horizontal="left"/>
    </xf>
    <xf numFmtId="0" fontId="1" fillId="0" borderId="26" xfId="0" applyFont="1" applyFill="1" applyBorder="1" applyAlignment="1">
      <alignment horizontal="center" vertical="center"/>
    </xf>
    <xf numFmtId="0" fontId="1" fillId="0" borderId="29" xfId="0" applyFont="1" applyFill="1" applyBorder="1" applyAlignment="1">
      <alignment horizontal="center" vertical="center"/>
    </xf>
    <xf numFmtId="0" fontId="0" fillId="0" borderId="25" xfId="0" applyFont="1" applyFill="1" applyBorder="1" applyAlignment="1">
      <alignment horizontal="center"/>
    </xf>
    <xf numFmtId="0" fontId="0" fillId="0" borderId="28" xfId="0" applyFont="1" applyFill="1" applyBorder="1" applyAlignment="1">
      <alignment horizontal="center"/>
    </xf>
    <xf numFmtId="0" fontId="1" fillId="0" borderId="9" xfId="0" applyFont="1" applyFill="1" applyBorder="1" applyAlignment="1">
      <alignment horizontal="center"/>
    </xf>
    <xf numFmtId="0" fontId="1" fillId="0" borderId="11" xfId="0" applyFont="1" applyFill="1" applyBorder="1" applyAlignment="1">
      <alignment horizontal="center"/>
    </xf>
    <xf numFmtId="0" fontId="1" fillId="0" borderId="10" xfId="0" applyFont="1" applyFill="1" applyBorder="1" applyAlignment="1">
      <alignment horizontal="center"/>
    </xf>
    <xf numFmtId="0" fontId="0" fillId="0" borderId="50" xfId="0" applyFont="1" applyFill="1" applyBorder="1" applyAlignment="1">
      <alignment horizontal="center" vertical="center"/>
    </xf>
    <xf numFmtId="0" fontId="0" fillId="0" borderId="17" xfId="0" applyFont="1" applyFill="1" applyBorder="1" applyAlignment="1">
      <alignment horizontal="center" vertical="center"/>
    </xf>
    <xf numFmtId="0" fontId="0" fillId="0" borderId="53" xfId="0" applyFont="1" applyFill="1" applyBorder="1" applyAlignment="1">
      <alignment horizontal="center" vertical="center"/>
    </xf>
    <xf numFmtId="0" fontId="0" fillId="0" borderId="52" xfId="0" applyFont="1" applyFill="1" applyBorder="1" applyAlignment="1">
      <alignment horizontal="center" vertical="center"/>
    </xf>
    <xf numFmtId="0" fontId="0" fillId="0" borderId="51" xfId="0" applyFont="1" applyFill="1" applyBorder="1" applyAlignment="1">
      <alignment horizontal="center" vertical="center"/>
    </xf>
    <xf numFmtId="0" fontId="0" fillId="0" borderId="48" xfId="0" applyFont="1" applyFill="1" applyBorder="1" applyAlignment="1">
      <alignment horizontal="center" vertical="center"/>
    </xf>
    <xf numFmtId="0" fontId="1" fillId="0" borderId="43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0" fillId="0" borderId="39" xfId="0" applyFont="1" applyBorder="1" applyAlignment="1">
      <alignment horizontal="center" vertical="center"/>
    </xf>
    <xf numFmtId="0" fontId="0" fillId="0" borderId="45" xfId="0" applyFont="1" applyBorder="1" applyAlignment="1">
      <alignment horizontal="center" vertical="center"/>
    </xf>
    <xf numFmtId="0" fontId="0" fillId="0" borderId="18" xfId="0" applyFont="1" applyBorder="1" applyAlignment="1">
      <alignment horizontal="center" vertical="center"/>
    </xf>
    <xf numFmtId="0" fontId="0" fillId="0" borderId="40" xfId="0" applyFont="1" applyBorder="1" applyAlignment="1">
      <alignment horizontal="center" vertical="center" textRotation="90"/>
    </xf>
    <xf numFmtId="0" fontId="0" fillId="0" borderId="46" xfId="0" applyFont="1" applyBorder="1" applyAlignment="1">
      <alignment horizontal="center" vertical="center" textRotation="90"/>
    </xf>
    <xf numFmtId="0" fontId="0" fillId="0" borderId="31" xfId="0" applyFont="1" applyBorder="1" applyAlignment="1">
      <alignment horizontal="center" vertical="center" textRotation="90"/>
    </xf>
    <xf numFmtId="0" fontId="11" fillId="0" borderId="25" xfId="0" applyFont="1" applyBorder="1" applyAlignment="1">
      <alignment horizontal="center" vertical="center"/>
    </xf>
    <xf numFmtId="0" fontId="11" fillId="0" borderId="42" xfId="0" applyFont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11" fillId="0" borderId="44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" fillId="0" borderId="27" xfId="0" applyFont="1" applyFill="1" applyBorder="1" applyAlignment="1">
      <alignment horizontal="center"/>
    </xf>
    <xf numFmtId="0" fontId="0" fillId="0" borderId="32" xfId="0" applyFont="1" applyBorder="1" applyAlignment="1">
      <alignment horizontal="center" vertical="center"/>
    </xf>
    <xf numFmtId="0" fontId="0" fillId="0" borderId="33" xfId="0" applyFont="1" applyBorder="1" applyAlignment="1">
      <alignment horizontal="center" vertical="center" textRotation="90"/>
    </xf>
    <xf numFmtId="0" fontId="5" fillId="0" borderId="28" xfId="0" applyFont="1" applyBorder="1" applyAlignment="1">
      <alignment horizontal="left"/>
    </xf>
    <xf numFmtId="0" fontId="5" fillId="0" borderId="44" xfId="0" applyFont="1" applyBorder="1" applyAlignment="1">
      <alignment horizontal="left"/>
    </xf>
    <xf numFmtId="0" fontId="5" fillId="0" borderId="35" xfId="0" applyFont="1" applyBorder="1" applyAlignment="1">
      <alignment horizontal="left"/>
    </xf>
    <xf numFmtId="0" fontId="4" fillId="0" borderId="44" xfId="0" applyFont="1" applyBorder="1" applyAlignment="1">
      <alignment horizontal="center"/>
    </xf>
    <xf numFmtId="0" fontId="4" fillId="0" borderId="29" xfId="0" applyFont="1" applyBorder="1" applyAlignment="1">
      <alignment horizontal="center"/>
    </xf>
    <xf numFmtId="0" fontId="5" fillId="0" borderId="48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47" xfId="0" applyFont="1" applyBorder="1" applyAlignment="1">
      <alignment horizontal="left"/>
    </xf>
    <xf numFmtId="0" fontId="4" fillId="0" borderId="0" xfId="0" applyFont="1" applyBorder="1" applyAlignment="1">
      <alignment horizontal="center"/>
    </xf>
    <xf numFmtId="0" fontId="4" fillId="0" borderId="51" xfId="0" applyFont="1" applyBorder="1" applyAlignment="1">
      <alignment horizontal="center"/>
    </xf>
    <xf numFmtId="0" fontId="5" fillId="0" borderId="25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5" fillId="0" borderId="66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47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44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/>
    </xf>
    <xf numFmtId="0" fontId="5" fillId="0" borderId="51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1" fillId="0" borderId="42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4" xfId="0" applyFont="1" applyFill="1" applyBorder="1" applyAlignment="1">
      <alignment horizontal="center"/>
    </xf>
    <xf numFmtId="0" fontId="6" fillId="0" borderId="5" xfId="0" applyFont="1" applyFill="1" applyBorder="1" applyAlignment="1">
      <alignment horizontal="center"/>
    </xf>
    <xf numFmtId="0" fontId="6" fillId="0" borderId="11" xfId="0" applyFont="1" applyBorder="1" applyAlignment="1">
      <alignment horizontal="center" wrapText="1"/>
    </xf>
    <xf numFmtId="0" fontId="6" fillId="0" borderId="9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67" xfId="0" applyFont="1" applyFill="1" applyBorder="1" applyAlignment="1">
      <alignment horizontal="center" vertical="center"/>
    </xf>
    <xf numFmtId="0" fontId="6" fillId="0" borderId="68" xfId="0" applyFont="1" applyFill="1" applyBorder="1" applyAlignment="1">
      <alignment horizontal="center" vertical="center"/>
    </xf>
    <xf numFmtId="0" fontId="18" fillId="5" borderId="0" xfId="0" applyFont="1" applyFill="1" applyAlignment="1">
      <alignment horizontal="left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27" xfId="0" applyFont="1" applyBorder="1" applyAlignment="1">
      <alignment horizontal="center"/>
    </xf>
    <xf numFmtId="0" fontId="1" fillId="0" borderId="57" xfId="0" applyFont="1" applyBorder="1" applyAlignment="1">
      <alignment horizontal="center" vertical="center" textRotation="90"/>
    </xf>
    <xf numFmtId="0" fontId="1" fillId="0" borderId="45" xfId="0" applyFont="1" applyBorder="1" applyAlignment="1">
      <alignment horizontal="center" vertical="center" textRotation="90"/>
    </xf>
    <xf numFmtId="0" fontId="1" fillId="0" borderId="32" xfId="0" applyFont="1" applyBorder="1" applyAlignment="1">
      <alignment horizontal="center" vertical="center" textRotation="90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 textRotation="90"/>
    </xf>
    <xf numFmtId="0" fontId="5" fillId="0" borderId="48" xfId="0" applyFont="1" applyBorder="1" applyAlignment="1">
      <alignment horizontal="center" vertical="center" textRotation="90"/>
    </xf>
    <xf numFmtId="0" fontId="5" fillId="0" borderId="28" xfId="0" applyFont="1" applyBorder="1" applyAlignment="1">
      <alignment horizontal="center" vertical="center" textRotation="90"/>
    </xf>
    <xf numFmtId="0" fontId="5" fillId="0" borderId="3" xfId="0" applyFont="1" applyBorder="1" applyAlignment="1">
      <alignment horizontal="center" vertical="center" textRotation="90"/>
    </xf>
    <xf numFmtId="0" fontId="5" fillId="0" borderId="7" xfId="0" applyFont="1" applyBorder="1" applyAlignment="1">
      <alignment horizontal="center" vertical="center" textRotation="90"/>
    </xf>
    <xf numFmtId="0" fontId="5" fillId="0" borderId="12" xfId="0" applyFont="1" applyBorder="1" applyAlignment="1">
      <alignment horizontal="center" vertical="center" textRotation="90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3" fillId="5" borderId="0" xfId="0" applyFont="1" applyFill="1" applyBorder="1" applyAlignment="1">
      <alignment horizontal="left"/>
    </xf>
    <xf numFmtId="0" fontId="5" fillId="0" borderId="18" xfId="0" applyFont="1" applyBorder="1" applyAlignment="1">
      <alignment horizontal="center" vertical="center" textRotation="90"/>
    </xf>
    <xf numFmtId="0" fontId="13" fillId="5" borderId="0" xfId="0" applyFont="1" applyFill="1" applyAlignment="1"/>
  </cellXfs>
  <cellStyles count="3">
    <cellStyle name="Normal" xfId="0" builtinId="0"/>
    <cellStyle name="Standard 2" xfId="2"/>
    <cellStyle name="Standard 2 2" xfId="1"/>
  </cellStyles>
  <dxfs count="0"/>
  <tableStyles count="0" defaultTableStyle="TableStyleMedium2" defaultPivotStyle="PivotStyleLight16"/>
  <colors>
    <mruColors>
      <color rgb="FFEA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Relationship Id="rId4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Relationship Id="rId4" Type="http://schemas.openxmlformats.org/officeDocument/2006/relationships/chartUserShapes" Target="../drawings/drawing3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3.xml"/><Relationship Id="rId1" Type="http://schemas.microsoft.com/office/2011/relationships/chartStyle" Target="style3.xml"/><Relationship Id="rId4" Type="http://schemas.openxmlformats.org/officeDocument/2006/relationships/chartUserShapes" Target="../drawings/drawing4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4.xml"/><Relationship Id="rId1" Type="http://schemas.microsoft.com/office/2011/relationships/chartStyle" Target="style4.xml"/><Relationship Id="rId4" Type="http://schemas.openxmlformats.org/officeDocument/2006/relationships/chartUserShapes" Target="../drawings/drawing5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5.xml"/><Relationship Id="rId1" Type="http://schemas.microsoft.com/office/2011/relationships/chartStyle" Target="style5.xml"/><Relationship Id="rId4" Type="http://schemas.openxmlformats.org/officeDocument/2006/relationships/chartUserShapes" Target="../drawings/drawing6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6.xml"/><Relationship Id="rId1" Type="http://schemas.microsoft.com/office/2011/relationships/chartStyle" Target="style6.xml"/><Relationship Id="rId4" Type="http://schemas.openxmlformats.org/officeDocument/2006/relationships/chartUserShapes" Target="../drawings/drawing7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.xml"/><Relationship Id="rId2" Type="http://schemas.microsoft.com/office/2011/relationships/chartColorStyle" Target="colors7.xml"/><Relationship Id="rId1" Type="http://schemas.microsoft.com/office/2011/relationships/chartStyle" Target="style7.xml"/><Relationship Id="rId4" Type="http://schemas.openxmlformats.org/officeDocument/2006/relationships/chartUserShapes" Target="../drawings/drawing8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8.xml"/><Relationship Id="rId2" Type="http://schemas.microsoft.com/office/2011/relationships/chartColorStyle" Target="colors8.xml"/><Relationship Id="rId1" Type="http://schemas.microsoft.com/office/2011/relationships/chartStyle" Target="style8.xml"/><Relationship Id="rId4" Type="http://schemas.openxmlformats.org/officeDocument/2006/relationships/chartUserShapes" Target="../drawings/drawing9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9.xml"/><Relationship Id="rId2" Type="http://schemas.microsoft.com/office/2011/relationships/chartColorStyle" Target="colors9.xml"/><Relationship Id="rId1" Type="http://schemas.microsoft.com/office/2011/relationships/chartStyle" Target="style9.xml"/><Relationship Id="rId4" Type="http://schemas.openxmlformats.org/officeDocument/2006/relationships/chartUserShapes" Target="../drawings/drawing10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0.xml"/><Relationship Id="rId2" Type="http://schemas.microsoft.com/office/2011/relationships/chartColorStyle" Target="colors10.xml"/><Relationship Id="rId1" Type="http://schemas.microsoft.com/office/2011/relationships/chartStyle" Target="style10.xml"/><Relationship Id="rId4" Type="http://schemas.openxmlformats.org/officeDocument/2006/relationships/chartUserShapes" Target="../drawings/drawing11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1.xml"/><Relationship Id="rId2" Type="http://schemas.microsoft.com/office/2011/relationships/chartColorStyle" Target="colors11.xml"/><Relationship Id="rId1" Type="http://schemas.microsoft.com/office/2011/relationships/chartStyle" Target="style11.xml"/><Relationship Id="rId4" Type="http://schemas.openxmlformats.org/officeDocument/2006/relationships/chartUserShapes" Target="../drawings/drawing12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2.xml"/><Relationship Id="rId2" Type="http://schemas.microsoft.com/office/2011/relationships/chartColorStyle" Target="colors12.xml"/><Relationship Id="rId1" Type="http://schemas.microsoft.com/office/2011/relationships/chartStyle" Target="style12.xml"/><Relationship Id="rId4" Type="http://schemas.openxmlformats.org/officeDocument/2006/relationships/chartUserShapes" Target="../drawings/drawing13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3.xml"/><Relationship Id="rId2" Type="http://schemas.microsoft.com/office/2011/relationships/chartColorStyle" Target="colors13.xml"/><Relationship Id="rId1" Type="http://schemas.microsoft.com/office/2011/relationships/chartStyle" Target="style13.xml"/><Relationship Id="rId4" Type="http://schemas.openxmlformats.org/officeDocument/2006/relationships/chartUserShapes" Target="../drawings/drawing14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4.xml"/><Relationship Id="rId2" Type="http://schemas.microsoft.com/office/2011/relationships/chartColorStyle" Target="colors14.xml"/><Relationship Id="rId1" Type="http://schemas.microsoft.com/office/2011/relationships/chartStyle" Target="style14.xml"/><Relationship Id="rId4" Type="http://schemas.openxmlformats.org/officeDocument/2006/relationships/chartUserShapes" Target="../drawings/drawing15.xml"/></Relationships>
</file>

<file path=xl/charts/_rels/chart1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5.xml"/><Relationship Id="rId2" Type="http://schemas.microsoft.com/office/2011/relationships/chartColorStyle" Target="colors15.xml"/><Relationship Id="rId1" Type="http://schemas.microsoft.com/office/2011/relationships/chartStyle" Target="style15.xml"/><Relationship Id="rId4" Type="http://schemas.openxmlformats.org/officeDocument/2006/relationships/chartUserShapes" Target="../drawings/drawing16.xml"/></Relationships>
</file>

<file path=xl/charts/_rels/chart1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6.xml"/><Relationship Id="rId2" Type="http://schemas.microsoft.com/office/2011/relationships/chartColorStyle" Target="colors16.xml"/><Relationship Id="rId1" Type="http://schemas.microsoft.com/office/2011/relationships/chartStyle" Target="style16.xml"/><Relationship Id="rId4" Type="http://schemas.openxmlformats.org/officeDocument/2006/relationships/chartUserShapes" Target="../drawings/drawing17.xml"/></Relationships>
</file>

<file path=xl/charts/_rels/chart1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7.xml"/><Relationship Id="rId2" Type="http://schemas.microsoft.com/office/2011/relationships/chartColorStyle" Target="colors17.xml"/><Relationship Id="rId1" Type="http://schemas.microsoft.com/office/2011/relationships/chartStyle" Target="style17.xml"/><Relationship Id="rId4" Type="http://schemas.openxmlformats.org/officeDocument/2006/relationships/chartUserShapes" Target="../drawings/drawing18.xml"/></Relationships>
</file>

<file path=xl/charts/_rels/chart1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8.xml"/><Relationship Id="rId2" Type="http://schemas.microsoft.com/office/2011/relationships/chartColorStyle" Target="colors18.xml"/><Relationship Id="rId1" Type="http://schemas.microsoft.com/office/2011/relationships/chartStyle" Target="style18.xml"/><Relationship Id="rId4" Type="http://schemas.openxmlformats.org/officeDocument/2006/relationships/chartUserShapes" Target="../drawings/drawing19.xml"/></Relationships>
</file>

<file path=xl/charts/_rels/chart1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9.xml"/><Relationship Id="rId2" Type="http://schemas.microsoft.com/office/2011/relationships/chartColorStyle" Target="colors19.xml"/><Relationship Id="rId1" Type="http://schemas.microsoft.com/office/2011/relationships/chartStyle" Target="style19.xml"/><Relationship Id="rId4" Type="http://schemas.openxmlformats.org/officeDocument/2006/relationships/chartUserShapes" Target="../drawings/drawing20.xml"/></Relationships>
</file>

<file path=xl/charts/_rels/chart2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0.xml"/><Relationship Id="rId2" Type="http://schemas.microsoft.com/office/2011/relationships/chartColorStyle" Target="colors20.xml"/><Relationship Id="rId1" Type="http://schemas.microsoft.com/office/2011/relationships/chartStyle" Target="style20.xml"/><Relationship Id="rId4" Type="http://schemas.openxmlformats.org/officeDocument/2006/relationships/chartUserShapes" Target="../drawings/drawing21.xml"/></Relationships>
</file>

<file path=xl/charts/_rels/chart2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1.xml"/><Relationship Id="rId2" Type="http://schemas.microsoft.com/office/2011/relationships/chartColorStyle" Target="colors21.xml"/><Relationship Id="rId1" Type="http://schemas.microsoft.com/office/2011/relationships/chartStyle" Target="style21.xml"/><Relationship Id="rId4" Type="http://schemas.openxmlformats.org/officeDocument/2006/relationships/chartUserShapes" Target="../drawings/drawing22.xml"/></Relationships>
</file>

<file path=xl/charts/_rels/chart2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2.xml"/><Relationship Id="rId2" Type="http://schemas.microsoft.com/office/2011/relationships/chartColorStyle" Target="colors22.xml"/><Relationship Id="rId1" Type="http://schemas.microsoft.com/office/2011/relationships/chartStyle" Target="style22.xml"/><Relationship Id="rId4" Type="http://schemas.openxmlformats.org/officeDocument/2006/relationships/chartUserShapes" Target="../drawings/drawing23.xml"/></Relationships>
</file>

<file path=xl/charts/_rels/chart2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3.xml"/><Relationship Id="rId2" Type="http://schemas.microsoft.com/office/2011/relationships/chartColorStyle" Target="colors23.xml"/><Relationship Id="rId1" Type="http://schemas.microsoft.com/office/2011/relationships/chartStyle" Target="style23.xml"/><Relationship Id="rId4" Type="http://schemas.openxmlformats.org/officeDocument/2006/relationships/chartUserShapes" Target="../drawings/drawing24.xml"/></Relationships>
</file>

<file path=xl/charts/_rels/chart2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4.xml"/><Relationship Id="rId2" Type="http://schemas.microsoft.com/office/2011/relationships/chartColorStyle" Target="colors24.xml"/><Relationship Id="rId1" Type="http://schemas.microsoft.com/office/2011/relationships/chartStyle" Target="style24.xml"/><Relationship Id="rId4" Type="http://schemas.openxmlformats.org/officeDocument/2006/relationships/chartUserShapes" Target="../drawings/drawing25.xml"/></Relationships>
</file>

<file path=xl/charts/_rels/chart2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5.xml"/><Relationship Id="rId2" Type="http://schemas.microsoft.com/office/2011/relationships/chartColorStyle" Target="colors25.xml"/><Relationship Id="rId1" Type="http://schemas.microsoft.com/office/2011/relationships/chartStyle" Target="style25.xml"/><Relationship Id="rId4" Type="http://schemas.openxmlformats.org/officeDocument/2006/relationships/chartUserShapes" Target="../drawings/drawing26.xml"/></Relationships>
</file>

<file path=xl/charts/_rels/chart2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6.xml"/><Relationship Id="rId2" Type="http://schemas.microsoft.com/office/2011/relationships/chartColorStyle" Target="colors26.xml"/><Relationship Id="rId1" Type="http://schemas.microsoft.com/office/2011/relationships/chartStyle" Target="style26.xml"/><Relationship Id="rId4" Type="http://schemas.openxmlformats.org/officeDocument/2006/relationships/chartUserShapes" Target="../drawings/drawing27.xml"/></Relationships>
</file>

<file path=xl/charts/_rels/chart2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7.xml"/><Relationship Id="rId2" Type="http://schemas.microsoft.com/office/2011/relationships/chartColorStyle" Target="colors27.xml"/><Relationship Id="rId1" Type="http://schemas.microsoft.com/office/2011/relationships/chartStyle" Target="style27.xml"/><Relationship Id="rId4" Type="http://schemas.openxmlformats.org/officeDocument/2006/relationships/chartUserShapes" Target="../drawings/drawing28.xml"/></Relationships>
</file>

<file path=xl/charts/_rels/chart2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8.xml"/><Relationship Id="rId2" Type="http://schemas.microsoft.com/office/2011/relationships/chartColorStyle" Target="colors28.xml"/><Relationship Id="rId1" Type="http://schemas.microsoft.com/office/2011/relationships/chartStyle" Target="style28.xml"/><Relationship Id="rId4" Type="http://schemas.openxmlformats.org/officeDocument/2006/relationships/chartUserShapes" Target="../drawings/drawing29.xml"/></Relationships>
</file>

<file path=xl/charts/_rels/chart2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9.xml"/><Relationship Id="rId2" Type="http://schemas.microsoft.com/office/2011/relationships/chartColorStyle" Target="colors29.xml"/><Relationship Id="rId1" Type="http://schemas.microsoft.com/office/2011/relationships/chartStyle" Target="style29.xml"/><Relationship Id="rId4" Type="http://schemas.openxmlformats.org/officeDocument/2006/relationships/chartUserShapes" Target="../drawings/drawing30.xml"/></Relationships>
</file>

<file path=xl/charts/_rels/chart3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0.xml"/><Relationship Id="rId2" Type="http://schemas.microsoft.com/office/2011/relationships/chartColorStyle" Target="colors30.xml"/><Relationship Id="rId1" Type="http://schemas.microsoft.com/office/2011/relationships/chartStyle" Target="style30.xml"/><Relationship Id="rId4" Type="http://schemas.openxmlformats.org/officeDocument/2006/relationships/chartUserShapes" Target="../drawings/drawing31.xml"/></Relationships>
</file>

<file path=xl/charts/_rels/chart3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1.xml"/><Relationship Id="rId2" Type="http://schemas.microsoft.com/office/2011/relationships/chartColorStyle" Target="colors31.xml"/><Relationship Id="rId1" Type="http://schemas.microsoft.com/office/2011/relationships/chartStyle" Target="style31.xml"/><Relationship Id="rId4" Type="http://schemas.openxmlformats.org/officeDocument/2006/relationships/chartUserShapes" Target="../drawings/drawing32.xml"/></Relationships>
</file>

<file path=xl/charts/_rels/chart3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2.xml"/><Relationship Id="rId2" Type="http://schemas.microsoft.com/office/2011/relationships/chartColorStyle" Target="colors32.xml"/><Relationship Id="rId1" Type="http://schemas.microsoft.com/office/2011/relationships/chartStyle" Target="style32.xml"/><Relationship Id="rId4" Type="http://schemas.openxmlformats.org/officeDocument/2006/relationships/chartUserShapes" Target="../drawings/drawing33.xml"/></Relationships>
</file>

<file path=xl/charts/_rels/chart3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3.xml"/><Relationship Id="rId2" Type="http://schemas.microsoft.com/office/2011/relationships/chartColorStyle" Target="colors33.xml"/><Relationship Id="rId1" Type="http://schemas.microsoft.com/office/2011/relationships/chartStyle" Target="style33.xml"/><Relationship Id="rId4" Type="http://schemas.openxmlformats.org/officeDocument/2006/relationships/chartUserShapes" Target="../drawings/drawing34.xml"/></Relationships>
</file>

<file path=xl/charts/_rels/chart3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4.xml"/><Relationship Id="rId2" Type="http://schemas.microsoft.com/office/2011/relationships/chartColorStyle" Target="colors34.xml"/><Relationship Id="rId1" Type="http://schemas.microsoft.com/office/2011/relationships/chartStyle" Target="style34.xml"/><Relationship Id="rId4" Type="http://schemas.openxmlformats.org/officeDocument/2006/relationships/chartUserShapes" Target="../drawings/drawing35.xml"/></Relationships>
</file>

<file path=xl/charts/_rels/chart3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5.xml"/><Relationship Id="rId2" Type="http://schemas.microsoft.com/office/2011/relationships/chartColorStyle" Target="colors35.xml"/><Relationship Id="rId1" Type="http://schemas.microsoft.com/office/2011/relationships/chartStyle" Target="style35.xml"/><Relationship Id="rId4" Type="http://schemas.openxmlformats.org/officeDocument/2006/relationships/chartUserShapes" Target="../drawings/drawing36.xml"/></Relationships>
</file>

<file path=xl/charts/_rels/chart3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6.xml"/><Relationship Id="rId2" Type="http://schemas.microsoft.com/office/2011/relationships/chartColorStyle" Target="colors36.xml"/><Relationship Id="rId1" Type="http://schemas.microsoft.com/office/2011/relationships/chartStyle" Target="style36.xml"/><Relationship Id="rId4" Type="http://schemas.openxmlformats.org/officeDocument/2006/relationships/chartUserShapes" Target="../drawings/drawing37.xml"/></Relationships>
</file>

<file path=xl/charts/_rels/chart3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7.xml"/><Relationship Id="rId2" Type="http://schemas.microsoft.com/office/2011/relationships/chartColorStyle" Target="colors37.xml"/><Relationship Id="rId1" Type="http://schemas.microsoft.com/office/2011/relationships/chartStyle" Target="style37.xml"/><Relationship Id="rId4" Type="http://schemas.openxmlformats.org/officeDocument/2006/relationships/chartUserShapes" Target="../drawings/drawing38.xml"/></Relationships>
</file>

<file path=xl/charts/_rels/chart3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8.xml"/><Relationship Id="rId2" Type="http://schemas.microsoft.com/office/2011/relationships/chartColorStyle" Target="colors38.xml"/><Relationship Id="rId1" Type="http://schemas.microsoft.com/office/2011/relationships/chartStyle" Target="style38.xml"/><Relationship Id="rId4" Type="http://schemas.openxmlformats.org/officeDocument/2006/relationships/chartUserShapes" Target="../drawings/drawing39.xml"/></Relationships>
</file>

<file path=xl/charts/_rels/chart3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9.xml"/><Relationship Id="rId2" Type="http://schemas.microsoft.com/office/2011/relationships/chartColorStyle" Target="colors39.xml"/><Relationship Id="rId1" Type="http://schemas.microsoft.com/office/2011/relationships/chartStyle" Target="style39.xml"/><Relationship Id="rId4" Type="http://schemas.openxmlformats.org/officeDocument/2006/relationships/chartUserShapes" Target="../drawings/drawing40.xml"/></Relationships>
</file>

<file path=xl/charts/_rels/chart4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0.xml"/><Relationship Id="rId2" Type="http://schemas.microsoft.com/office/2011/relationships/chartColorStyle" Target="colors40.xml"/><Relationship Id="rId1" Type="http://schemas.microsoft.com/office/2011/relationships/chartStyle" Target="style40.xml"/><Relationship Id="rId4" Type="http://schemas.openxmlformats.org/officeDocument/2006/relationships/chartUserShapes" Target="../drawings/drawing41.xml"/></Relationships>
</file>

<file path=xl/charts/_rels/chart4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1.xml"/><Relationship Id="rId2" Type="http://schemas.microsoft.com/office/2011/relationships/chartColorStyle" Target="colors41.xml"/><Relationship Id="rId1" Type="http://schemas.microsoft.com/office/2011/relationships/chartStyle" Target="style41.xml"/><Relationship Id="rId4" Type="http://schemas.openxmlformats.org/officeDocument/2006/relationships/chartUserShapes" Target="../drawings/drawing42.xml"/></Relationships>
</file>

<file path=xl/charts/_rels/chart4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2.xml"/><Relationship Id="rId2" Type="http://schemas.microsoft.com/office/2011/relationships/chartColorStyle" Target="colors42.xml"/><Relationship Id="rId1" Type="http://schemas.microsoft.com/office/2011/relationships/chartStyle" Target="style42.xml"/><Relationship Id="rId4" Type="http://schemas.openxmlformats.org/officeDocument/2006/relationships/chartUserShapes" Target="../drawings/drawing43.xml"/></Relationships>
</file>

<file path=xl/charts/_rels/chart4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3.xml"/><Relationship Id="rId2" Type="http://schemas.microsoft.com/office/2011/relationships/chartColorStyle" Target="colors43.xml"/><Relationship Id="rId1" Type="http://schemas.microsoft.com/office/2011/relationships/chartStyle" Target="style43.xml"/><Relationship Id="rId4" Type="http://schemas.openxmlformats.org/officeDocument/2006/relationships/chartUserShapes" Target="../drawings/drawing44.xml"/></Relationships>
</file>

<file path=xl/charts/_rels/chart4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4.xml"/><Relationship Id="rId2" Type="http://schemas.microsoft.com/office/2011/relationships/chartColorStyle" Target="colors44.xml"/><Relationship Id="rId1" Type="http://schemas.microsoft.com/office/2011/relationships/chartStyle" Target="style44.xml"/><Relationship Id="rId4" Type="http://schemas.openxmlformats.org/officeDocument/2006/relationships/chartUserShapes" Target="../drawings/drawing45.xml"/></Relationships>
</file>

<file path=xl/charts/_rels/chart4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5.xml"/><Relationship Id="rId2" Type="http://schemas.microsoft.com/office/2011/relationships/chartColorStyle" Target="colors45.xml"/><Relationship Id="rId1" Type="http://schemas.microsoft.com/office/2011/relationships/chartStyle" Target="style45.xml"/><Relationship Id="rId4" Type="http://schemas.openxmlformats.org/officeDocument/2006/relationships/chartUserShapes" Target="../drawings/drawing46.xml"/></Relationships>
</file>

<file path=xl/charts/_rels/chart4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6.xml"/><Relationship Id="rId2" Type="http://schemas.microsoft.com/office/2011/relationships/chartColorStyle" Target="colors46.xml"/><Relationship Id="rId1" Type="http://schemas.microsoft.com/office/2011/relationships/chartStyle" Target="style46.xml"/><Relationship Id="rId4" Type="http://schemas.openxmlformats.org/officeDocument/2006/relationships/chartUserShapes" Target="../drawings/drawing47.xml"/></Relationships>
</file>

<file path=xl/charts/_rels/chart4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7.xml"/><Relationship Id="rId2" Type="http://schemas.microsoft.com/office/2011/relationships/chartColorStyle" Target="colors47.xml"/><Relationship Id="rId1" Type="http://schemas.microsoft.com/office/2011/relationships/chartStyle" Target="style47.xml"/><Relationship Id="rId4" Type="http://schemas.openxmlformats.org/officeDocument/2006/relationships/chartUserShapes" Target="../drawings/drawing48.xml"/></Relationships>
</file>

<file path=xl/charts/_rels/chart4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8.xml"/><Relationship Id="rId2" Type="http://schemas.microsoft.com/office/2011/relationships/chartColorStyle" Target="colors48.xml"/><Relationship Id="rId1" Type="http://schemas.microsoft.com/office/2011/relationships/chartStyle" Target="style48.xml"/><Relationship Id="rId4" Type="http://schemas.openxmlformats.org/officeDocument/2006/relationships/chartUserShapes" Target="../drawings/drawing49.xml"/></Relationships>
</file>

<file path=xl/charts/_rels/chart4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9.xml"/><Relationship Id="rId2" Type="http://schemas.microsoft.com/office/2011/relationships/chartColorStyle" Target="colors49.xml"/><Relationship Id="rId1" Type="http://schemas.microsoft.com/office/2011/relationships/chartStyle" Target="style49.xml"/><Relationship Id="rId4" Type="http://schemas.openxmlformats.org/officeDocument/2006/relationships/chartUserShapes" Target="../drawings/drawing50.xml"/></Relationships>
</file>

<file path=xl/charts/_rels/chart5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0.xml"/><Relationship Id="rId2" Type="http://schemas.microsoft.com/office/2011/relationships/chartColorStyle" Target="colors50.xml"/><Relationship Id="rId1" Type="http://schemas.microsoft.com/office/2011/relationships/chartStyle" Target="style50.xml"/><Relationship Id="rId4" Type="http://schemas.openxmlformats.org/officeDocument/2006/relationships/chartUserShapes" Target="../drawings/drawing51.xml"/></Relationships>
</file>

<file path=xl/charts/_rels/chart5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1.xml"/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72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Arp1</a:t>
            </a:r>
          </a:p>
        </c:rich>
      </c:tx>
      <c:layout>
        <c:manualLayout>
          <c:xMode val="edge"/>
          <c:yMode val="edge"/>
          <c:x val="0.69915718404589744"/>
          <c:y val="6.61512598038641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2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707952411797022"/>
          <c:y val="9.7191566495689094E-2"/>
          <c:w val="0.38980616803333429"/>
          <c:h val="0.5946269029881357"/>
        </c:manualLayout>
      </c:layout>
      <c:lineChart>
        <c:grouping val="standard"/>
        <c:varyColors val="0"/>
        <c:ser>
          <c:idx val="0"/>
          <c:order val="0"/>
          <c:tx>
            <c:strRef>
              <c:f>'S Table 3 - raw data - T. cas'!$D$6</c:f>
              <c:strCache>
                <c:ptCount val="1"/>
                <c:pt idx="0">
                  <c:v>250 ng/µl</c:v>
                </c:pt>
              </c:strCache>
            </c:strRef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diamond"/>
            <c:size val="2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cas'!$BR$6:$BY$6</c:f>
              <c:numCache>
                <c:formatCode>General</c:formatCode>
                <c:ptCount val="8"/>
                <c:pt idx="0">
                  <c:v>100</c:v>
                </c:pt>
                <c:pt idx="1">
                  <c:v>63.888888888888893</c:v>
                </c:pt>
                <c:pt idx="2">
                  <c:v>41.666666666666664</c:v>
                </c:pt>
                <c:pt idx="3">
                  <c:v>25</c:v>
                </c:pt>
                <c:pt idx="4">
                  <c:v>5.5555555555555562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C56B-401E-8F32-EDE64E9E1CDD}"/>
            </c:ext>
          </c:extLst>
        </c:ser>
        <c:ser>
          <c:idx val="1"/>
          <c:order val="1"/>
          <c:tx>
            <c:strRef>
              <c:f>'S Table 3 - raw data - T. cas'!$D$7</c:f>
              <c:strCache>
                <c:ptCount val="1"/>
                <c:pt idx="0">
                  <c:v>1 ng/µl</c:v>
                </c:pt>
              </c:strCache>
            </c:strRef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squar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cas'!$BR$7:$BY$7</c:f>
              <c:numCache>
                <c:formatCode>General</c:formatCode>
                <c:ptCount val="8"/>
                <c:pt idx="0">
                  <c:v>100</c:v>
                </c:pt>
                <c:pt idx="1">
                  <c:v>69.444444444444457</c:v>
                </c:pt>
                <c:pt idx="2">
                  <c:v>36.111111111111114</c:v>
                </c:pt>
                <c:pt idx="3">
                  <c:v>33.333333333333336</c:v>
                </c:pt>
                <c:pt idx="4">
                  <c:v>19.444444444444446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C56B-401E-8F32-EDE64E9E1CDD}"/>
            </c:ext>
          </c:extLst>
        </c:ser>
        <c:ser>
          <c:idx val="2"/>
          <c:order val="2"/>
          <c:tx>
            <c:strRef>
              <c:f>'S Table 3 - raw data - T. cas'!$D$8</c:f>
              <c:strCache>
                <c:ptCount val="1"/>
                <c:pt idx="0">
                  <c:v>0,1 ng/µl</c:v>
                </c:pt>
              </c:strCache>
            </c:strRef>
          </c:tx>
          <c:spPr>
            <a:ln w="1270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circl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cas'!$BR$8:$BY$8</c:f>
              <c:numCache>
                <c:formatCode>General</c:formatCode>
                <c:ptCount val="8"/>
                <c:pt idx="0">
                  <c:v>100</c:v>
                </c:pt>
                <c:pt idx="1">
                  <c:v>75</c:v>
                </c:pt>
                <c:pt idx="2">
                  <c:v>41.666666666666671</c:v>
                </c:pt>
                <c:pt idx="3">
                  <c:v>33.333333333333336</c:v>
                </c:pt>
                <c:pt idx="4">
                  <c:v>27.777777777777782</c:v>
                </c:pt>
                <c:pt idx="5">
                  <c:v>27.777777777777782</c:v>
                </c:pt>
                <c:pt idx="6">
                  <c:v>27.777777777777782</c:v>
                </c:pt>
                <c:pt idx="7">
                  <c:v>22.222222222222225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C56B-401E-8F32-EDE64E9E1CDD}"/>
            </c:ext>
          </c:extLst>
        </c:ser>
        <c:ser>
          <c:idx val="3"/>
          <c:order val="3"/>
          <c:tx>
            <c:strRef>
              <c:f>'S Table 3 - raw data - T. cas'!$D$9</c:f>
              <c:strCache>
                <c:ptCount val="1"/>
                <c:pt idx="0">
                  <c:v>0,01 ng/µl</c:v>
                </c:pt>
              </c:strCache>
            </c:strRef>
          </c:tx>
          <c:spPr>
            <a:ln w="12700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cas'!$BR$9:$BY$9</c:f>
              <c:numCache>
                <c:formatCode>General</c:formatCode>
                <c:ptCount val="8"/>
                <c:pt idx="0">
                  <c:v>100</c:v>
                </c:pt>
                <c:pt idx="1">
                  <c:v>80.555555555555557</c:v>
                </c:pt>
                <c:pt idx="2">
                  <c:v>52.777777777777779</c:v>
                </c:pt>
                <c:pt idx="3">
                  <c:v>52.777777777777779</c:v>
                </c:pt>
                <c:pt idx="4">
                  <c:v>50</c:v>
                </c:pt>
                <c:pt idx="5">
                  <c:v>47.222222222222229</c:v>
                </c:pt>
                <c:pt idx="6">
                  <c:v>44.44444444444445</c:v>
                </c:pt>
                <c:pt idx="7">
                  <c:v>41.666666666666671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C56B-401E-8F32-EDE64E9E1C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165184"/>
        <c:axId val="180166360"/>
      </c:lineChart>
      <c:catAx>
        <c:axId val="1801651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Titel</a:t>
                </a:r>
              </a:p>
            </c:rich>
          </c:tx>
          <c:layout>
            <c:manualLayout>
              <c:xMode val="edge"/>
              <c:yMode val="edge"/>
              <c:x val="0.29913617818317795"/>
              <c:y val="0.828734648805826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166360"/>
        <c:crosses val="autoZero"/>
        <c:auto val="1"/>
        <c:lblAlgn val="ctr"/>
        <c:lblOffset val="100"/>
        <c:noMultiLvlLbl val="0"/>
      </c:catAx>
      <c:valAx>
        <c:axId val="180166360"/>
        <c:scaling>
          <c:orientation val="minMax"/>
          <c:max val="1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Titel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165184"/>
        <c:crosses val="autoZero"/>
        <c:crossBetween val="midCat"/>
        <c:majorUnit val="25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6818782831484205"/>
          <c:y val="0.30183335351728074"/>
          <c:w val="0.34217754564909031"/>
          <c:h val="0.558237199145242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600">
          <a:solidFill>
            <a:sysClr val="windowText" lastClr="000000"/>
          </a:solidFill>
        </a:defRPr>
      </a:pPr>
      <a:endParaRPr lang="en-US"/>
    </a:p>
  </c:txPr>
  <c:printSettings>
    <c:headerFooter/>
    <c:pageMargins b="0.78740157499999996" l="0.7" r="0.7" t="0.78740157499999996" header="0.3" footer="0.3"/>
    <c:pageSetup/>
  </c:printSettings>
  <c:userShapes r:id="rId4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72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cas</a:t>
            </a:r>
          </a:p>
        </c:rich>
      </c:tx>
      <c:layout>
        <c:manualLayout>
          <c:xMode val="edge"/>
          <c:yMode val="edge"/>
          <c:x val="0.69915718404589744"/>
          <c:y val="6.61512598038641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2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707952411797022"/>
          <c:y val="9.7191566495689094E-2"/>
          <c:w val="0.38980616803333429"/>
          <c:h val="0.5946269029881357"/>
        </c:manualLayout>
      </c:layout>
      <c:lineChart>
        <c:grouping val="standard"/>
        <c:varyColors val="0"/>
        <c:ser>
          <c:idx val="0"/>
          <c:order val="0"/>
          <c:tx>
            <c:strRef>
              <c:f>'S Table 3 - raw data - T. cas'!$D$10</c:f>
              <c:strCache>
                <c:ptCount val="1"/>
                <c:pt idx="0">
                  <c:v>250 ng/µl</c:v>
                </c:pt>
              </c:strCache>
            </c:strRef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diamond"/>
            <c:size val="2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cas'!$BR$10:$BY$10</c:f>
              <c:numCache>
                <c:formatCode>General</c:formatCode>
                <c:ptCount val="8"/>
                <c:pt idx="0">
                  <c:v>100</c:v>
                </c:pt>
                <c:pt idx="1">
                  <c:v>75.000000000000014</c:v>
                </c:pt>
                <c:pt idx="2">
                  <c:v>58.333333333333336</c:v>
                </c:pt>
                <c:pt idx="3">
                  <c:v>30.555555555555557</c:v>
                </c:pt>
                <c:pt idx="4">
                  <c:v>30.555555555555557</c:v>
                </c:pt>
                <c:pt idx="5">
                  <c:v>27.777777777777782</c:v>
                </c:pt>
                <c:pt idx="6">
                  <c:v>16.666666666666668</c:v>
                </c:pt>
                <c:pt idx="7">
                  <c:v>11.111111111111112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F305-48DD-8227-280220838108}"/>
            </c:ext>
          </c:extLst>
        </c:ser>
        <c:ser>
          <c:idx val="1"/>
          <c:order val="1"/>
          <c:tx>
            <c:strRef>
              <c:f>'S Table 3 - raw data - T. cas'!$D$11</c:f>
              <c:strCache>
                <c:ptCount val="1"/>
                <c:pt idx="0">
                  <c:v>1 ng/µl</c:v>
                </c:pt>
              </c:strCache>
            </c:strRef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squar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cas'!$BR$11:$BY$11</c:f>
              <c:numCache>
                <c:formatCode>General</c:formatCode>
                <c:ptCount val="8"/>
                <c:pt idx="0">
                  <c:v>100</c:v>
                </c:pt>
                <c:pt idx="1">
                  <c:v>80.555555555555557</c:v>
                </c:pt>
                <c:pt idx="2">
                  <c:v>61.111111111111114</c:v>
                </c:pt>
                <c:pt idx="3">
                  <c:v>58.333333333333336</c:v>
                </c:pt>
                <c:pt idx="4">
                  <c:v>52.777777777777779</c:v>
                </c:pt>
                <c:pt idx="5">
                  <c:v>50</c:v>
                </c:pt>
                <c:pt idx="6">
                  <c:v>41.666666666666671</c:v>
                </c:pt>
                <c:pt idx="7">
                  <c:v>33.333333333333336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F305-48DD-8227-280220838108}"/>
            </c:ext>
          </c:extLst>
        </c:ser>
        <c:ser>
          <c:idx val="2"/>
          <c:order val="2"/>
          <c:tx>
            <c:strRef>
              <c:f>'S Table 3 - raw data - T. cas'!$D$12</c:f>
              <c:strCache>
                <c:ptCount val="1"/>
                <c:pt idx="0">
                  <c:v>0,1 ng/µl</c:v>
                </c:pt>
              </c:strCache>
            </c:strRef>
          </c:tx>
          <c:spPr>
            <a:ln w="1270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circl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cas'!$BR$12:$BY$12</c:f>
              <c:numCache>
                <c:formatCode>General</c:formatCode>
                <c:ptCount val="8"/>
                <c:pt idx="0">
                  <c:v>100</c:v>
                </c:pt>
                <c:pt idx="1">
                  <c:v>80.555555555555557</c:v>
                </c:pt>
                <c:pt idx="2">
                  <c:v>63.888888888888893</c:v>
                </c:pt>
                <c:pt idx="3">
                  <c:v>52.777777777777779</c:v>
                </c:pt>
                <c:pt idx="4">
                  <c:v>44.44444444444445</c:v>
                </c:pt>
                <c:pt idx="5">
                  <c:v>38.888888888888893</c:v>
                </c:pt>
                <c:pt idx="6">
                  <c:v>33.333333333333336</c:v>
                </c:pt>
                <c:pt idx="7">
                  <c:v>30.555555555555557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F305-48DD-8227-280220838108}"/>
            </c:ext>
          </c:extLst>
        </c:ser>
        <c:ser>
          <c:idx val="3"/>
          <c:order val="3"/>
          <c:tx>
            <c:strRef>
              <c:f>'S Table 3 - raw data - T. cas'!$D$13</c:f>
              <c:strCache>
                <c:ptCount val="1"/>
                <c:pt idx="0">
                  <c:v>0,01 ng/µl</c:v>
                </c:pt>
              </c:strCache>
            </c:strRef>
          </c:tx>
          <c:spPr>
            <a:ln w="12700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cas'!$BR$13:$BY$13</c:f>
              <c:numCache>
                <c:formatCode>General</c:formatCode>
                <c:ptCount val="8"/>
                <c:pt idx="0">
                  <c:v>100</c:v>
                </c:pt>
                <c:pt idx="1">
                  <c:v>77.777777777777786</c:v>
                </c:pt>
                <c:pt idx="2">
                  <c:v>63.888888888888893</c:v>
                </c:pt>
                <c:pt idx="3">
                  <c:v>52.777777777777779</c:v>
                </c:pt>
                <c:pt idx="4">
                  <c:v>50</c:v>
                </c:pt>
                <c:pt idx="5">
                  <c:v>50</c:v>
                </c:pt>
                <c:pt idx="6">
                  <c:v>44.44444444444445</c:v>
                </c:pt>
                <c:pt idx="7">
                  <c:v>41.666666666666671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F305-48DD-8227-2802208381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1526192"/>
        <c:axId val="741526584"/>
      </c:lineChart>
      <c:catAx>
        <c:axId val="7415261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Titel</a:t>
                </a:r>
              </a:p>
            </c:rich>
          </c:tx>
          <c:layout>
            <c:manualLayout>
              <c:xMode val="edge"/>
              <c:yMode val="edge"/>
              <c:x val="0.29913617818317795"/>
              <c:y val="0.828734648805826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1526584"/>
        <c:crosses val="autoZero"/>
        <c:auto val="1"/>
        <c:lblAlgn val="ctr"/>
        <c:lblOffset val="100"/>
        <c:noMultiLvlLbl val="0"/>
      </c:catAx>
      <c:valAx>
        <c:axId val="741526584"/>
        <c:scaling>
          <c:orientation val="minMax"/>
          <c:max val="1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Titel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1526192"/>
        <c:crosses val="autoZero"/>
        <c:crossBetween val="midCat"/>
        <c:majorUnit val="25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6818782831484205"/>
          <c:y val="0.30183335351728074"/>
          <c:w val="0.34217754564909031"/>
          <c:h val="0.558237199145242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600">
          <a:solidFill>
            <a:sysClr val="windowText" lastClr="000000"/>
          </a:solidFill>
        </a:defRPr>
      </a:pPr>
      <a:endParaRPr lang="en-US"/>
    </a:p>
  </c:txPr>
  <c:printSettings>
    <c:headerFooter/>
    <c:pageMargins b="0.78740157499999996" l="0.7" r="0.7" t="0.78740157499999996" header="0.3" footer="0.3"/>
    <c:pageSetup/>
  </c:printSettings>
  <c:userShapes r:id="rId4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72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Cchl</a:t>
            </a:r>
          </a:p>
        </c:rich>
      </c:tx>
      <c:layout>
        <c:manualLayout>
          <c:xMode val="edge"/>
          <c:yMode val="edge"/>
          <c:x val="0.69915718404589744"/>
          <c:y val="6.61512598038641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2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707952411797022"/>
          <c:y val="9.7191566495689094E-2"/>
          <c:w val="0.38980616803333429"/>
          <c:h val="0.5946269029881357"/>
        </c:manualLayout>
      </c:layout>
      <c:lineChart>
        <c:grouping val="standard"/>
        <c:varyColors val="0"/>
        <c:ser>
          <c:idx val="0"/>
          <c:order val="0"/>
          <c:tx>
            <c:strRef>
              <c:f>'S Table 3 - raw data - T. cas'!$D$14</c:f>
              <c:strCache>
                <c:ptCount val="1"/>
                <c:pt idx="0">
                  <c:v>250 ng/µl</c:v>
                </c:pt>
              </c:strCache>
            </c:strRef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diamond"/>
            <c:size val="2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cas'!$BR$14:$BY$14</c:f>
              <c:numCache>
                <c:formatCode>General</c:formatCode>
                <c:ptCount val="8"/>
                <c:pt idx="0">
                  <c:v>100</c:v>
                </c:pt>
                <c:pt idx="1">
                  <c:v>69.444444444444457</c:v>
                </c:pt>
                <c:pt idx="2">
                  <c:v>30.555555555555557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FE62-4966-8F92-74C62058ED18}"/>
            </c:ext>
          </c:extLst>
        </c:ser>
        <c:ser>
          <c:idx val="1"/>
          <c:order val="1"/>
          <c:tx>
            <c:strRef>
              <c:f>'S Table 3 - raw data - T. cas'!$D$15</c:f>
              <c:strCache>
                <c:ptCount val="1"/>
                <c:pt idx="0">
                  <c:v>1 ng/µl</c:v>
                </c:pt>
              </c:strCache>
            </c:strRef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squar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cas'!$BR$15:$BY$15</c:f>
              <c:numCache>
                <c:formatCode>General</c:formatCode>
                <c:ptCount val="8"/>
                <c:pt idx="0">
                  <c:v>100</c:v>
                </c:pt>
                <c:pt idx="1">
                  <c:v>80.555555555555557</c:v>
                </c:pt>
                <c:pt idx="2">
                  <c:v>52.777777777777779</c:v>
                </c:pt>
                <c:pt idx="3">
                  <c:v>47.222222222222229</c:v>
                </c:pt>
                <c:pt idx="4">
                  <c:v>25</c:v>
                </c:pt>
                <c:pt idx="5">
                  <c:v>22.222222222222225</c:v>
                </c:pt>
                <c:pt idx="6">
                  <c:v>16.666666666666668</c:v>
                </c:pt>
                <c:pt idx="7">
                  <c:v>13.888888888888891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FE62-4966-8F92-74C62058ED18}"/>
            </c:ext>
          </c:extLst>
        </c:ser>
        <c:ser>
          <c:idx val="2"/>
          <c:order val="2"/>
          <c:tx>
            <c:strRef>
              <c:f>'S Table 3 - raw data - T. cas'!$D$16</c:f>
              <c:strCache>
                <c:ptCount val="1"/>
                <c:pt idx="0">
                  <c:v>0,1 ng/µl</c:v>
                </c:pt>
              </c:strCache>
            </c:strRef>
          </c:tx>
          <c:spPr>
            <a:ln w="1270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circl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cas'!$BR$16:$BY$16</c:f>
              <c:numCache>
                <c:formatCode>General</c:formatCode>
                <c:ptCount val="8"/>
                <c:pt idx="0">
                  <c:v>100</c:v>
                </c:pt>
                <c:pt idx="1">
                  <c:v>83.333333333333343</c:v>
                </c:pt>
                <c:pt idx="2">
                  <c:v>44.44444444444445</c:v>
                </c:pt>
                <c:pt idx="3">
                  <c:v>27.777777777777782</c:v>
                </c:pt>
                <c:pt idx="4">
                  <c:v>19.444444444444446</c:v>
                </c:pt>
                <c:pt idx="5">
                  <c:v>13.888888888888891</c:v>
                </c:pt>
                <c:pt idx="6">
                  <c:v>11.111111111111112</c:v>
                </c:pt>
                <c:pt idx="7">
                  <c:v>8.3333333333333339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FE62-4966-8F92-74C62058ED18}"/>
            </c:ext>
          </c:extLst>
        </c:ser>
        <c:ser>
          <c:idx val="3"/>
          <c:order val="3"/>
          <c:tx>
            <c:strRef>
              <c:f>'S Table 3 - raw data - T. cas'!$D$17</c:f>
              <c:strCache>
                <c:ptCount val="1"/>
                <c:pt idx="0">
                  <c:v>0,01 ng/µl</c:v>
                </c:pt>
              </c:strCache>
            </c:strRef>
          </c:tx>
          <c:spPr>
            <a:ln w="12700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cas'!$BR$17:$BY$17</c:f>
              <c:numCache>
                <c:formatCode>General</c:formatCode>
                <c:ptCount val="8"/>
                <c:pt idx="0">
                  <c:v>100</c:v>
                </c:pt>
                <c:pt idx="1">
                  <c:v>83.333333333333329</c:v>
                </c:pt>
                <c:pt idx="2">
                  <c:v>50</c:v>
                </c:pt>
                <c:pt idx="3">
                  <c:v>41.666666666666664</c:v>
                </c:pt>
                <c:pt idx="4">
                  <c:v>33.333333333333336</c:v>
                </c:pt>
                <c:pt idx="5">
                  <c:v>27.777777777777782</c:v>
                </c:pt>
                <c:pt idx="6">
                  <c:v>22.222222222222225</c:v>
                </c:pt>
                <c:pt idx="7">
                  <c:v>16.666666666666668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FE62-4966-8F92-74C62058ED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1527368"/>
        <c:axId val="741527760"/>
      </c:lineChart>
      <c:catAx>
        <c:axId val="7415273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Titel</a:t>
                </a:r>
              </a:p>
            </c:rich>
          </c:tx>
          <c:layout>
            <c:manualLayout>
              <c:xMode val="edge"/>
              <c:yMode val="edge"/>
              <c:x val="0.29913617818317795"/>
              <c:y val="0.828734648805826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1527760"/>
        <c:crosses val="autoZero"/>
        <c:auto val="1"/>
        <c:lblAlgn val="ctr"/>
        <c:lblOffset val="100"/>
        <c:noMultiLvlLbl val="0"/>
      </c:catAx>
      <c:valAx>
        <c:axId val="741527760"/>
        <c:scaling>
          <c:orientation val="minMax"/>
          <c:max val="1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Titel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1527368"/>
        <c:crosses val="autoZero"/>
        <c:crossBetween val="midCat"/>
        <c:majorUnit val="25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6818782831484205"/>
          <c:y val="0.30183335351728074"/>
          <c:w val="0.34217754564909031"/>
          <c:h val="0.558237199145242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600">
          <a:solidFill>
            <a:sysClr val="windowText" lastClr="000000"/>
          </a:solidFill>
        </a:defRPr>
      </a:pPr>
      <a:endParaRPr lang="en-US"/>
    </a:p>
  </c:txPr>
  <c:printSettings>
    <c:headerFooter/>
    <c:pageMargins b="0.78740157499999996" l="0.7" r="0.7" t="0.78740157499999996" header="0.3" footer="0.3"/>
    <c:pageSetup/>
  </c:printSettings>
  <c:userShapes r:id="rId4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72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Cdc27</a:t>
            </a:r>
          </a:p>
        </c:rich>
      </c:tx>
      <c:layout>
        <c:manualLayout>
          <c:xMode val="edge"/>
          <c:yMode val="edge"/>
          <c:x val="0.69915718404589744"/>
          <c:y val="6.61512598038641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2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707952411797022"/>
          <c:y val="9.7191566495689094E-2"/>
          <c:w val="0.38980616803333429"/>
          <c:h val="0.5946269029881357"/>
        </c:manualLayout>
      </c:layout>
      <c:lineChart>
        <c:grouping val="standard"/>
        <c:varyColors val="0"/>
        <c:ser>
          <c:idx val="0"/>
          <c:order val="0"/>
          <c:tx>
            <c:strRef>
              <c:f>'S Table 3 - raw data - T. cas'!$D$18</c:f>
              <c:strCache>
                <c:ptCount val="1"/>
                <c:pt idx="0">
                  <c:v>250 ng/µl</c:v>
                </c:pt>
              </c:strCache>
            </c:strRef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diamond"/>
            <c:size val="2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cas'!$BR$18:$BY$18</c:f>
              <c:numCache>
                <c:formatCode>General</c:formatCode>
                <c:ptCount val="8"/>
                <c:pt idx="0">
                  <c:v>100</c:v>
                </c:pt>
                <c:pt idx="1">
                  <c:v>52.777777777777779</c:v>
                </c:pt>
                <c:pt idx="2">
                  <c:v>16.666666666666668</c:v>
                </c:pt>
                <c:pt idx="3">
                  <c:v>2.7777777777777781</c:v>
                </c:pt>
                <c:pt idx="4">
                  <c:v>2.7777777777777781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F0A-457D-BCAE-E9E7F0DAD789}"/>
            </c:ext>
          </c:extLst>
        </c:ser>
        <c:ser>
          <c:idx val="1"/>
          <c:order val="1"/>
          <c:tx>
            <c:strRef>
              <c:f>'S Table 3 - raw data - T. cas'!$D$19</c:f>
              <c:strCache>
                <c:ptCount val="1"/>
                <c:pt idx="0">
                  <c:v>1 ng/µl</c:v>
                </c:pt>
              </c:strCache>
            </c:strRef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squar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cas'!$BR$19:$BY$19</c:f>
              <c:numCache>
                <c:formatCode>General</c:formatCode>
                <c:ptCount val="8"/>
                <c:pt idx="0">
                  <c:v>100</c:v>
                </c:pt>
                <c:pt idx="1">
                  <c:v>69.444444444444457</c:v>
                </c:pt>
                <c:pt idx="2">
                  <c:v>33.333333333333336</c:v>
                </c:pt>
                <c:pt idx="3">
                  <c:v>16.666666666666668</c:v>
                </c:pt>
                <c:pt idx="4">
                  <c:v>11.111111111111112</c:v>
                </c:pt>
                <c:pt idx="5">
                  <c:v>5.5555555555555562</c:v>
                </c:pt>
                <c:pt idx="6">
                  <c:v>5.5555555555555562</c:v>
                </c:pt>
                <c:pt idx="7">
                  <c:v>5.5555555555555562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0F0A-457D-BCAE-E9E7F0DAD789}"/>
            </c:ext>
          </c:extLst>
        </c:ser>
        <c:ser>
          <c:idx val="2"/>
          <c:order val="2"/>
          <c:tx>
            <c:strRef>
              <c:f>'S Table 3 - raw data - T. cas'!$D$20</c:f>
              <c:strCache>
                <c:ptCount val="1"/>
                <c:pt idx="0">
                  <c:v>0,1 ng/µl</c:v>
                </c:pt>
              </c:strCache>
            </c:strRef>
          </c:tx>
          <c:spPr>
            <a:ln w="1270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circl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cas'!$BR$20:$BY$20</c:f>
              <c:numCache>
                <c:formatCode>General</c:formatCode>
                <c:ptCount val="8"/>
                <c:pt idx="0">
                  <c:v>100</c:v>
                </c:pt>
                <c:pt idx="1">
                  <c:v>69.444444444444443</c:v>
                </c:pt>
                <c:pt idx="2">
                  <c:v>30.555555555555557</c:v>
                </c:pt>
                <c:pt idx="3">
                  <c:v>19.444444444444446</c:v>
                </c:pt>
                <c:pt idx="4">
                  <c:v>19.444444444444446</c:v>
                </c:pt>
                <c:pt idx="5">
                  <c:v>11.111111111111112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0F0A-457D-BCAE-E9E7F0DAD789}"/>
            </c:ext>
          </c:extLst>
        </c:ser>
        <c:ser>
          <c:idx val="3"/>
          <c:order val="3"/>
          <c:tx>
            <c:strRef>
              <c:f>'S Table 3 - raw data - T. cas'!$D$21</c:f>
              <c:strCache>
                <c:ptCount val="1"/>
                <c:pt idx="0">
                  <c:v>0,01 ng/µl</c:v>
                </c:pt>
              </c:strCache>
            </c:strRef>
          </c:tx>
          <c:spPr>
            <a:ln w="12700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cas'!$BR$21:$BY$21</c:f>
              <c:numCache>
                <c:formatCode>General</c:formatCode>
                <c:ptCount val="8"/>
                <c:pt idx="0">
                  <c:v>100</c:v>
                </c:pt>
                <c:pt idx="1">
                  <c:v>80.555555555555557</c:v>
                </c:pt>
                <c:pt idx="2">
                  <c:v>36.111111111111114</c:v>
                </c:pt>
                <c:pt idx="3">
                  <c:v>27.777777777777782</c:v>
                </c:pt>
                <c:pt idx="4">
                  <c:v>27.777777777777782</c:v>
                </c:pt>
                <c:pt idx="5">
                  <c:v>8.3333333333333339</c:v>
                </c:pt>
                <c:pt idx="6">
                  <c:v>8.3333333333333339</c:v>
                </c:pt>
                <c:pt idx="7">
                  <c:v>2.7777777777777781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0F0A-457D-BCAE-E9E7F0DAD7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878760"/>
        <c:axId val="77879152"/>
      </c:lineChart>
      <c:catAx>
        <c:axId val="778787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Titel</a:t>
                </a:r>
              </a:p>
            </c:rich>
          </c:tx>
          <c:layout>
            <c:manualLayout>
              <c:xMode val="edge"/>
              <c:yMode val="edge"/>
              <c:x val="0.29913617818317795"/>
              <c:y val="0.828734648805826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879152"/>
        <c:crosses val="autoZero"/>
        <c:auto val="1"/>
        <c:lblAlgn val="ctr"/>
        <c:lblOffset val="100"/>
        <c:noMultiLvlLbl val="0"/>
      </c:catAx>
      <c:valAx>
        <c:axId val="77879152"/>
        <c:scaling>
          <c:orientation val="minMax"/>
          <c:max val="1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Titel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878760"/>
        <c:crosses val="autoZero"/>
        <c:crossBetween val="midCat"/>
        <c:majorUnit val="25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6818782831484205"/>
          <c:y val="0.30183335351728074"/>
          <c:w val="0.34217754564909031"/>
          <c:h val="0.558237199145242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600">
          <a:solidFill>
            <a:sysClr val="windowText" lastClr="000000"/>
          </a:solidFill>
        </a:defRPr>
      </a:pPr>
      <a:endParaRPr lang="en-US"/>
    </a:p>
  </c:txPr>
  <c:printSettings>
    <c:headerFooter/>
    <c:pageMargins b="0.78740157499999996" l="0.7" r="0.7" t="0.78740157499999996" header="0.3" footer="0.3"/>
    <c:pageSetup/>
  </c:printSettings>
  <c:userShapes r:id="rId4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72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Cdc6</a:t>
            </a:r>
          </a:p>
        </c:rich>
      </c:tx>
      <c:layout>
        <c:manualLayout>
          <c:xMode val="edge"/>
          <c:yMode val="edge"/>
          <c:x val="0.69915718404589744"/>
          <c:y val="6.61512598038641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2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707952411797022"/>
          <c:y val="9.7191566495689094E-2"/>
          <c:w val="0.38980616803333429"/>
          <c:h val="0.5946269029881357"/>
        </c:manualLayout>
      </c:layout>
      <c:lineChart>
        <c:grouping val="standard"/>
        <c:varyColors val="0"/>
        <c:ser>
          <c:idx val="0"/>
          <c:order val="0"/>
          <c:tx>
            <c:strRef>
              <c:f>'S Table 3 - raw data - T. cas'!$D$22</c:f>
              <c:strCache>
                <c:ptCount val="1"/>
                <c:pt idx="0">
                  <c:v>250 ng/µl</c:v>
                </c:pt>
              </c:strCache>
            </c:strRef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diamond"/>
            <c:size val="2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val>
            <c:numRef>
              <c:f>'S Table 3 - raw data - T. cas'!$BR$22:$BY$22</c:f>
              <c:numCache>
                <c:formatCode>General</c:formatCode>
                <c:ptCount val="8"/>
                <c:pt idx="0">
                  <c:v>100</c:v>
                </c:pt>
                <c:pt idx="1">
                  <c:v>63.888888888888893</c:v>
                </c:pt>
                <c:pt idx="2">
                  <c:v>44.44444444444445</c:v>
                </c:pt>
                <c:pt idx="3">
                  <c:v>19.444444444444446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F603-467C-97CF-EA244B335DE2}"/>
            </c:ext>
          </c:extLst>
        </c:ser>
        <c:ser>
          <c:idx val="1"/>
          <c:order val="1"/>
          <c:tx>
            <c:strRef>
              <c:f>'S Table 3 - raw data - T. cas'!$D$23</c:f>
              <c:strCache>
                <c:ptCount val="1"/>
                <c:pt idx="0">
                  <c:v>1 ng/µl</c:v>
                </c:pt>
              </c:strCache>
            </c:strRef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squar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cas'!$BR$23:$BY$23</c:f>
              <c:numCache>
                <c:formatCode>General</c:formatCode>
                <c:ptCount val="8"/>
                <c:pt idx="0">
                  <c:v>100</c:v>
                </c:pt>
                <c:pt idx="1">
                  <c:v>66.666666666666671</c:v>
                </c:pt>
                <c:pt idx="2">
                  <c:v>61.111111111111114</c:v>
                </c:pt>
                <c:pt idx="3">
                  <c:v>30.555555555555557</c:v>
                </c:pt>
                <c:pt idx="4">
                  <c:v>22.222222222222225</c:v>
                </c:pt>
                <c:pt idx="5">
                  <c:v>13.888888888888891</c:v>
                </c:pt>
                <c:pt idx="6">
                  <c:v>5.5555555555555562</c:v>
                </c:pt>
                <c:pt idx="7">
                  <c:v>2.7777777777777781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F603-467C-97CF-EA244B335DE2}"/>
            </c:ext>
          </c:extLst>
        </c:ser>
        <c:ser>
          <c:idx val="2"/>
          <c:order val="2"/>
          <c:tx>
            <c:strRef>
              <c:f>'S Table 3 - raw data - T. cas'!$D$24</c:f>
              <c:strCache>
                <c:ptCount val="1"/>
                <c:pt idx="0">
                  <c:v>0,1 ng/µl</c:v>
                </c:pt>
              </c:strCache>
            </c:strRef>
          </c:tx>
          <c:spPr>
            <a:ln w="1270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circl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cas'!$BR$24:$BY$24</c:f>
              <c:numCache>
                <c:formatCode>General</c:formatCode>
                <c:ptCount val="8"/>
                <c:pt idx="0">
                  <c:v>100</c:v>
                </c:pt>
                <c:pt idx="1">
                  <c:v>80.555555555555557</c:v>
                </c:pt>
                <c:pt idx="2">
                  <c:v>66.666666666666671</c:v>
                </c:pt>
                <c:pt idx="3">
                  <c:v>36.111111111111114</c:v>
                </c:pt>
                <c:pt idx="4">
                  <c:v>30.555555555555557</c:v>
                </c:pt>
                <c:pt idx="5">
                  <c:v>11.111111111111112</c:v>
                </c:pt>
                <c:pt idx="6">
                  <c:v>2.7777777777777781</c:v>
                </c:pt>
                <c:pt idx="7">
                  <c:v>2.7777777777777781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F603-467C-97CF-EA244B335DE2}"/>
            </c:ext>
          </c:extLst>
        </c:ser>
        <c:ser>
          <c:idx val="3"/>
          <c:order val="3"/>
          <c:tx>
            <c:strRef>
              <c:f>'S Table 3 - raw data - T. cas'!$D$25</c:f>
              <c:strCache>
                <c:ptCount val="1"/>
                <c:pt idx="0">
                  <c:v>0,01 ng/µl</c:v>
                </c:pt>
              </c:strCache>
            </c:strRef>
          </c:tx>
          <c:spPr>
            <a:ln w="12700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cas'!$BR$25:$BY$25</c:f>
              <c:numCache>
                <c:formatCode>General</c:formatCode>
                <c:ptCount val="8"/>
                <c:pt idx="0">
                  <c:v>100</c:v>
                </c:pt>
                <c:pt idx="1">
                  <c:v>77.777777777777786</c:v>
                </c:pt>
                <c:pt idx="2">
                  <c:v>58.333333333333336</c:v>
                </c:pt>
                <c:pt idx="3">
                  <c:v>44.44444444444445</c:v>
                </c:pt>
                <c:pt idx="4">
                  <c:v>36.111111111111114</c:v>
                </c:pt>
                <c:pt idx="5">
                  <c:v>11.111111111111112</c:v>
                </c:pt>
                <c:pt idx="6">
                  <c:v>5.5555555555555562</c:v>
                </c:pt>
                <c:pt idx="7">
                  <c:v>2.7777777777777781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F603-467C-97CF-EA244B335D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879936"/>
        <c:axId val="550949120"/>
      </c:lineChart>
      <c:catAx>
        <c:axId val="778799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Titel</a:t>
                </a:r>
              </a:p>
            </c:rich>
          </c:tx>
          <c:layout>
            <c:manualLayout>
              <c:xMode val="edge"/>
              <c:yMode val="edge"/>
              <c:x val="0.29913617818317795"/>
              <c:y val="0.828734648805826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0949120"/>
        <c:crosses val="autoZero"/>
        <c:auto val="1"/>
        <c:lblAlgn val="ctr"/>
        <c:lblOffset val="100"/>
        <c:noMultiLvlLbl val="0"/>
      </c:catAx>
      <c:valAx>
        <c:axId val="550949120"/>
        <c:scaling>
          <c:orientation val="minMax"/>
          <c:max val="1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Titel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879936"/>
        <c:crosses val="autoZero"/>
        <c:crossBetween val="midCat"/>
        <c:majorUnit val="25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6818782831484205"/>
          <c:y val="0.30183335351728074"/>
          <c:w val="0.34217754564909031"/>
          <c:h val="0.558237199145242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600">
          <a:solidFill>
            <a:sysClr val="windowText" lastClr="000000"/>
          </a:solidFill>
        </a:defRPr>
      </a:pPr>
      <a:endParaRPr lang="en-US"/>
    </a:p>
  </c:txPr>
  <c:printSettings>
    <c:headerFooter/>
    <c:pageMargins b="0.78740157499999996" l="0.7" r="0.7" t="0.78740157499999996" header="0.3" footer="0.3"/>
    <c:pageSetup/>
  </c:printSettings>
  <c:userShapes r:id="rId4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strRef>
          <c:f>'S Table 3 - raw data - T. cas'!$C$26:$C$29</c:f>
          <c:strCache>
            <c:ptCount val="4"/>
            <c:pt idx="0">
              <c:v>CG12104</c:v>
            </c:pt>
          </c:strCache>
        </c:strRef>
      </c:tx>
      <c:layout>
        <c:manualLayout>
          <c:xMode val="edge"/>
          <c:yMode val="edge"/>
          <c:x val="0.69915718404589744"/>
          <c:y val="6.61512598038641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2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707952411797022"/>
          <c:y val="9.7191566495689094E-2"/>
          <c:w val="0.38980616803333429"/>
          <c:h val="0.5946269029881357"/>
        </c:manualLayout>
      </c:layout>
      <c:lineChart>
        <c:grouping val="standard"/>
        <c:varyColors val="0"/>
        <c:ser>
          <c:idx val="0"/>
          <c:order val="0"/>
          <c:tx>
            <c:strRef>
              <c:f>'S Table 3 - raw data - T. cas'!$D$26</c:f>
              <c:strCache>
                <c:ptCount val="1"/>
                <c:pt idx="0">
                  <c:v>250 ng/µl</c:v>
                </c:pt>
              </c:strCache>
            </c:strRef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diamond"/>
            <c:size val="2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cas'!$BR$26:$BY$26</c:f>
              <c:numCache>
                <c:formatCode>General</c:formatCode>
                <c:ptCount val="8"/>
                <c:pt idx="0">
                  <c:v>100</c:v>
                </c:pt>
                <c:pt idx="1">
                  <c:v>80.555555555555557</c:v>
                </c:pt>
                <c:pt idx="2">
                  <c:v>75</c:v>
                </c:pt>
                <c:pt idx="3">
                  <c:v>66.666666666666671</c:v>
                </c:pt>
                <c:pt idx="4">
                  <c:v>61.111111111111114</c:v>
                </c:pt>
                <c:pt idx="5">
                  <c:v>50</c:v>
                </c:pt>
                <c:pt idx="6">
                  <c:v>44.44444444444445</c:v>
                </c:pt>
                <c:pt idx="7">
                  <c:v>36.111111111111114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F3C1-425B-B0F2-98230AE58876}"/>
            </c:ext>
          </c:extLst>
        </c:ser>
        <c:ser>
          <c:idx val="1"/>
          <c:order val="1"/>
          <c:tx>
            <c:strRef>
              <c:f>'S Table 3 - raw data - T. cas'!$D$27</c:f>
              <c:strCache>
                <c:ptCount val="1"/>
                <c:pt idx="0">
                  <c:v>1 ng/µl</c:v>
                </c:pt>
              </c:strCache>
            </c:strRef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squar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cas'!$BR$27:$BY$27</c:f>
              <c:numCache>
                <c:formatCode>General</c:formatCode>
                <c:ptCount val="8"/>
                <c:pt idx="0">
                  <c:v>100</c:v>
                </c:pt>
                <c:pt idx="1">
                  <c:v>94.444444444444457</c:v>
                </c:pt>
                <c:pt idx="2">
                  <c:v>94.444444444444457</c:v>
                </c:pt>
                <c:pt idx="3">
                  <c:v>91.666666666666671</c:v>
                </c:pt>
                <c:pt idx="4">
                  <c:v>80.555555555555557</c:v>
                </c:pt>
                <c:pt idx="5">
                  <c:v>77.777777777777786</c:v>
                </c:pt>
                <c:pt idx="6">
                  <c:v>61.111111111111114</c:v>
                </c:pt>
                <c:pt idx="7">
                  <c:v>61.111111111111114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F3C1-425B-B0F2-98230AE58876}"/>
            </c:ext>
          </c:extLst>
        </c:ser>
        <c:ser>
          <c:idx val="2"/>
          <c:order val="2"/>
          <c:tx>
            <c:strRef>
              <c:f>'S Table 3 - raw data - T. cas'!$D$28</c:f>
              <c:strCache>
                <c:ptCount val="1"/>
                <c:pt idx="0">
                  <c:v>0,1 ng/µl</c:v>
                </c:pt>
              </c:strCache>
            </c:strRef>
          </c:tx>
          <c:spPr>
            <a:ln w="1270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circl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cas'!$BR$28:$BY$28</c:f>
              <c:numCache>
                <c:formatCode>General</c:formatCode>
                <c:ptCount val="8"/>
                <c:pt idx="0">
                  <c:v>100</c:v>
                </c:pt>
                <c:pt idx="1">
                  <c:v>86.111111111111128</c:v>
                </c:pt>
                <c:pt idx="2">
                  <c:v>86.111111111111128</c:v>
                </c:pt>
                <c:pt idx="3">
                  <c:v>86.111111111111128</c:v>
                </c:pt>
                <c:pt idx="4">
                  <c:v>63.888888888888893</c:v>
                </c:pt>
                <c:pt idx="5">
                  <c:v>61.111111111111114</c:v>
                </c:pt>
                <c:pt idx="6">
                  <c:v>58.333333333333336</c:v>
                </c:pt>
                <c:pt idx="7">
                  <c:v>58.333333333333336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F3C1-425B-B0F2-98230AE58876}"/>
            </c:ext>
          </c:extLst>
        </c:ser>
        <c:ser>
          <c:idx val="3"/>
          <c:order val="3"/>
          <c:tx>
            <c:strRef>
              <c:f>'S Table 3 - raw data - T. cas'!$D$29</c:f>
              <c:strCache>
                <c:ptCount val="1"/>
                <c:pt idx="0">
                  <c:v>0,01 ng/µl</c:v>
                </c:pt>
              </c:strCache>
            </c:strRef>
          </c:tx>
          <c:spPr>
            <a:ln w="12700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cas'!$BR$29:$BY$29</c:f>
              <c:numCache>
                <c:formatCode>General</c:formatCode>
                <c:ptCount val="8"/>
                <c:pt idx="0">
                  <c:v>100</c:v>
                </c:pt>
                <c:pt idx="1">
                  <c:v>97.222222222222229</c:v>
                </c:pt>
                <c:pt idx="2">
                  <c:v>97.222222222222229</c:v>
                </c:pt>
                <c:pt idx="3">
                  <c:v>97.222222222222229</c:v>
                </c:pt>
                <c:pt idx="4">
                  <c:v>88.8888888888889</c:v>
                </c:pt>
                <c:pt idx="5">
                  <c:v>88.8888888888889</c:v>
                </c:pt>
                <c:pt idx="6">
                  <c:v>75</c:v>
                </c:pt>
                <c:pt idx="7">
                  <c:v>75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F3C1-425B-B0F2-98230AE588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2154016"/>
        <c:axId val="742154408"/>
      </c:lineChart>
      <c:catAx>
        <c:axId val="7421540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Titel</a:t>
                </a:r>
              </a:p>
            </c:rich>
          </c:tx>
          <c:layout>
            <c:manualLayout>
              <c:xMode val="edge"/>
              <c:yMode val="edge"/>
              <c:x val="0.29913617818317795"/>
              <c:y val="0.828734648805826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154408"/>
        <c:crosses val="autoZero"/>
        <c:auto val="1"/>
        <c:lblAlgn val="ctr"/>
        <c:lblOffset val="100"/>
        <c:noMultiLvlLbl val="0"/>
      </c:catAx>
      <c:valAx>
        <c:axId val="742154408"/>
        <c:scaling>
          <c:orientation val="minMax"/>
          <c:max val="1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Titel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154016"/>
        <c:crosses val="autoZero"/>
        <c:crossBetween val="midCat"/>
        <c:majorUnit val="25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6818782831484205"/>
          <c:y val="0.30183335351728074"/>
          <c:w val="0.34217754564909031"/>
          <c:h val="0.558237199145242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600">
          <a:solidFill>
            <a:sysClr val="windowText" lastClr="000000"/>
          </a:solidFill>
        </a:defRPr>
      </a:pPr>
      <a:endParaRPr lang="en-US"/>
    </a:p>
  </c:txPr>
  <c:printSettings>
    <c:headerFooter/>
    <c:pageMargins b="0.78740157499999996" l="0.7" r="0.7" t="0.78740157499999996" header="0.3" footer="0.3"/>
    <c:pageSetup/>
  </c:printSettings>
  <c:userShapes r:id="rId4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strRef>
          <c:f>'S Table 3 - raw data - T. cas'!$C$30:$C$33</c:f>
          <c:strCache>
            <c:ptCount val="4"/>
            <c:pt idx="0">
              <c:v>CG1703</c:v>
            </c:pt>
          </c:strCache>
        </c:strRef>
      </c:tx>
      <c:layout>
        <c:manualLayout>
          <c:xMode val="edge"/>
          <c:yMode val="edge"/>
          <c:x val="0.69915718404589744"/>
          <c:y val="6.61512598038641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2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707952411797022"/>
          <c:y val="9.7191566495689094E-2"/>
          <c:w val="0.38980616803333429"/>
          <c:h val="0.5946269029881357"/>
        </c:manualLayout>
      </c:layout>
      <c:lineChart>
        <c:grouping val="standard"/>
        <c:varyColors val="0"/>
        <c:ser>
          <c:idx val="0"/>
          <c:order val="0"/>
          <c:tx>
            <c:strRef>
              <c:f>'S Table 3 - raw data - T. cas'!$D$30</c:f>
              <c:strCache>
                <c:ptCount val="1"/>
                <c:pt idx="0">
                  <c:v>250 ng/µl</c:v>
                </c:pt>
              </c:strCache>
            </c:strRef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diamond"/>
            <c:size val="2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cas'!$BR$30:$BY$30</c:f>
              <c:numCache>
                <c:formatCode>General</c:formatCode>
                <c:ptCount val="8"/>
                <c:pt idx="0">
                  <c:v>100</c:v>
                </c:pt>
                <c:pt idx="1">
                  <c:v>61.111111111111114</c:v>
                </c:pt>
                <c:pt idx="2">
                  <c:v>44.44444444444445</c:v>
                </c:pt>
                <c:pt idx="3">
                  <c:v>38.888888888888893</c:v>
                </c:pt>
                <c:pt idx="4">
                  <c:v>38.888888888888893</c:v>
                </c:pt>
                <c:pt idx="5">
                  <c:v>33.333333333333336</c:v>
                </c:pt>
                <c:pt idx="6">
                  <c:v>25</c:v>
                </c:pt>
                <c:pt idx="7">
                  <c:v>22.222222222222225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9911-4000-BACA-973CF0C73E7B}"/>
            </c:ext>
          </c:extLst>
        </c:ser>
        <c:ser>
          <c:idx val="1"/>
          <c:order val="1"/>
          <c:tx>
            <c:strRef>
              <c:f>'S Table 3 - raw data - T. cas'!$D$31</c:f>
              <c:strCache>
                <c:ptCount val="1"/>
                <c:pt idx="0">
                  <c:v>1 ng/µl</c:v>
                </c:pt>
              </c:strCache>
            </c:strRef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squar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cas'!$BR$31:$BY$31</c:f>
              <c:numCache>
                <c:formatCode>General</c:formatCode>
                <c:ptCount val="8"/>
                <c:pt idx="0">
                  <c:v>100</c:v>
                </c:pt>
                <c:pt idx="1">
                  <c:v>66.666666666666671</c:v>
                </c:pt>
                <c:pt idx="2">
                  <c:v>36.111111111111114</c:v>
                </c:pt>
                <c:pt idx="3">
                  <c:v>30.555555555555557</c:v>
                </c:pt>
                <c:pt idx="4">
                  <c:v>19.444444444444446</c:v>
                </c:pt>
                <c:pt idx="5">
                  <c:v>19.444444444444446</c:v>
                </c:pt>
                <c:pt idx="6">
                  <c:v>13.888888888888891</c:v>
                </c:pt>
                <c:pt idx="7">
                  <c:v>13.888888888888891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9911-4000-BACA-973CF0C73E7B}"/>
            </c:ext>
          </c:extLst>
        </c:ser>
        <c:ser>
          <c:idx val="2"/>
          <c:order val="2"/>
          <c:tx>
            <c:strRef>
              <c:f>'S Table 3 - raw data - T. cas'!$D$32</c:f>
              <c:strCache>
                <c:ptCount val="1"/>
                <c:pt idx="0">
                  <c:v>0,1 ng/µl</c:v>
                </c:pt>
              </c:strCache>
            </c:strRef>
          </c:tx>
          <c:spPr>
            <a:ln w="1270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circl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cas'!$BR$32:$BY$32</c:f>
              <c:numCache>
                <c:formatCode>General</c:formatCode>
                <c:ptCount val="8"/>
                <c:pt idx="0">
                  <c:v>100</c:v>
                </c:pt>
                <c:pt idx="1">
                  <c:v>80.555555555555557</c:v>
                </c:pt>
                <c:pt idx="2">
                  <c:v>61.111111111111114</c:v>
                </c:pt>
                <c:pt idx="3">
                  <c:v>50</c:v>
                </c:pt>
                <c:pt idx="4">
                  <c:v>47.222222222222229</c:v>
                </c:pt>
                <c:pt idx="5">
                  <c:v>44.44444444444445</c:v>
                </c:pt>
                <c:pt idx="6">
                  <c:v>33.333333333333336</c:v>
                </c:pt>
                <c:pt idx="7">
                  <c:v>30.555555555555557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9911-4000-BACA-973CF0C73E7B}"/>
            </c:ext>
          </c:extLst>
        </c:ser>
        <c:ser>
          <c:idx val="3"/>
          <c:order val="3"/>
          <c:tx>
            <c:strRef>
              <c:f>'S Table 3 - raw data - T. cas'!$D$33</c:f>
              <c:strCache>
                <c:ptCount val="1"/>
                <c:pt idx="0">
                  <c:v>0,01 ng/µl</c:v>
                </c:pt>
              </c:strCache>
            </c:strRef>
          </c:tx>
          <c:spPr>
            <a:ln w="12700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cas'!$BR$33:$BY$33</c:f>
              <c:numCache>
                <c:formatCode>General</c:formatCode>
                <c:ptCount val="8"/>
                <c:pt idx="0">
                  <c:v>100</c:v>
                </c:pt>
                <c:pt idx="1">
                  <c:v>91.666666666666671</c:v>
                </c:pt>
                <c:pt idx="2">
                  <c:v>61.111111111111114</c:v>
                </c:pt>
                <c:pt idx="3">
                  <c:v>61.111111111111114</c:v>
                </c:pt>
                <c:pt idx="4">
                  <c:v>52.777777777777779</c:v>
                </c:pt>
                <c:pt idx="5">
                  <c:v>38.888888888888893</c:v>
                </c:pt>
                <c:pt idx="6">
                  <c:v>38.888888888888893</c:v>
                </c:pt>
                <c:pt idx="7">
                  <c:v>33.333333333333336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9911-4000-BACA-973CF0C73E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604744"/>
        <c:axId val="78605136"/>
      </c:lineChart>
      <c:catAx>
        <c:axId val="786047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Titel</a:t>
                </a:r>
              </a:p>
            </c:rich>
          </c:tx>
          <c:layout>
            <c:manualLayout>
              <c:xMode val="edge"/>
              <c:yMode val="edge"/>
              <c:x val="0.29913617818317795"/>
              <c:y val="0.828734648805826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05136"/>
        <c:crosses val="autoZero"/>
        <c:auto val="1"/>
        <c:lblAlgn val="ctr"/>
        <c:lblOffset val="100"/>
        <c:noMultiLvlLbl val="0"/>
      </c:catAx>
      <c:valAx>
        <c:axId val="78605136"/>
        <c:scaling>
          <c:orientation val="minMax"/>
          <c:max val="1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Titel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04744"/>
        <c:crosses val="autoZero"/>
        <c:crossBetween val="midCat"/>
        <c:majorUnit val="25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6818782831484205"/>
          <c:y val="0.30183335351728074"/>
          <c:w val="0.34217754564909031"/>
          <c:h val="0.558237199145242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600">
          <a:solidFill>
            <a:sysClr val="windowText" lastClr="000000"/>
          </a:solidFill>
        </a:defRPr>
      </a:pPr>
      <a:endParaRPr lang="en-US"/>
    </a:p>
  </c:txPr>
  <c:printSettings>
    <c:headerFooter/>
    <c:pageMargins b="0.78740157499999996" l="0.7" r="0.7" t="0.78740157499999996" header="0.3" footer="0.3"/>
    <c:pageSetup/>
  </c:printSettings>
  <c:userShapes r:id="rId4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strRef>
          <c:f>'S Table 3 - raw data - T. cas'!$C$34:$C$37</c:f>
          <c:strCache>
            <c:ptCount val="4"/>
            <c:pt idx="0">
              <c:v>CG2063-PA</c:v>
            </c:pt>
          </c:strCache>
        </c:strRef>
      </c:tx>
      <c:layout>
        <c:manualLayout>
          <c:xMode val="edge"/>
          <c:yMode val="edge"/>
          <c:x val="0.69915718404589744"/>
          <c:y val="6.61512598038641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2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707952411797022"/>
          <c:y val="9.7191566495689094E-2"/>
          <c:w val="0.38980616803333429"/>
          <c:h val="0.5946269029881357"/>
        </c:manualLayout>
      </c:layout>
      <c:lineChart>
        <c:grouping val="standard"/>
        <c:varyColors val="0"/>
        <c:ser>
          <c:idx val="0"/>
          <c:order val="0"/>
          <c:tx>
            <c:strRef>
              <c:f>'S Table 3 - raw data - T. cas'!$D$34</c:f>
              <c:strCache>
                <c:ptCount val="1"/>
                <c:pt idx="0">
                  <c:v>250 ng/µl</c:v>
                </c:pt>
              </c:strCache>
            </c:strRef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diamond"/>
            <c:size val="2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cas'!$BR$34:$BY$34</c:f>
              <c:numCache>
                <c:formatCode>General</c:formatCode>
                <c:ptCount val="8"/>
                <c:pt idx="0">
                  <c:v>100</c:v>
                </c:pt>
                <c:pt idx="1">
                  <c:v>89.814814814814824</c:v>
                </c:pt>
                <c:pt idx="2">
                  <c:v>61.039886039886035</c:v>
                </c:pt>
                <c:pt idx="3">
                  <c:v>14.387464387464389</c:v>
                </c:pt>
                <c:pt idx="4">
                  <c:v>2.5641025641025643</c:v>
                </c:pt>
                <c:pt idx="5">
                  <c:v>2.5641025641025643</c:v>
                </c:pt>
                <c:pt idx="6">
                  <c:v>2.5641025641025643</c:v>
                </c:pt>
                <c:pt idx="7">
                  <c:v>2.5641025641025643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1A74-4025-B241-AF182CE3EE67}"/>
            </c:ext>
          </c:extLst>
        </c:ser>
        <c:ser>
          <c:idx val="1"/>
          <c:order val="1"/>
          <c:tx>
            <c:strRef>
              <c:f>'S Table 3 - raw data - T. cas'!$D$35</c:f>
              <c:strCache>
                <c:ptCount val="1"/>
                <c:pt idx="0">
                  <c:v>1 ng/µl</c:v>
                </c:pt>
              </c:strCache>
            </c:strRef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squar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cas'!$BR$35:$BY$35</c:f>
              <c:numCache>
                <c:formatCode>General</c:formatCode>
                <c:ptCount val="8"/>
                <c:pt idx="0">
                  <c:v>100</c:v>
                </c:pt>
                <c:pt idx="1">
                  <c:v>95.396825396825406</c:v>
                </c:pt>
                <c:pt idx="2">
                  <c:v>73.736263736263723</c:v>
                </c:pt>
                <c:pt idx="3">
                  <c:v>32.930402930402934</c:v>
                </c:pt>
                <c:pt idx="4">
                  <c:v>13.992673992673993</c:v>
                </c:pt>
                <c:pt idx="5">
                  <c:v>2.2222222222222223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1A74-4025-B241-AF182CE3EE67}"/>
            </c:ext>
          </c:extLst>
        </c:ser>
        <c:ser>
          <c:idx val="2"/>
          <c:order val="2"/>
          <c:tx>
            <c:strRef>
              <c:f>'S Table 3 - raw data - T. cas'!$D$36</c:f>
              <c:strCache>
                <c:ptCount val="1"/>
                <c:pt idx="0">
                  <c:v>0,1 ng/µl</c:v>
                </c:pt>
              </c:strCache>
            </c:strRef>
          </c:tx>
          <c:spPr>
            <a:ln w="1270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circl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cas'!$BR$36:$BY$36</c:f>
              <c:numCache>
                <c:formatCode>General</c:formatCode>
                <c:ptCount val="8"/>
                <c:pt idx="0">
                  <c:v>100</c:v>
                </c:pt>
                <c:pt idx="1">
                  <c:v>86.904761904761912</c:v>
                </c:pt>
                <c:pt idx="2">
                  <c:v>72.857142857142847</c:v>
                </c:pt>
                <c:pt idx="3">
                  <c:v>53.492063492063494</c:v>
                </c:pt>
                <c:pt idx="4">
                  <c:v>36.111111111111114</c:v>
                </c:pt>
                <c:pt idx="5">
                  <c:v>24.126984126984127</c:v>
                </c:pt>
                <c:pt idx="6">
                  <c:v>11.587301587301589</c:v>
                </c:pt>
                <c:pt idx="7">
                  <c:v>11.587301587301589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1A74-4025-B241-AF182CE3EE67}"/>
            </c:ext>
          </c:extLst>
        </c:ser>
        <c:ser>
          <c:idx val="3"/>
          <c:order val="3"/>
          <c:tx>
            <c:strRef>
              <c:f>'S Table 3 - raw data - T. cas'!$D$37</c:f>
              <c:strCache>
                <c:ptCount val="1"/>
                <c:pt idx="0">
                  <c:v>0,01 ng/µl</c:v>
                </c:pt>
              </c:strCache>
            </c:strRef>
          </c:tx>
          <c:spPr>
            <a:ln w="12700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cas'!$BR$37:$BY$37</c:f>
              <c:numCache>
                <c:formatCode>General</c:formatCode>
                <c:ptCount val="8"/>
                <c:pt idx="0">
                  <c:v>100</c:v>
                </c:pt>
                <c:pt idx="1">
                  <c:v>97.435897435897445</c:v>
                </c:pt>
                <c:pt idx="2">
                  <c:v>75.641025641025635</c:v>
                </c:pt>
                <c:pt idx="3">
                  <c:v>68.07692307692308</c:v>
                </c:pt>
                <c:pt idx="4">
                  <c:v>59.957264957264961</c:v>
                </c:pt>
                <c:pt idx="5">
                  <c:v>52.948717948717949</c:v>
                </c:pt>
                <c:pt idx="6">
                  <c:v>48.504273504273506</c:v>
                </c:pt>
                <c:pt idx="7">
                  <c:v>38.034188034188041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1A74-4025-B241-AF182CE3EE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605920"/>
        <c:axId val="78606312"/>
      </c:lineChart>
      <c:catAx>
        <c:axId val="786059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Titel</a:t>
                </a:r>
              </a:p>
            </c:rich>
          </c:tx>
          <c:layout>
            <c:manualLayout>
              <c:xMode val="edge"/>
              <c:yMode val="edge"/>
              <c:x val="0.29913617818317795"/>
              <c:y val="0.828734648805826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06312"/>
        <c:crosses val="autoZero"/>
        <c:auto val="1"/>
        <c:lblAlgn val="ctr"/>
        <c:lblOffset val="100"/>
        <c:noMultiLvlLbl val="0"/>
      </c:catAx>
      <c:valAx>
        <c:axId val="78606312"/>
        <c:scaling>
          <c:orientation val="minMax"/>
          <c:max val="1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Titel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05920"/>
        <c:crosses val="autoZero"/>
        <c:crossBetween val="midCat"/>
        <c:majorUnit val="25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6818782831484205"/>
          <c:y val="0.30183335351728074"/>
          <c:w val="0.34217754564909031"/>
          <c:h val="0.558237199145242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600">
          <a:solidFill>
            <a:sysClr val="windowText" lastClr="000000"/>
          </a:solidFill>
        </a:defRPr>
      </a:pPr>
      <a:endParaRPr lang="en-US"/>
    </a:p>
  </c:txPr>
  <c:printSettings>
    <c:headerFooter/>
    <c:pageMargins b="0.78740157499999996" l="0.7" r="0.7" t="0.78740157499999996" header="0.3" footer="0.3"/>
    <c:pageSetup/>
  </c:printSettings>
  <c:userShapes r:id="rId4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strRef>
          <c:f>'S Table 3 - raw data - T. cas'!$C$38:$C$41</c:f>
          <c:strCache>
            <c:ptCount val="4"/>
            <c:pt idx="0">
              <c:v>CG2909</c:v>
            </c:pt>
          </c:strCache>
        </c:strRef>
      </c:tx>
      <c:layout>
        <c:manualLayout>
          <c:xMode val="edge"/>
          <c:yMode val="edge"/>
          <c:x val="0.69915718404589744"/>
          <c:y val="6.61512598038641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2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707952411797022"/>
          <c:y val="9.7191566495689094E-2"/>
          <c:w val="0.38980616803333429"/>
          <c:h val="0.5946269029881357"/>
        </c:manualLayout>
      </c:layout>
      <c:lineChart>
        <c:grouping val="standard"/>
        <c:varyColors val="0"/>
        <c:ser>
          <c:idx val="0"/>
          <c:order val="0"/>
          <c:tx>
            <c:strRef>
              <c:f>'S Table 3 - raw data - T. cas'!$D$38</c:f>
              <c:strCache>
                <c:ptCount val="1"/>
                <c:pt idx="0">
                  <c:v>250 ng/µl</c:v>
                </c:pt>
              </c:strCache>
            </c:strRef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diamond"/>
            <c:size val="2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cas'!$BR$38:$BY$38</c:f>
              <c:numCache>
                <c:formatCode>General</c:formatCode>
                <c:ptCount val="8"/>
                <c:pt idx="0">
                  <c:v>100</c:v>
                </c:pt>
                <c:pt idx="1">
                  <c:v>94.444444444444457</c:v>
                </c:pt>
                <c:pt idx="2">
                  <c:v>66.666666666666671</c:v>
                </c:pt>
                <c:pt idx="3">
                  <c:v>27.777777777777782</c:v>
                </c:pt>
                <c:pt idx="4">
                  <c:v>2.7777777777777781</c:v>
                </c:pt>
                <c:pt idx="5">
                  <c:v>2.7777777777777781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311B-4A79-905A-52A1675CBEEE}"/>
            </c:ext>
          </c:extLst>
        </c:ser>
        <c:ser>
          <c:idx val="1"/>
          <c:order val="1"/>
          <c:tx>
            <c:strRef>
              <c:f>'S Table 3 - raw data - T. cas'!$D$39</c:f>
              <c:strCache>
                <c:ptCount val="1"/>
                <c:pt idx="0">
                  <c:v>1 ng/µl</c:v>
                </c:pt>
              </c:strCache>
            </c:strRef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squar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cas'!$BR$39:$BY$39</c:f>
              <c:numCache>
                <c:formatCode>General</c:formatCode>
                <c:ptCount val="8"/>
                <c:pt idx="0">
                  <c:v>100</c:v>
                </c:pt>
                <c:pt idx="1">
                  <c:v>91.666666666666671</c:v>
                </c:pt>
                <c:pt idx="2">
                  <c:v>75.000000000000014</c:v>
                </c:pt>
                <c:pt idx="3">
                  <c:v>50</c:v>
                </c:pt>
                <c:pt idx="4">
                  <c:v>36.111111111111114</c:v>
                </c:pt>
                <c:pt idx="5">
                  <c:v>33.333333333333336</c:v>
                </c:pt>
                <c:pt idx="6">
                  <c:v>30.555555555555557</c:v>
                </c:pt>
                <c:pt idx="7">
                  <c:v>13.888888888888891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311B-4A79-905A-52A1675CBEEE}"/>
            </c:ext>
          </c:extLst>
        </c:ser>
        <c:ser>
          <c:idx val="2"/>
          <c:order val="2"/>
          <c:tx>
            <c:strRef>
              <c:f>'S Table 3 - raw data - T. cas'!$D$40</c:f>
              <c:strCache>
                <c:ptCount val="1"/>
                <c:pt idx="0">
                  <c:v>0,1 ng/µl</c:v>
                </c:pt>
              </c:strCache>
            </c:strRef>
          </c:tx>
          <c:spPr>
            <a:ln w="1270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circl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cas'!$BR$40:$BY$40</c:f>
              <c:numCache>
                <c:formatCode>General</c:formatCode>
                <c:ptCount val="8"/>
                <c:pt idx="0">
                  <c:v>100</c:v>
                </c:pt>
                <c:pt idx="1">
                  <c:v>97.222222222222229</c:v>
                </c:pt>
                <c:pt idx="2">
                  <c:v>86.111111111111128</c:v>
                </c:pt>
                <c:pt idx="3">
                  <c:v>52.777777777777779</c:v>
                </c:pt>
                <c:pt idx="4">
                  <c:v>38.888888888888893</c:v>
                </c:pt>
                <c:pt idx="5">
                  <c:v>36.111111111111114</c:v>
                </c:pt>
                <c:pt idx="6">
                  <c:v>36.111111111111114</c:v>
                </c:pt>
                <c:pt idx="7">
                  <c:v>19.444444444444446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311B-4A79-905A-52A1675CBEEE}"/>
            </c:ext>
          </c:extLst>
        </c:ser>
        <c:ser>
          <c:idx val="3"/>
          <c:order val="3"/>
          <c:tx>
            <c:strRef>
              <c:f>'S Table 3 - raw data - T. cas'!$D$41</c:f>
              <c:strCache>
                <c:ptCount val="1"/>
                <c:pt idx="0">
                  <c:v>0,01 ng/µl</c:v>
                </c:pt>
              </c:strCache>
            </c:strRef>
          </c:tx>
          <c:spPr>
            <a:ln w="12700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cas'!$BR$41:$BY$41</c:f>
              <c:numCache>
                <c:formatCode>General</c:formatCode>
                <c:ptCount val="8"/>
                <c:pt idx="0">
                  <c:v>100</c:v>
                </c:pt>
                <c:pt idx="1">
                  <c:v>94.444444444444457</c:v>
                </c:pt>
                <c:pt idx="2">
                  <c:v>86.111111111111128</c:v>
                </c:pt>
                <c:pt idx="3">
                  <c:v>47.222222222222229</c:v>
                </c:pt>
                <c:pt idx="4">
                  <c:v>36.111111111111114</c:v>
                </c:pt>
                <c:pt idx="5">
                  <c:v>25</c:v>
                </c:pt>
                <c:pt idx="6">
                  <c:v>22.222222222222225</c:v>
                </c:pt>
                <c:pt idx="7">
                  <c:v>22.222222222222225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311B-4A79-905A-52A1675CBE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0391808"/>
        <c:axId val="500392200"/>
      </c:lineChart>
      <c:catAx>
        <c:axId val="5003918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Titel</a:t>
                </a:r>
              </a:p>
            </c:rich>
          </c:tx>
          <c:layout>
            <c:manualLayout>
              <c:xMode val="edge"/>
              <c:yMode val="edge"/>
              <c:x val="0.29913617818317795"/>
              <c:y val="0.828734648805826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392200"/>
        <c:crosses val="autoZero"/>
        <c:auto val="1"/>
        <c:lblAlgn val="ctr"/>
        <c:lblOffset val="100"/>
        <c:noMultiLvlLbl val="0"/>
      </c:catAx>
      <c:valAx>
        <c:axId val="500392200"/>
        <c:scaling>
          <c:orientation val="minMax"/>
          <c:max val="1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Titel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391808"/>
        <c:crosses val="autoZero"/>
        <c:crossBetween val="midCat"/>
        <c:majorUnit val="25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6818782831484205"/>
          <c:y val="0.30183335351728074"/>
          <c:w val="0.34217754564909031"/>
          <c:h val="0.558237199145242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600">
          <a:solidFill>
            <a:sysClr val="windowText" lastClr="000000"/>
          </a:solidFill>
        </a:defRPr>
      </a:pPr>
      <a:endParaRPr lang="en-US"/>
    </a:p>
  </c:txPr>
  <c:printSettings>
    <c:headerFooter/>
    <c:pageMargins b="0.78740157499999996" l="0.7" r="0.7" t="0.78740157499999996" header="0.3" footer="0.3"/>
    <c:pageSetup/>
  </c:printSettings>
  <c:userShapes r:id="rId4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strRef>
          <c:f>'S Table 3 - raw data - T. cas'!$C$42:$C$45</c:f>
          <c:strCache>
            <c:ptCount val="4"/>
            <c:pt idx="0">
              <c:v>CG34184</c:v>
            </c:pt>
          </c:strCache>
        </c:strRef>
      </c:tx>
      <c:layout>
        <c:manualLayout>
          <c:xMode val="edge"/>
          <c:yMode val="edge"/>
          <c:x val="0.69915718404589744"/>
          <c:y val="6.61512598038641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2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707952411797022"/>
          <c:y val="9.7191566495689094E-2"/>
          <c:w val="0.38980616803333429"/>
          <c:h val="0.5946269029881357"/>
        </c:manualLayout>
      </c:layout>
      <c:lineChart>
        <c:grouping val="standard"/>
        <c:varyColors val="0"/>
        <c:ser>
          <c:idx val="0"/>
          <c:order val="0"/>
          <c:tx>
            <c:strRef>
              <c:f>'S Table 3 - raw data - T. cas'!$D$42</c:f>
              <c:strCache>
                <c:ptCount val="1"/>
                <c:pt idx="0">
                  <c:v>250 ng/µl</c:v>
                </c:pt>
              </c:strCache>
            </c:strRef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diamond"/>
            <c:size val="2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cas'!$BR$42:$BY$42</c:f>
              <c:numCache>
                <c:formatCode>General</c:formatCode>
                <c:ptCount val="8"/>
                <c:pt idx="0">
                  <c:v>100</c:v>
                </c:pt>
                <c:pt idx="1">
                  <c:v>44.44444444444445</c:v>
                </c:pt>
                <c:pt idx="2">
                  <c:v>27.777777777777782</c:v>
                </c:pt>
                <c:pt idx="3">
                  <c:v>11.111111111111112</c:v>
                </c:pt>
                <c:pt idx="4">
                  <c:v>5.5555555555555562</c:v>
                </c:pt>
                <c:pt idx="5">
                  <c:v>2.7777777777777781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684-468E-9B20-EA3F6ABADE55}"/>
            </c:ext>
          </c:extLst>
        </c:ser>
        <c:ser>
          <c:idx val="1"/>
          <c:order val="1"/>
          <c:tx>
            <c:strRef>
              <c:f>'S Table 3 - raw data - T. cas'!$D$43</c:f>
              <c:strCache>
                <c:ptCount val="1"/>
                <c:pt idx="0">
                  <c:v>1 ng/µl</c:v>
                </c:pt>
              </c:strCache>
            </c:strRef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squar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cas'!$BR$43:$BY$43</c:f>
              <c:numCache>
                <c:formatCode>General</c:formatCode>
                <c:ptCount val="8"/>
                <c:pt idx="0">
                  <c:v>100</c:v>
                </c:pt>
                <c:pt idx="1">
                  <c:v>72.222222222222229</c:v>
                </c:pt>
                <c:pt idx="2">
                  <c:v>47.222222222222229</c:v>
                </c:pt>
                <c:pt idx="3">
                  <c:v>22.222222222222225</c:v>
                </c:pt>
                <c:pt idx="4">
                  <c:v>16.666666666666668</c:v>
                </c:pt>
                <c:pt idx="5">
                  <c:v>16.666666666666668</c:v>
                </c:pt>
                <c:pt idx="6">
                  <c:v>13.888888888888891</c:v>
                </c:pt>
                <c:pt idx="7">
                  <c:v>13.888888888888891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8684-468E-9B20-EA3F6ABADE55}"/>
            </c:ext>
          </c:extLst>
        </c:ser>
        <c:ser>
          <c:idx val="2"/>
          <c:order val="2"/>
          <c:tx>
            <c:strRef>
              <c:f>'S Table 3 - raw data - T. cas'!$D$44</c:f>
              <c:strCache>
                <c:ptCount val="1"/>
                <c:pt idx="0">
                  <c:v>0,1 ng/µl</c:v>
                </c:pt>
              </c:strCache>
            </c:strRef>
          </c:tx>
          <c:spPr>
            <a:ln w="1270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circl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cas'!$BR$44:$BY$44</c:f>
              <c:numCache>
                <c:formatCode>General</c:formatCode>
                <c:ptCount val="8"/>
                <c:pt idx="0">
                  <c:v>100</c:v>
                </c:pt>
                <c:pt idx="1">
                  <c:v>63.888888888888893</c:v>
                </c:pt>
                <c:pt idx="2">
                  <c:v>52.777777777777779</c:v>
                </c:pt>
                <c:pt idx="3">
                  <c:v>38.888888888888893</c:v>
                </c:pt>
                <c:pt idx="4">
                  <c:v>33.333333333333336</c:v>
                </c:pt>
                <c:pt idx="5">
                  <c:v>19.444444444444446</c:v>
                </c:pt>
                <c:pt idx="6">
                  <c:v>19.444444444444446</c:v>
                </c:pt>
                <c:pt idx="7">
                  <c:v>11.111111111111112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8684-468E-9B20-EA3F6ABADE55}"/>
            </c:ext>
          </c:extLst>
        </c:ser>
        <c:ser>
          <c:idx val="3"/>
          <c:order val="3"/>
          <c:tx>
            <c:strRef>
              <c:f>'S Table 3 - raw data - T. cas'!$D$45</c:f>
              <c:strCache>
                <c:ptCount val="1"/>
                <c:pt idx="0">
                  <c:v>0,01 ng/µl</c:v>
                </c:pt>
              </c:strCache>
            </c:strRef>
          </c:tx>
          <c:spPr>
            <a:ln w="12700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cas'!$BR$45:$BY$45</c:f>
              <c:numCache>
                <c:formatCode>General</c:formatCode>
                <c:ptCount val="8"/>
                <c:pt idx="0">
                  <c:v>100</c:v>
                </c:pt>
                <c:pt idx="1">
                  <c:v>63.888888888888893</c:v>
                </c:pt>
                <c:pt idx="2">
                  <c:v>41.666666666666664</c:v>
                </c:pt>
                <c:pt idx="3">
                  <c:v>33.333333333333336</c:v>
                </c:pt>
                <c:pt idx="4">
                  <c:v>16.666666666666668</c:v>
                </c:pt>
                <c:pt idx="5">
                  <c:v>16.666666666666668</c:v>
                </c:pt>
                <c:pt idx="6">
                  <c:v>16.666666666666668</c:v>
                </c:pt>
                <c:pt idx="7">
                  <c:v>11.111111111111112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8684-468E-9B20-EA3F6ABADE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2153624"/>
        <c:axId val="742153232"/>
      </c:lineChart>
      <c:catAx>
        <c:axId val="7421536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Titel</a:t>
                </a:r>
              </a:p>
            </c:rich>
          </c:tx>
          <c:layout>
            <c:manualLayout>
              <c:xMode val="edge"/>
              <c:yMode val="edge"/>
              <c:x val="0.29913617818317795"/>
              <c:y val="0.828734648805826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153232"/>
        <c:crosses val="autoZero"/>
        <c:auto val="1"/>
        <c:lblAlgn val="ctr"/>
        <c:lblOffset val="100"/>
        <c:noMultiLvlLbl val="0"/>
      </c:catAx>
      <c:valAx>
        <c:axId val="742153232"/>
        <c:scaling>
          <c:orientation val="minMax"/>
          <c:max val="1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Titel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153624"/>
        <c:crosses val="autoZero"/>
        <c:crossBetween val="midCat"/>
        <c:majorUnit val="25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6818782831484205"/>
          <c:y val="0.30183335351728074"/>
          <c:w val="0.34217754564909031"/>
          <c:h val="0.558237199145242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600">
          <a:solidFill>
            <a:sysClr val="windowText" lastClr="000000"/>
          </a:solidFill>
        </a:defRPr>
      </a:pPr>
      <a:endParaRPr lang="en-US"/>
    </a:p>
  </c:txPr>
  <c:printSettings>
    <c:headerFooter/>
    <c:pageMargins b="0.78740157499999996" l="0.7" r="0.7" t="0.78740157499999996" header="0.3" footer="0.3"/>
    <c:pageSetup/>
  </c:printSettings>
  <c:userShapes r:id="rId4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strRef>
          <c:f>'S Table 3 - raw data - T. cas'!$C$46:$C$49</c:f>
          <c:strCache>
            <c:ptCount val="4"/>
            <c:pt idx="0">
              <c:v>CG6843</c:v>
            </c:pt>
          </c:strCache>
        </c:strRef>
      </c:tx>
      <c:layout>
        <c:manualLayout>
          <c:xMode val="edge"/>
          <c:yMode val="edge"/>
          <c:x val="0.69915718404589744"/>
          <c:y val="6.61512598038641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2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707952411797022"/>
          <c:y val="9.7191566495689094E-2"/>
          <c:w val="0.38980616803333429"/>
          <c:h val="0.5946269029881357"/>
        </c:manualLayout>
      </c:layout>
      <c:lineChart>
        <c:grouping val="standard"/>
        <c:varyColors val="0"/>
        <c:ser>
          <c:idx val="0"/>
          <c:order val="0"/>
          <c:tx>
            <c:strRef>
              <c:f>'S Table 3 - raw data - T. cas'!$D$46</c:f>
              <c:strCache>
                <c:ptCount val="1"/>
                <c:pt idx="0">
                  <c:v>250 ng/µl</c:v>
                </c:pt>
              </c:strCache>
            </c:strRef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diamond"/>
            <c:size val="2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cas'!$BR$46:$BY$46</c:f>
              <c:numCache>
                <c:formatCode>General</c:formatCode>
                <c:ptCount val="8"/>
                <c:pt idx="0">
                  <c:v>100</c:v>
                </c:pt>
                <c:pt idx="1">
                  <c:v>88.8888888888889</c:v>
                </c:pt>
                <c:pt idx="2">
                  <c:v>63.888888888888893</c:v>
                </c:pt>
                <c:pt idx="3">
                  <c:v>44.44444444444445</c:v>
                </c:pt>
                <c:pt idx="4">
                  <c:v>13.888888888888891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E69-4F6D-BC33-915A96B5E09E}"/>
            </c:ext>
          </c:extLst>
        </c:ser>
        <c:ser>
          <c:idx val="1"/>
          <c:order val="1"/>
          <c:tx>
            <c:strRef>
              <c:f>'S Table 3 - raw data - T. cas'!$D$47</c:f>
              <c:strCache>
                <c:ptCount val="1"/>
                <c:pt idx="0">
                  <c:v>1 ng/µl</c:v>
                </c:pt>
              </c:strCache>
            </c:strRef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squar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cas'!$BR$47:$BY$47</c:f>
              <c:numCache>
                <c:formatCode>General</c:formatCode>
                <c:ptCount val="8"/>
                <c:pt idx="0">
                  <c:v>100</c:v>
                </c:pt>
                <c:pt idx="1">
                  <c:v>86.111111111111128</c:v>
                </c:pt>
                <c:pt idx="2">
                  <c:v>66.666666666666671</c:v>
                </c:pt>
                <c:pt idx="3">
                  <c:v>36.111111111111114</c:v>
                </c:pt>
                <c:pt idx="4">
                  <c:v>16.666666666666668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EE69-4F6D-BC33-915A96B5E09E}"/>
            </c:ext>
          </c:extLst>
        </c:ser>
        <c:ser>
          <c:idx val="2"/>
          <c:order val="2"/>
          <c:tx>
            <c:strRef>
              <c:f>'S Table 3 - raw data - T. cas'!$D$48</c:f>
              <c:strCache>
                <c:ptCount val="1"/>
                <c:pt idx="0">
                  <c:v>0,1 ng/µl</c:v>
                </c:pt>
              </c:strCache>
            </c:strRef>
          </c:tx>
          <c:spPr>
            <a:ln w="1270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circl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cas'!$BR$48:$BY$48</c:f>
              <c:numCache>
                <c:formatCode>General</c:formatCode>
                <c:ptCount val="8"/>
                <c:pt idx="0">
                  <c:v>100</c:v>
                </c:pt>
                <c:pt idx="1">
                  <c:v>94.444444444444457</c:v>
                </c:pt>
                <c:pt idx="2">
                  <c:v>83.333333333333343</c:v>
                </c:pt>
                <c:pt idx="3">
                  <c:v>58.333333333333336</c:v>
                </c:pt>
                <c:pt idx="4">
                  <c:v>38.888888888888893</c:v>
                </c:pt>
                <c:pt idx="5">
                  <c:v>33.333333333333336</c:v>
                </c:pt>
                <c:pt idx="6">
                  <c:v>13.888888888888891</c:v>
                </c:pt>
                <c:pt idx="7">
                  <c:v>8.3333333333333339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EE69-4F6D-BC33-915A96B5E09E}"/>
            </c:ext>
          </c:extLst>
        </c:ser>
        <c:ser>
          <c:idx val="3"/>
          <c:order val="3"/>
          <c:tx>
            <c:strRef>
              <c:f>'S Table 3 - raw data - T. cas'!$D$49</c:f>
              <c:strCache>
                <c:ptCount val="1"/>
                <c:pt idx="0">
                  <c:v>0,01 ng/µl</c:v>
                </c:pt>
              </c:strCache>
            </c:strRef>
          </c:tx>
          <c:spPr>
            <a:ln w="12700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cas'!$BR$49:$BY$49</c:f>
              <c:numCache>
                <c:formatCode>General</c:formatCode>
                <c:ptCount val="8"/>
                <c:pt idx="0">
                  <c:v>100</c:v>
                </c:pt>
                <c:pt idx="1">
                  <c:v>94.444444444444457</c:v>
                </c:pt>
                <c:pt idx="2">
                  <c:v>80.555555555555557</c:v>
                </c:pt>
                <c:pt idx="3">
                  <c:v>61.111111111111114</c:v>
                </c:pt>
                <c:pt idx="4">
                  <c:v>38.888888888888893</c:v>
                </c:pt>
                <c:pt idx="5">
                  <c:v>33.333333333333336</c:v>
                </c:pt>
                <c:pt idx="6">
                  <c:v>13.888888888888891</c:v>
                </c:pt>
                <c:pt idx="7">
                  <c:v>11.111111111111112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EE69-4F6D-BC33-915A96B5E0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0950688"/>
        <c:axId val="550950296"/>
      </c:lineChart>
      <c:catAx>
        <c:axId val="5509506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Titel</a:t>
                </a:r>
              </a:p>
            </c:rich>
          </c:tx>
          <c:layout>
            <c:manualLayout>
              <c:xMode val="edge"/>
              <c:yMode val="edge"/>
              <c:x val="0.29913617818317795"/>
              <c:y val="0.828734648805826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0950296"/>
        <c:crosses val="autoZero"/>
        <c:auto val="1"/>
        <c:lblAlgn val="ctr"/>
        <c:lblOffset val="100"/>
        <c:noMultiLvlLbl val="0"/>
      </c:catAx>
      <c:valAx>
        <c:axId val="550950296"/>
        <c:scaling>
          <c:orientation val="minMax"/>
          <c:max val="1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Titel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0950688"/>
        <c:crosses val="autoZero"/>
        <c:crossBetween val="midCat"/>
        <c:majorUnit val="25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6818782831484205"/>
          <c:y val="0.30183335351728074"/>
          <c:w val="0.34217754564909031"/>
          <c:h val="0.558237199145242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600">
          <a:solidFill>
            <a:sysClr val="windowText" lastClr="000000"/>
          </a:solidFill>
        </a:defRPr>
      </a:pPr>
      <a:endParaRPr lang="en-US"/>
    </a:p>
  </c:txPr>
  <c:printSettings>
    <c:headerFooter/>
    <c:pageMargins b="0.78740157499999996" l="0.7" r="0.7" t="0.78740157499999996" header="0.3" footer="0.3"/>
    <c:pageSetup/>
  </c:printSettings>
  <c:userShapes r:id="rId4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strRef>
          <c:f>'S Table 3 - raw data - T. cas'!$C$50:$C$53</c:f>
          <c:strCache>
            <c:ptCount val="4"/>
            <c:pt idx="0">
              <c:v>Chc</c:v>
            </c:pt>
          </c:strCache>
        </c:strRef>
      </c:tx>
      <c:layout>
        <c:manualLayout>
          <c:xMode val="edge"/>
          <c:yMode val="edge"/>
          <c:x val="0.69915718404589744"/>
          <c:y val="6.61512598038641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2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707952411797022"/>
          <c:y val="9.7191566495689094E-2"/>
          <c:w val="0.38980616803333429"/>
          <c:h val="0.5946269029881357"/>
        </c:manualLayout>
      </c:layout>
      <c:lineChart>
        <c:grouping val="standard"/>
        <c:varyColors val="0"/>
        <c:ser>
          <c:idx val="0"/>
          <c:order val="0"/>
          <c:tx>
            <c:strRef>
              <c:f>'S Table 3 - raw data - T. cas'!$D$50</c:f>
              <c:strCache>
                <c:ptCount val="1"/>
                <c:pt idx="0">
                  <c:v>250 ng/µl</c:v>
                </c:pt>
              </c:strCache>
            </c:strRef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diamond"/>
            <c:size val="2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cas'!$BR$50:$BY$50</c:f>
              <c:numCache>
                <c:formatCode>General</c:formatCode>
                <c:ptCount val="8"/>
                <c:pt idx="0">
                  <c:v>100</c:v>
                </c:pt>
                <c:pt idx="1">
                  <c:v>80.555555555555557</c:v>
                </c:pt>
                <c:pt idx="2">
                  <c:v>61.111111111111114</c:v>
                </c:pt>
                <c:pt idx="3">
                  <c:v>55.555555555555564</c:v>
                </c:pt>
                <c:pt idx="4">
                  <c:v>50</c:v>
                </c:pt>
                <c:pt idx="5">
                  <c:v>50</c:v>
                </c:pt>
                <c:pt idx="6">
                  <c:v>33.333333333333336</c:v>
                </c:pt>
                <c:pt idx="7">
                  <c:v>30.555555555555557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254-4D7B-A373-6606C43947E3}"/>
            </c:ext>
          </c:extLst>
        </c:ser>
        <c:ser>
          <c:idx val="1"/>
          <c:order val="1"/>
          <c:tx>
            <c:strRef>
              <c:f>'S Table 3 - raw data - T. cas'!$D$51</c:f>
              <c:strCache>
                <c:ptCount val="1"/>
                <c:pt idx="0">
                  <c:v>1 ng/µl</c:v>
                </c:pt>
              </c:strCache>
            </c:strRef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squar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cas'!$BR$51:$BY$51</c:f>
              <c:numCache>
                <c:formatCode>General</c:formatCode>
                <c:ptCount val="8"/>
                <c:pt idx="0">
                  <c:v>100</c:v>
                </c:pt>
                <c:pt idx="1">
                  <c:v>66.666666666666671</c:v>
                </c:pt>
                <c:pt idx="2">
                  <c:v>61.111111111111114</c:v>
                </c:pt>
                <c:pt idx="3">
                  <c:v>50</c:v>
                </c:pt>
                <c:pt idx="4">
                  <c:v>41.666666666666671</c:v>
                </c:pt>
                <c:pt idx="5">
                  <c:v>38.888888888888893</c:v>
                </c:pt>
                <c:pt idx="6">
                  <c:v>33.333333333333336</c:v>
                </c:pt>
                <c:pt idx="7">
                  <c:v>30.555555555555557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B254-4D7B-A373-6606C43947E3}"/>
            </c:ext>
          </c:extLst>
        </c:ser>
        <c:ser>
          <c:idx val="2"/>
          <c:order val="2"/>
          <c:tx>
            <c:strRef>
              <c:f>'S Table 3 - raw data - T. cas'!$D$52</c:f>
              <c:strCache>
                <c:ptCount val="1"/>
                <c:pt idx="0">
                  <c:v>0,1 ng/µl</c:v>
                </c:pt>
              </c:strCache>
            </c:strRef>
          </c:tx>
          <c:spPr>
            <a:ln w="1270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circl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cas'!$BR$52:$BY$52</c:f>
              <c:numCache>
                <c:formatCode>General</c:formatCode>
                <c:ptCount val="8"/>
                <c:pt idx="0">
                  <c:v>100</c:v>
                </c:pt>
                <c:pt idx="1">
                  <c:v>80.555555555555557</c:v>
                </c:pt>
                <c:pt idx="2">
                  <c:v>66.666666666666671</c:v>
                </c:pt>
                <c:pt idx="3">
                  <c:v>61.111111111111114</c:v>
                </c:pt>
                <c:pt idx="4">
                  <c:v>55.555555555555564</c:v>
                </c:pt>
                <c:pt idx="5">
                  <c:v>47.222222222222229</c:v>
                </c:pt>
                <c:pt idx="6">
                  <c:v>47.222222222222229</c:v>
                </c:pt>
                <c:pt idx="7">
                  <c:v>41.666666666666671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B254-4D7B-A373-6606C43947E3}"/>
            </c:ext>
          </c:extLst>
        </c:ser>
        <c:ser>
          <c:idx val="3"/>
          <c:order val="3"/>
          <c:tx>
            <c:strRef>
              <c:f>'S Table 3 - raw data - T. cas'!$D$53</c:f>
              <c:strCache>
                <c:ptCount val="1"/>
                <c:pt idx="0">
                  <c:v>0,01 ng/µl</c:v>
                </c:pt>
              </c:strCache>
            </c:strRef>
          </c:tx>
          <c:spPr>
            <a:ln w="12700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cas'!$BR$53:$BY$53</c:f>
              <c:numCache>
                <c:formatCode>General</c:formatCode>
                <c:ptCount val="8"/>
                <c:pt idx="0">
                  <c:v>100</c:v>
                </c:pt>
                <c:pt idx="1">
                  <c:v>75</c:v>
                </c:pt>
                <c:pt idx="2">
                  <c:v>69.444444444444443</c:v>
                </c:pt>
                <c:pt idx="3">
                  <c:v>58.333333333333336</c:v>
                </c:pt>
                <c:pt idx="4">
                  <c:v>52.777777777777779</c:v>
                </c:pt>
                <c:pt idx="5">
                  <c:v>47.222222222222229</c:v>
                </c:pt>
                <c:pt idx="6">
                  <c:v>47.222222222222229</c:v>
                </c:pt>
                <c:pt idx="7">
                  <c:v>36.111111111111114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B254-4D7B-A373-6606C43947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6588768"/>
        <c:axId val="556589160"/>
      </c:lineChart>
      <c:catAx>
        <c:axId val="556588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Titel</a:t>
                </a:r>
              </a:p>
            </c:rich>
          </c:tx>
          <c:layout>
            <c:manualLayout>
              <c:xMode val="edge"/>
              <c:yMode val="edge"/>
              <c:x val="0.29913617818317795"/>
              <c:y val="0.828734648805826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589160"/>
        <c:crosses val="autoZero"/>
        <c:auto val="1"/>
        <c:lblAlgn val="ctr"/>
        <c:lblOffset val="100"/>
        <c:noMultiLvlLbl val="0"/>
      </c:catAx>
      <c:valAx>
        <c:axId val="556589160"/>
        <c:scaling>
          <c:orientation val="minMax"/>
          <c:max val="1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Titel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588768"/>
        <c:crosses val="autoZero"/>
        <c:crossBetween val="midCat"/>
        <c:majorUnit val="25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6818782831484205"/>
          <c:y val="0.30183335351728074"/>
          <c:w val="0.34217754564909031"/>
          <c:h val="0.558237199145242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600">
          <a:solidFill>
            <a:sysClr val="windowText" lastClr="000000"/>
          </a:solidFill>
        </a:defRPr>
      </a:pPr>
      <a:endParaRPr lang="en-US"/>
    </a:p>
  </c:txPr>
  <c:printSettings>
    <c:headerFooter/>
    <c:pageMargins b="0.78740157499999996" l="0.7" r="0.7" t="0.78740157499999996" header="0.3" footer="0.3"/>
    <c:pageSetup/>
  </c:printSettings>
  <c:userShapes r:id="rId4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strRef>
          <c:f>'S Table 3 - raw data - T. cas'!$C$54:$C$57</c:f>
          <c:strCache>
            <c:ptCount val="4"/>
            <c:pt idx="0">
              <c:v>DCTN1-p150</c:v>
            </c:pt>
          </c:strCache>
        </c:strRef>
      </c:tx>
      <c:layout>
        <c:manualLayout>
          <c:xMode val="edge"/>
          <c:yMode val="edge"/>
          <c:x val="0.69915718404589744"/>
          <c:y val="6.61512598038641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2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707952411797022"/>
          <c:y val="9.7191566495689094E-2"/>
          <c:w val="0.38980616803333429"/>
          <c:h val="0.5946269029881357"/>
        </c:manualLayout>
      </c:layout>
      <c:lineChart>
        <c:grouping val="standard"/>
        <c:varyColors val="0"/>
        <c:ser>
          <c:idx val="0"/>
          <c:order val="0"/>
          <c:tx>
            <c:strRef>
              <c:f>'S Table 3 - raw data - T. cas'!$D$54</c:f>
              <c:strCache>
                <c:ptCount val="1"/>
                <c:pt idx="0">
                  <c:v>250 ng/µl</c:v>
                </c:pt>
              </c:strCache>
            </c:strRef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diamond"/>
            <c:size val="2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cas'!$BR$54:$BY$54</c:f>
              <c:numCache>
                <c:formatCode>General</c:formatCode>
                <c:ptCount val="8"/>
                <c:pt idx="0">
                  <c:v>100</c:v>
                </c:pt>
                <c:pt idx="1">
                  <c:v>83.333333333333343</c:v>
                </c:pt>
                <c:pt idx="2">
                  <c:v>52.777777777777779</c:v>
                </c:pt>
                <c:pt idx="3">
                  <c:v>30.555555555555557</c:v>
                </c:pt>
                <c:pt idx="4">
                  <c:v>25</c:v>
                </c:pt>
                <c:pt idx="5">
                  <c:v>19.444444444444446</c:v>
                </c:pt>
                <c:pt idx="6">
                  <c:v>16.666666666666668</c:v>
                </c:pt>
                <c:pt idx="7">
                  <c:v>13.888888888888891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159-4A1B-8497-1759918E01F1}"/>
            </c:ext>
          </c:extLst>
        </c:ser>
        <c:ser>
          <c:idx val="1"/>
          <c:order val="1"/>
          <c:tx>
            <c:strRef>
              <c:f>'S Table 3 - raw data - T. cas'!$D$55</c:f>
              <c:strCache>
                <c:ptCount val="1"/>
                <c:pt idx="0">
                  <c:v>1 ng/µl</c:v>
                </c:pt>
              </c:strCache>
            </c:strRef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squar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cas'!$BR$55:$BY$55</c:f>
              <c:numCache>
                <c:formatCode>General</c:formatCode>
                <c:ptCount val="8"/>
                <c:pt idx="0">
                  <c:v>100</c:v>
                </c:pt>
                <c:pt idx="1">
                  <c:v>88.8888888888889</c:v>
                </c:pt>
                <c:pt idx="2">
                  <c:v>61.111111111111114</c:v>
                </c:pt>
                <c:pt idx="3">
                  <c:v>52.777777777777779</c:v>
                </c:pt>
                <c:pt idx="4">
                  <c:v>36.111111111111114</c:v>
                </c:pt>
                <c:pt idx="5">
                  <c:v>30.555555555555557</c:v>
                </c:pt>
                <c:pt idx="6">
                  <c:v>19.444444444444446</c:v>
                </c:pt>
                <c:pt idx="7">
                  <c:v>13.888888888888891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8159-4A1B-8497-1759918E01F1}"/>
            </c:ext>
          </c:extLst>
        </c:ser>
        <c:ser>
          <c:idx val="2"/>
          <c:order val="2"/>
          <c:tx>
            <c:strRef>
              <c:f>'S Table 3 - raw data - T. cas'!$D$56</c:f>
              <c:strCache>
                <c:ptCount val="1"/>
                <c:pt idx="0">
                  <c:v>0,1 ng/µl</c:v>
                </c:pt>
              </c:strCache>
            </c:strRef>
          </c:tx>
          <c:spPr>
            <a:ln w="1270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circl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cas'!$BR$56:$BY$56</c:f>
              <c:numCache>
                <c:formatCode>General</c:formatCode>
                <c:ptCount val="8"/>
                <c:pt idx="0">
                  <c:v>100</c:v>
                </c:pt>
                <c:pt idx="1">
                  <c:v>86.111111111111128</c:v>
                </c:pt>
                <c:pt idx="2">
                  <c:v>72.222222222222229</c:v>
                </c:pt>
                <c:pt idx="3">
                  <c:v>63.888888888888893</c:v>
                </c:pt>
                <c:pt idx="4">
                  <c:v>55.555555555555564</c:v>
                </c:pt>
                <c:pt idx="5">
                  <c:v>44.44444444444445</c:v>
                </c:pt>
                <c:pt idx="6">
                  <c:v>41.666666666666664</c:v>
                </c:pt>
                <c:pt idx="7">
                  <c:v>30.555555555555557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8159-4A1B-8497-1759918E01F1}"/>
            </c:ext>
          </c:extLst>
        </c:ser>
        <c:ser>
          <c:idx val="3"/>
          <c:order val="3"/>
          <c:tx>
            <c:strRef>
              <c:f>'S Table 3 - raw data - T. cas'!$D$57</c:f>
              <c:strCache>
                <c:ptCount val="1"/>
                <c:pt idx="0">
                  <c:v>0,01 ng/µl</c:v>
                </c:pt>
              </c:strCache>
            </c:strRef>
          </c:tx>
          <c:spPr>
            <a:ln w="12700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cas'!$BR$57:$BY$57</c:f>
              <c:numCache>
                <c:formatCode>General</c:formatCode>
                <c:ptCount val="8"/>
                <c:pt idx="0">
                  <c:v>100</c:v>
                </c:pt>
                <c:pt idx="1">
                  <c:v>86.111111111111128</c:v>
                </c:pt>
                <c:pt idx="2">
                  <c:v>72.222222222222229</c:v>
                </c:pt>
                <c:pt idx="3">
                  <c:v>63.888888888888893</c:v>
                </c:pt>
                <c:pt idx="4">
                  <c:v>61.111111111111114</c:v>
                </c:pt>
                <c:pt idx="5">
                  <c:v>52.777777777777779</c:v>
                </c:pt>
                <c:pt idx="6">
                  <c:v>52.777777777777779</c:v>
                </c:pt>
                <c:pt idx="7">
                  <c:v>47.222222222222229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8159-4A1B-8497-1759918E01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6589944"/>
        <c:axId val="556590336"/>
      </c:lineChart>
      <c:catAx>
        <c:axId val="5565899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Titel</a:t>
                </a:r>
              </a:p>
            </c:rich>
          </c:tx>
          <c:layout>
            <c:manualLayout>
              <c:xMode val="edge"/>
              <c:yMode val="edge"/>
              <c:x val="0.29913617818317795"/>
              <c:y val="0.828734648805826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590336"/>
        <c:crosses val="autoZero"/>
        <c:auto val="1"/>
        <c:lblAlgn val="ctr"/>
        <c:lblOffset val="100"/>
        <c:noMultiLvlLbl val="0"/>
      </c:catAx>
      <c:valAx>
        <c:axId val="556590336"/>
        <c:scaling>
          <c:orientation val="minMax"/>
          <c:max val="1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Titel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589944"/>
        <c:crosses val="autoZero"/>
        <c:crossBetween val="midCat"/>
        <c:majorUnit val="25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6818782831484205"/>
          <c:y val="0.30183335351728074"/>
          <c:w val="0.34217754564909031"/>
          <c:h val="0.558237199145242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600">
          <a:solidFill>
            <a:sysClr val="windowText" lastClr="000000"/>
          </a:solidFill>
        </a:defRPr>
      </a:pPr>
      <a:endParaRPr lang="en-US"/>
    </a:p>
  </c:txPr>
  <c:printSettings>
    <c:headerFooter/>
    <c:pageMargins b="0.78740157499999996" l="0.7" r="0.7" t="0.78740157499999996" header="0.3" footer="0.3"/>
    <c:pageSetup/>
  </c:printSettings>
  <c:userShapes r:id="rId4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strRef>
          <c:f>'S Table 3 - raw data - T. cas'!$C$58:$C$61</c:f>
          <c:strCache>
            <c:ptCount val="4"/>
            <c:pt idx="0">
              <c:v>dre4</c:v>
            </c:pt>
          </c:strCache>
        </c:strRef>
      </c:tx>
      <c:layout>
        <c:manualLayout>
          <c:xMode val="edge"/>
          <c:yMode val="edge"/>
          <c:x val="0.69915718404589744"/>
          <c:y val="6.61512598038641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2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707952411797022"/>
          <c:y val="9.7191566495689094E-2"/>
          <c:w val="0.38980616803333429"/>
          <c:h val="0.5946269029881357"/>
        </c:manualLayout>
      </c:layout>
      <c:lineChart>
        <c:grouping val="standard"/>
        <c:varyColors val="0"/>
        <c:ser>
          <c:idx val="0"/>
          <c:order val="0"/>
          <c:tx>
            <c:strRef>
              <c:f>'S Table 3 - raw data - T. cas'!$D$58</c:f>
              <c:strCache>
                <c:ptCount val="1"/>
                <c:pt idx="0">
                  <c:v>250 ng/µl</c:v>
                </c:pt>
              </c:strCache>
            </c:strRef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diamond"/>
            <c:size val="2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cas'!$BR$58:$BY$58</c:f>
              <c:numCache>
                <c:formatCode>General</c:formatCode>
                <c:ptCount val="8"/>
                <c:pt idx="0">
                  <c:v>100</c:v>
                </c:pt>
                <c:pt idx="1">
                  <c:v>72.222222222222229</c:v>
                </c:pt>
                <c:pt idx="2">
                  <c:v>41.666666666666664</c:v>
                </c:pt>
                <c:pt idx="3">
                  <c:v>16.666666666666668</c:v>
                </c:pt>
                <c:pt idx="4">
                  <c:v>2.7777777777777781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78D3-4106-AEB7-26B87E4E3CA0}"/>
            </c:ext>
          </c:extLst>
        </c:ser>
        <c:ser>
          <c:idx val="1"/>
          <c:order val="1"/>
          <c:tx>
            <c:strRef>
              <c:f>'S Table 3 - raw data - T. cas'!$D$59</c:f>
              <c:strCache>
                <c:ptCount val="1"/>
                <c:pt idx="0">
                  <c:v>1 ng/µl</c:v>
                </c:pt>
              </c:strCache>
            </c:strRef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squar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cas'!$BR$59:$BY$59</c:f>
              <c:numCache>
                <c:formatCode>General</c:formatCode>
                <c:ptCount val="8"/>
                <c:pt idx="0">
                  <c:v>100</c:v>
                </c:pt>
                <c:pt idx="1">
                  <c:v>69.444444444444457</c:v>
                </c:pt>
                <c:pt idx="2">
                  <c:v>47.222222222222229</c:v>
                </c:pt>
                <c:pt idx="3">
                  <c:v>33.333333333333336</c:v>
                </c:pt>
                <c:pt idx="4">
                  <c:v>22.222222222222225</c:v>
                </c:pt>
                <c:pt idx="5">
                  <c:v>19.444444444444446</c:v>
                </c:pt>
                <c:pt idx="6">
                  <c:v>13.888888888888891</c:v>
                </c:pt>
                <c:pt idx="7">
                  <c:v>8.3333333333333339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78D3-4106-AEB7-26B87E4E3CA0}"/>
            </c:ext>
          </c:extLst>
        </c:ser>
        <c:ser>
          <c:idx val="2"/>
          <c:order val="2"/>
          <c:tx>
            <c:strRef>
              <c:f>'S Table 3 - raw data - T. cas'!$D$60</c:f>
              <c:strCache>
                <c:ptCount val="1"/>
                <c:pt idx="0">
                  <c:v>0,1 ng/µl</c:v>
                </c:pt>
              </c:strCache>
            </c:strRef>
          </c:tx>
          <c:spPr>
            <a:ln w="1270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circl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cas'!$BR$60:$BY$60</c:f>
              <c:numCache>
                <c:formatCode>General</c:formatCode>
                <c:ptCount val="8"/>
                <c:pt idx="0">
                  <c:v>100</c:v>
                </c:pt>
                <c:pt idx="1">
                  <c:v>91.666666666666671</c:v>
                </c:pt>
                <c:pt idx="2">
                  <c:v>80.555555555555557</c:v>
                </c:pt>
                <c:pt idx="3">
                  <c:v>63.888888888888893</c:v>
                </c:pt>
                <c:pt idx="4">
                  <c:v>55.555555555555564</c:v>
                </c:pt>
                <c:pt idx="5">
                  <c:v>38.888888888888893</c:v>
                </c:pt>
                <c:pt idx="6">
                  <c:v>38.888888888888893</c:v>
                </c:pt>
                <c:pt idx="7">
                  <c:v>36.111111111111114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78D3-4106-AEB7-26B87E4E3CA0}"/>
            </c:ext>
          </c:extLst>
        </c:ser>
        <c:ser>
          <c:idx val="3"/>
          <c:order val="3"/>
          <c:tx>
            <c:strRef>
              <c:f>'S Table 3 - raw data - T. cas'!$D$61</c:f>
              <c:strCache>
                <c:ptCount val="1"/>
                <c:pt idx="0">
                  <c:v>0,01 ng/µl</c:v>
                </c:pt>
              </c:strCache>
            </c:strRef>
          </c:tx>
          <c:spPr>
            <a:ln w="12700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cas'!$BR$61:$BY$61</c:f>
              <c:numCache>
                <c:formatCode>General</c:formatCode>
                <c:ptCount val="8"/>
                <c:pt idx="0">
                  <c:v>100</c:v>
                </c:pt>
                <c:pt idx="1">
                  <c:v>94.444444444444457</c:v>
                </c:pt>
                <c:pt idx="2">
                  <c:v>77.777777777777786</c:v>
                </c:pt>
                <c:pt idx="3">
                  <c:v>47.222222222222229</c:v>
                </c:pt>
                <c:pt idx="4">
                  <c:v>41.666666666666664</c:v>
                </c:pt>
                <c:pt idx="5">
                  <c:v>11.111111111111112</c:v>
                </c:pt>
                <c:pt idx="6">
                  <c:v>11.111111111111112</c:v>
                </c:pt>
                <c:pt idx="7">
                  <c:v>11.111111111111112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78D3-4106-AEB7-26B87E4E3C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3190872"/>
        <c:axId val="743191264"/>
      </c:lineChart>
      <c:catAx>
        <c:axId val="7431908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Titel</a:t>
                </a:r>
              </a:p>
            </c:rich>
          </c:tx>
          <c:layout>
            <c:manualLayout>
              <c:xMode val="edge"/>
              <c:yMode val="edge"/>
              <c:x val="0.29913617818317795"/>
              <c:y val="0.828734648805826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191264"/>
        <c:crosses val="autoZero"/>
        <c:auto val="1"/>
        <c:lblAlgn val="ctr"/>
        <c:lblOffset val="100"/>
        <c:noMultiLvlLbl val="0"/>
      </c:catAx>
      <c:valAx>
        <c:axId val="743191264"/>
        <c:scaling>
          <c:orientation val="minMax"/>
          <c:max val="1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Titel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190872"/>
        <c:crosses val="autoZero"/>
        <c:crossBetween val="midCat"/>
        <c:majorUnit val="25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6818782831484205"/>
          <c:y val="0.30183335351728074"/>
          <c:w val="0.34217754564909031"/>
          <c:h val="0.558237199145242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600">
          <a:solidFill>
            <a:sysClr val="windowText" lastClr="000000"/>
          </a:solidFill>
        </a:defRPr>
      </a:pPr>
      <a:endParaRPr lang="en-US"/>
    </a:p>
  </c:txPr>
  <c:printSettings>
    <c:headerFooter/>
    <c:pageMargins b="0.78740157499999996" l="0.7" r="0.7" t="0.78740157499999996" header="0.3" footer="0.3"/>
    <c:pageSetup/>
  </c:printSettings>
  <c:userShapes r:id="rId4"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strRef>
          <c:f>'S Table 3 - raw data - T. cas'!$C$62:$C$65</c:f>
          <c:strCache>
            <c:ptCount val="4"/>
            <c:pt idx="0">
              <c:v>dUTPase</c:v>
            </c:pt>
          </c:strCache>
        </c:strRef>
      </c:tx>
      <c:layout>
        <c:manualLayout>
          <c:xMode val="edge"/>
          <c:yMode val="edge"/>
          <c:x val="0.69915718404589744"/>
          <c:y val="6.61512598038641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2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707952411797022"/>
          <c:y val="9.7191566495689094E-2"/>
          <c:w val="0.38980616803333429"/>
          <c:h val="0.5946269029881357"/>
        </c:manualLayout>
      </c:layout>
      <c:lineChart>
        <c:grouping val="standard"/>
        <c:varyColors val="0"/>
        <c:ser>
          <c:idx val="0"/>
          <c:order val="0"/>
          <c:tx>
            <c:strRef>
              <c:f>'S Table 3 - raw data - T. cas'!$D$62</c:f>
              <c:strCache>
                <c:ptCount val="1"/>
                <c:pt idx="0">
                  <c:v>250 ng/µl</c:v>
                </c:pt>
              </c:strCache>
            </c:strRef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diamond"/>
            <c:size val="2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cas'!$BR$62:$BY$62</c:f>
              <c:numCache>
                <c:formatCode>General</c:formatCode>
                <c:ptCount val="8"/>
                <c:pt idx="0">
                  <c:v>100</c:v>
                </c:pt>
                <c:pt idx="1">
                  <c:v>69.444444444444457</c:v>
                </c:pt>
                <c:pt idx="2">
                  <c:v>30.555555555555557</c:v>
                </c:pt>
                <c:pt idx="3">
                  <c:v>13.888888888888891</c:v>
                </c:pt>
                <c:pt idx="4">
                  <c:v>8.3333333333333339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1DB9-4425-AECC-E04AB547AB4B}"/>
            </c:ext>
          </c:extLst>
        </c:ser>
        <c:ser>
          <c:idx val="1"/>
          <c:order val="1"/>
          <c:tx>
            <c:strRef>
              <c:f>'S Table 3 - raw data - T. cas'!$D$63</c:f>
              <c:strCache>
                <c:ptCount val="1"/>
                <c:pt idx="0">
                  <c:v>1 ng/µl</c:v>
                </c:pt>
              </c:strCache>
            </c:strRef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squar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cas'!$BR$63:$BY$63</c:f>
              <c:numCache>
                <c:formatCode>General</c:formatCode>
                <c:ptCount val="8"/>
                <c:pt idx="0">
                  <c:v>100</c:v>
                </c:pt>
                <c:pt idx="1">
                  <c:v>66.666666666666671</c:v>
                </c:pt>
                <c:pt idx="2">
                  <c:v>36.111111111111114</c:v>
                </c:pt>
                <c:pt idx="3">
                  <c:v>19.444444444444446</c:v>
                </c:pt>
                <c:pt idx="4">
                  <c:v>8.3333333333333339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1DB9-4425-AECC-E04AB547AB4B}"/>
            </c:ext>
          </c:extLst>
        </c:ser>
        <c:ser>
          <c:idx val="2"/>
          <c:order val="2"/>
          <c:tx>
            <c:strRef>
              <c:f>'S Table 3 - raw data - T. cas'!$D$64</c:f>
              <c:strCache>
                <c:ptCount val="1"/>
                <c:pt idx="0">
                  <c:v>0,1 ng/µl</c:v>
                </c:pt>
              </c:strCache>
            </c:strRef>
          </c:tx>
          <c:spPr>
            <a:ln w="1270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circl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cas'!$BR$64:$BY$64</c:f>
              <c:numCache>
                <c:formatCode>General</c:formatCode>
                <c:ptCount val="8"/>
                <c:pt idx="0">
                  <c:v>100</c:v>
                </c:pt>
                <c:pt idx="1">
                  <c:v>77.777777777777786</c:v>
                </c:pt>
                <c:pt idx="2">
                  <c:v>63.888888888888893</c:v>
                </c:pt>
                <c:pt idx="3">
                  <c:v>47.222222222222229</c:v>
                </c:pt>
                <c:pt idx="4">
                  <c:v>25</c:v>
                </c:pt>
                <c:pt idx="5">
                  <c:v>16.666666666666668</c:v>
                </c:pt>
                <c:pt idx="6">
                  <c:v>11.111111111111112</c:v>
                </c:pt>
                <c:pt idx="7">
                  <c:v>11.111111111111112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1DB9-4425-AECC-E04AB547AB4B}"/>
            </c:ext>
          </c:extLst>
        </c:ser>
        <c:ser>
          <c:idx val="3"/>
          <c:order val="3"/>
          <c:tx>
            <c:strRef>
              <c:f>'S Table 3 - raw data - T. cas'!$D$65</c:f>
              <c:strCache>
                <c:ptCount val="1"/>
                <c:pt idx="0">
                  <c:v>0,01 ng/µl</c:v>
                </c:pt>
              </c:strCache>
            </c:strRef>
          </c:tx>
          <c:spPr>
            <a:ln w="12700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cas'!$BR$65:$BY$65</c:f>
              <c:numCache>
                <c:formatCode>General</c:formatCode>
                <c:ptCount val="8"/>
                <c:pt idx="0">
                  <c:v>100</c:v>
                </c:pt>
                <c:pt idx="1">
                  <c:v>83.333333333333329</c:v>
                </c:pt>
                <c:pt idx="2">
                  <c:v>25</c:v>
                </c:pt>
                <c:pt idx="3">
                  <c:v>25</c:v>
                </c:pt>
                <c:pt idx="4">
                  <c:v>5.5555555555555562</c:v>
                </c:pt>
                <c:pt idx="5">
                  <c:v>5.5555555555555562</c:v>
                </c:pt>
                <c:pt idx="6">
                  <c:v>5.5555555555555562</c:v>
                </c:pt>
                <c:pt idx="7">
                  <c:v>2.7777777777777781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1DB9-4425-AECC-E04AB547AB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3192048"/>
        <c:axId val="747229144"/>
      </c:lineChart>
      <c:catAx>
        <c:axId val="7431920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Titel</a:t>
                </a:r>
              </a:p>
            </c:rich>
          </c:tx>
          <c:layout>
            <c:manualLayout>
              <c:xMode val="edge"/>
              <c:yMode val="edge"/>
              <c:x val="0.29913617818317795"/>
              <c:y val="0.828734648805826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7229144"/>
        <c:crosses val="autoZero"/>
        <c:auto val="1"/>
        <c:lblAlgn val="ctr"/>
        <c:lblOffset val="100"/>
        <c:noMultiLvlLbl val="0"/>
      </c:catAx>
      <c:valAx>
        <c:axId val="747229144"/>
        <c:scaling>
          <c:orientation val="minMax"/>
          <c:max val="1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Titel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192048"/>
        <c:crosses val="autoZero"/>
        <c:crossBetween val="midCat"/>
        <c:majorUnit val="25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6818782831484205"/>
          <c:y val="0.30183335351728074"/>
          <c:w val="0.34217754564909031"/>
          <c:h val="0.558237199145242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600">
          <a:solidFill>
            <a:sysClr val="windowText" lastClr="000000"/>
          </a:solidFill>
        </a:defRPr>
      </a:pPr>
      <a:endParaRPr lang="en-US"/>
    </a:p>
  </c:txPr>
  <c:printSettings>
    <c:headerFooter/>
    <c:pageMargins b="0.78740157499999996" l="0.7" r="0.7" t="0.78740157499999996" header="0.3" footer="0.3"/>
    <c:pageSetup/>
  </c:printSettings>
  <c:userShapes r:id="rId4"/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strRef>
          <c:f>'S Table 3 - raw data - T. cas'!$C$66:$C$69</c:f>
          <c:strCache>
            <c:ptCount val="4"/>
            <c:pt idx="0">
              <c:v>fkh</c:v>
            </c:pt>
          </c:strCache>
        </c:strRef>
      </c:tx>
      <c:layout>
        <c:manualLayout>
          <c:xMode val="edge"/>
          <c:yMode val="edge"/>
          <c:x val="0.69915718404589744"/>
          <c:y val="6.61512598038641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2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707952411797022"/>
          <c:y val="9.7191566495689094E-2"/>
          <c:w val="0.38980616803333429"/>
          <c:h val="0.5946269029881357"/>
        </c:manualLayout>
      </c:layout>
      <c:lineChart>
        <c:grouping val="standard"/>
        <c:varyColors val="0"/>
        <c:ser>
          <c:idx val="0"/>
          <c:order val="0"/>
          <c:tx>
            <c:strRef>
              <c:f>'S Table 3 - raw data - T. cas'!$D$66</c:f>
              <c:strCache>
                <c:ptCount val="1"/>
                <c:pt idx="0">
                  <c:v>250 ng/µl</c:v>
                </c:pt>
              </c:strCache>
            </c:strRef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diamond"/>
            <c:size val="2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cas'!$BR$66:$BY$66</c:f>
              <c:numCache>
                <c:formatCode>General</c:formatCode>
                <c:ptCount val="8"/>
                <c:pt idx="0">
                  <c:v>100</c:v>
                </c:pt>
                <c:pt idx="1">
                  <c:v>80.555555555555557</c:v>
                </c:pt>
                <c:pt idx="2">
                  <c:v>47.222222222222229</c:v>
                </c:pt>
                <c:pt idx="3">
                  <c:v>5.5555555555555562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382-4C7F-827A-A6171B0A90AC}"/>
            </c:ext>
          </c:extLst>
        </c:ser>
        <c:ser>
          <c:idx val="1"/>
          <c:order val="1"/>
          <c:tx>
            <c:strRef>
              <c:f>'S Table 3 - raw data - T. cas'!$D$67</c:f>
              <c:strCache>
                <c:ptCount val="1"/>
                <c:pt idx="0">
                  <c:v>1 ng/µl</c:v>
                </c:pt>
              </c:strCache>
            </c:strRef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squar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cas'!$BR$67:$BY$67</c:f>
              <c:numCache>
                <c:formatCode>General</c:formatCode>
                <c:ptCount val="8"/>
                <c:pt idx="0">
                  <c:v>100</c:v>
                </c:pt>
                <c:pt idx="1">
                  <c:v>88.8888888888889</c:v>
                </c:pt>
                <c:pt idx="2">
                  <c:v>77.777777777777786</c:v>
                </c:pt>
                <c:pt idx="3">
                  <c:v>52.777777777777779</c:v>
                </c:pt>
                <c:pt idx="4">
                  <c:v>44.44444444444445</c:v>
                </c:pt>
                <c:pt idx="5">
                  <c:v>33.333333333333336</c:v>
                </c:pt>
                <c:pt idx="6">
                  <c:v>27.777777777777775</c:v>
                </c:pt>
                <c:pt idx="7">
                  <c:v>22.222222222222225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B382-4C7F-827A-A6171B0A90AC}"/>
            </c:ext>
          </c:extLst>
        </c:ser>
        <c:ser>
          <c:idx val="2"/>
          <c:order val="2"/>
          <c:tx>
            <c:strRef>
              <c:f>'S Table 3 - raw data - T. cas'!$D$68</c:f>
              <c:strCache>
                <c:ptCount val="1"/>
                <c:pt idx="0">
                  <c:v>0,1 ng/µl</c:v>
                </c:pt>
              </c:strCache>
            </c:strRef>
          </c:tx>
          <c:spPr>
            <a:ln w="1270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circl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cas'!$BR$68:$BY$68</c:f>
              <c:numCache>
                <c:formatCode>General</c:formatCode>
                <c:ptCount val="8"/>
                <c:pt idx="0">
                  <c:v>100</c:v>
                </c:pt>
                <c:pt idx="1">
                  <c:v>88.8888888888889</c:v>
                </c:pt>
                <c:pt idx="2">
                  <c:v>75.000000000000014</c:v>
                </c:pt>
                <c:pt idx="3">
                  <c:v>38.888888888888893</c:v>
                </c:pt>
                <c:pt idx="4">
                  <c:v>33.333333333333336</c:v>
                </c:pt>
                <c:pt idx="5">
                  <c:v>33.333333333333336</c:v>
                </c:pt>
                <c:pt idx="6">
                  <c:v>33.333333333333336</c:v>
                </c:pt>
                <c:pt idx="7">
                  <c:v>27.777777777777775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B382-4C7F-827A-A6171B0A90AC}"/>
            </c:ext>
          </c:extLst>
        </c:ser>
        <c:ser>
          <c:idx val="3"/>
          <c:order val="3"/>
          <c:tx>
            <c:strRef>
              <c:f>'S Table 3 - raw data - T. cas'!$D$69</c:f>
              <c:strCache>
                <c:ptCount val="1"/>
                <c:pt idx="0">
                  <c:v>0,01 ng/µl</c:v>
                </c:pt>
              </c:strCache>
            </c:strRef>
          </c:tx>
          <c:spPr>
            <a:ln w="12700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cas'!$BR$69:$BY$69</c:f>
              <c:numCache>
                <c:formatCode>General</c:formatCode>
                <c:ptCount val="8"/>
                <c:pt idx="0">
                  <c:v>100</c:v>
                </c:pt>
                <c:pt idx="1">
                  <c:v>86.111111111111128</c:v>
                </c:pt>
                <c:pt idx="2">
                  <c:v>75.000000000000014</c:v>
                </c:pt>
                <c:pt idx="3">
                  <c:v>55.555555555555564</c:v>
                </c:pt>
                <c:pt idx="4">
                  <c:v>36.111111111111114</c:v>
                </c:pt>
                <c:pt idx="5">
                  <c:v>36.111111111111114</c:v>
                </c:pt>
                <c:pt idx="6">
                  <c:v>33.333333333333336</c:v>
                </c:pt>
                <c:pt idx="7">
                  <c:v>27.777777777777782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B382-4C7F-827A-A6171B0A90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7229928"/>
        <c:axId val="747230320"/>
      </c:lineChart>
      <c:catAx>
        <c:axId val="7472299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Titel</a:t>
                </a:r>
              </a:p>
            </c:rich>
          </c:tx>
          <c:layout>
            <c:manualLayout>
              <c:xMode val="edge"/>
              <c:yMode val="edge"/>
              <c:x val="0.29913617818317795"/>
              <c:y val="0.828734648805826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7230320"/>
        <c:crosses val="autoZero"/>
        <c:auto val="1"/>
        <c:lblAlgn val="ctr"/>
        <c:lblOffset val="100"/>
        <c:noMultiLvlLbl val="0"/>
      </c:catAx>
      <c:valAx>
        <c:axId val="747230320"/>
        <c:scaling>
          <c:orientation val="minMax"/>
          <c:max val="1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Titel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7229928"/>
        <c:crosses val="autoZero"/>
        <c:crossBetween val="midCat"/>
        <c:majorUnit val="25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6818782831484205"/>
          <c:y val="0.30183335351728074"/>
          <c:w val="0.34217754564909031"/>
          <c:h val="0.558237199145242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600">
          <a:solidFill>
            <a:sysClr val="windowText" lastClr="000000"/>
          </a:solidFill>
        </a:defRPr>
      </a:pPr>
      <a:endParaRPr lang="en-US"/>
    </a:p>
  </c:txPr>
  <c:printSettings>
    <c:headerFooter/>
    <c:pageMargins b="0.78740157499999996" l="0.7" r="0.7" t="0.78740157499999996" header="0.3" footer="0.3"/>
    <c:pageSetup/>
  </c:printSettings>
  <c:userShapes r:id="rId4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strRef>
          <c:f>'S Table 3 - raw data - T. cas'!$C$70:$C$73</c:f>
          <c:strCache>
            <c:ptCount val="4"/>
            <c:pt idx="0">
              <c:v>gcm2</c:v>
            </c:pt>
          </c:strCache>
        </c:strRef>
      </c:tx>
      <c:layout>
        <c:manualLayout>
          <c:xMode val="edge"/>
          <c:yMode val="edge"/>
          <c:x val="0.69915718404589744"/>
          <c:y val="6.61512598038641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2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707952411797022"/>
          <c:y val="9.7191566495689094E-2"/>
          <c:w val="0.38980616803333429"/>
          <c:h val="0.5946269029881357"/>
        </c:manualLayout>
      </c:layout>
      <c:lineChart>
        <c:grouping val="standard"/>
        <c:varyColors val="0"/>
        <c:ser>
          <c:idx val="0"/>
          <c:order val="0"/>
          <c:tx>
            <c:strRef>
              <c:f>'S Table 3 - raw data - T. cas'!$D$70</c:f>
              <c:strCache>
                <c:ptCount val="1"/>
                <c:pt idx="0">
                  <c:v>250 ng/µl</c:v>
                </c:pt>
              </c:strCache>
            </c:strRef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diamond"/>
            <c:size val="2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cas'!$BR$70:$BY$70</c:f>
              <c:numCache>
                <c:formatCode>General</c:formatCode>
                <c:ptCount val="8"/>
                <c:pt idx="0">
                  <c:v>100</c:v>
                </c:pt>
                <c:pt idx="1">
                  <c:v>58.333333333333336</c:v>
                </c:pt>
                <c:pt idx="2">
                  <c:v>36.111111111111114</c:v>
                </c:pt>
                <c:pt idx="3">
                  <c:v>11.111111111111112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5A30-4F25-B3CD-E4C1A9575617}"/>
            </c:ext>
          </c:extLst>
        </c:ser>
        <c:ser>
          <c:idx val="1"/>
          <c:order val="1"/>
          <c:tx>
            <c:strRef>
              <c:f>'S Table 3 - raw data - T. cas'!$D$71</c:f>
              <c:strCache>
                <c:ptCount val="1"/>
                <c:pt idx="0">
                  <c:v>1 ng/µl</c:v>
                </c:pt>
              </c:strCache>
            </c:strRef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squar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cas'!$BR$71:$BY$71</c:f>
              <c:numCache>
                <c:formatCode>General</c:formatCode>
                <c:ptCount val="8"/>
                <c:pt idx="0">
                  <c:v>100</c:v>
                </c:pt>
                <c:pt idx="1">
                  <c:v>72.222222222222229</c:v>
                </c:pt>
                <c:pt idx="2">
                  <c:v>66.666666666666671</c:v>
                </c:pt>
                <c:pt idx="3">
                  <c:v>38.888888888888893</c:v>
                </c:pt>
                <c:pt idx="4">
                  <c:v>30.555555555555557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5A30-4F25-B3CD-E4C1A9575617}"/>
            </c:ext>
          </c:extLst>
        </c:ser>
        <c:ser>
          <c:idx val="2"/>
          <c:order val="2"/>
          <c:tx>
            <c:strRef>
              <c:f>'S Table 3 - raw data - T. cas'!$D$72</c:f>
              <c:strCache>
                <c:ptCount val="1"/>
                <c:pt idx="0">
                  <c:v>0,1 ng/µl</c:v>
                </c:pt>
              </c:strCache>
            </c:strRef>
          </c:tx>
          <c:spPr>
            <a:ln w="1270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circl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cas'!$BR$72:$BY$72</c:f>
              <c:numCache>
                <c:formatCode>General</c:formatCode>
                <c:ptCount val="8"/>
                <c:pt idx="0">
                  <c:v>100</c:v>
                </c:pt>
                <c:pt idx="1">
                  <c:v>83.333333333333329</c:v>
                </c:pt>
                <c:pt idx="2">
                  <c:v>61.111111111111114</c:v>
                </c:pt>
                <c:pt idx="3">
                  <c:v>44.44444444444445</c:v>
                </c:pt>
                <c:pt idx="4">
                  <c:v>38.888888888888893</c:v>
                </c:pt>
                <c:pt idx="5">
                  <c:v>33.333333333333336</c:v>
                </c:pt>
                <c:pt idx="6">
                  <c:v>33.333333333333336</c:v>
                </c:pt>
                <c:pt idx="7">
                  <c:v>33.333333333333336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5A30-4F25-B3CD-E4C1A9575617}"/>
            </c:ext>
          </c:extLst>
        </c:ser>
        <c:ser>
          <c:idx val="3"/>
          <c:order val="3"/>
          <c:tx>
            <c:strRef>
              <c:f>'S Table 3 - raw data - T. cas'!$D$73</c:f>
              <c:strCache>
                <c:ptCount val="1"/>
                <c:pt idx="0">
                  <c:v>0,01 ng/µl</c:v>
                </c:pt>
              </c:strCache>
            </c:strRef>
          </c:tx>
          <c:spPr>
            <a:ln w="12700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cas'!$BR$73:$BY$73</c:f>
              <c:numCache>
                <c:formatCode>General</c:formatCode>
                <c:ptCount val="8"/>
                <c:pt idx="0">
                  <c:v>100</c:v>
                </c:pt>
                <c:pt idx="1">
                  <c:v>86.111111111111128</c:v>
                </c:pt>
                <c:pt idx="2">
                  <c:v>69.444444444444457</c:v>
                </c:pt>
                <c:pt idx="3">
                  <c:v>61.111111111111114</c:v>
                </c:pt>
                <c:pt idx="4">
                  <c:v>55.555555555555564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5A30-4F25-B3CD-E4C1A95756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9069928"/>
        <c:axId val="549070320"/>
      </c:lineChart>
      <c:catAx>
        <c:axId val="5490699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Titel</a:t>
                </a:r>
              </a:p>
            </c:rich>
          </c:tx>
          <c:layout>
            <c:manualLayout>
              <c:xMode val="edge"/>
              <c:yMode val="edge"/>
              <c:x val="0.29913617818317795"/>
              <c:y val="0.828734648805826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9070320"/>
        <c:crosses val="autoZero"/>
        <c:auto val="1"/>
        <c:lblAlgn val="ctr"/>
        <c:lblOffset val="100"/>
        <c:noMultiLvlLbl val="0"/>
      </c:catAx>
      <c:valAx>
        <c:axId val="549070320"/>
        <c:scaling>
          <c:orientation val="minMax"/>
          <c:max val="1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Titel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9069928"/>
        <c:crosses val="autoZero"/>
        <c:crossBetween val="midCat"/>
        <c:majorUnit val="25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6818782831484205"/>
          <c:y val="0.30183335351728074"/>
          <c:w val="0.34217754564909031"/>
          <c:h val="0.558237199145242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600">
          <a:solidFill>
            <a:sysClr val="windowText" lastClr="000000"/>
          </a:solidFill>
        </a:defRPr>
      </a:pPr>
      <a:endParaRPr lang="en-US"/>
    </a:p>
  </c:txPr>
  <c:printSettings>
    <c:headerFooter/>
    <c:pageMargins b="0.78740157499999996" l="0.7" r="0.7" t="0.78740157499999996" header="0.3" footer="0.3"/>
    <c:pageSetup/>
  </c:printSettings>
  <c:userShapes r:id="rId4"/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strRef>
          <c:f>'S Table 3 - raw data - T. cas'!$C$74:$C$77</c:f>
          <c:strCache>
            <c:ptCount val="4"/>
            <c:pt idx="0">
              <c:v>Hsc70-3</c:v>
            </c:pt>
          </c:strCache>
        </c:strRef>
      </c:tx>
      <c:layout>
        <c:manualLayout>
          <c:xMode val="edge"/>
          <c:yMode val="edge"/>
          <c:x val="0.69915718404589744"/>
          <c:y val="6.61512598038641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2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707952411797022"/>
          <c:y val="9.7191566495689094E-2"/>
          <c:w val="0.38980616803333429"/>
          <c:h val="0.5946269029881357"/>
        </c:manualLayout>
      </c:layout>
      <c:lineChart>
        <c:grouping val="standard"/>
        <c:varyColors val="0"/>
        <c:ser>
          <c:idx val="0"/>
          <c:order val="0"/>
          <c:tx>
            <c:strRef>
              <c:f>'S Table 3 - raw data - T. cas'!$D$74</c:f>
              <c:strCache>
                <c:ptCount val="1"/>
                <c:pt idx="0">
                  <c:v>250 ng/µl</c:v>
                </c:pt>
              </c:strCache>
            </c:strRef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diamond"/>
            <c:size val="2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cas'!$BR$74:$BY$74</c:f>
              <c:numCache>
                <c:formatCode>General</c:formatCode>
                <c:ptCount val="8"/>
                <c:pt idx="0">
                  <c:v>100</c:v>
                </c:pt>
                <c:pt idx="1">
                  <c:v>86.111111111111128</c:v>
                </c:pt>
                <c:pt idx="2">
                  <c:v>50</c:v>
                </c:pt>
                <c:pt idx="3">
                  <c:v>13.888888888888891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7904-46BD-878D-37C3CF1BA044}"/>
            </c:ext>
          </c:extLst>
        </c:ser>
        <c:ser>
          <c:idx val="1"/>
          <c:order val="1"/>
          <c:tx>
            <c:strRef>
              <c:f>'S Table 3 - raw data - T. cas'!$D$75</c:f>
              <c:strCache>
                <c:ptCount val="1"/>
                <c:pt idx="0">
                  <c:v>1 ng/µl</c:v>
                </c:pt>
              </c:strCache>
            </c:strRef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squar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cas'!$BR$75:$BY$75</c:f>
              <c:numCache>
                <c:formatCode>General</c:formatCode>
                <c:ptCount val="8"/>
                <c:pt idx="0">
                  <c:v>100</c:v>
                </c:pt>
                <c:pt idx="1">
                  <c:v>86.111111111111128</c:v>
                </c:pt>
                <c:pt idx="2">
                  <c:v>69.444444444444443</c:v>
                </c:pt>
                <c:pt idx="3">
                  <c:v>41.666666666666664</c:v>
                </c:pt>
                <c:pt idx="4">
                  <c:v>16.666666666666668</c:v>
                </c:pt>
                <c:pt idx="5">
                  <c:v>8.3333333333333339</c:v>
                </c:pt>
                <c:pt idx="6">
                  <c:v>8.3333333333333339</c:v>
                </c:pt>
                <c:pt idx="7">
                  <c:v>5.5555555555555562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7904-46BD-878D-37C3CF1BA044}"/>
            </c:ext>
          </c:extLst>
        </c:ser>
        <c:ser>
          <c:idx val="2"/>
          <c:order val="2"/>
          <c:tx>
            <c:strRef>
              <c:f>'S Table 3 - raw data - T. cas'!$D$76</c:f>
              <c:strCache>
                <c:ptCount val="1"/>
                <c:pt idx="0">
                  <c:v>0,1 ng/µl</c:v>
                </c:pt>
              </c:strCache>
            </c:strRef>
          </c:tx>
          <c:spPr>
            <a:ln w="1270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circl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cas'!$BR$76:$BY$76</c:f>
              <c:numCache>
                <c:formatCode>General</c:formatCode>
                <c:ptCount val="8"/>
                <c:pt idx="0">
                  <c:v>100</c:v>
                </c:pt>
                <c:pt idx="1">
                  <c:v>91.666666666666671</c:v>
                </c:pt>
                <c:pt idx="2">
                  <c:v>88.8888888888889</c:v>
                </c:pt>
                <c:pt idx="3">
                  <c:v>83.333333333333329</c:v>
                </c:pt>
                <c:pt idx="4">
                  <c:v>72.222222222222229</c:v>
                </c:pt>
                <c:pt idx="5">
                  <c:v>66.666666666666671</c:v>
                </c:pt>
                <c:pt idx="6">
                  <c:v>63.888888888888893</c:v>
                </c:pt>
                <c:pt idx="7">
                  <c:v>63.888888888888893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7904-46BD-878D-37C3CF1BA044}"/>
            </c:ext>
          </c:extLst>
        </c:ser>
        <c:ser>
          <c:idx val="3"/>
          <c:order val="3"/>
          <c:tx>
            <c:strRef>
              <c:f>'S Table 3 - raw data - T. cas'!$D$77</c:f>
              <c:strCache>
                <c:ptCount val="1"/>
                <c:pt idx="0">
                  <c:v>0,01 ng/µl</c:v>
                </c:pt>
              </c:strCache>
            </c:strRef>
          </c:tx>
          <c:spPr>
            <a:ln w="12700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cas'!$BR$77:$BY$77</c:f>
              <c:numCache>
                <c:formatCode>General</c:formatCode>
                <c:ptCount val="8"/>
                <c:pt idx="0">
                  <c:v>100</c:v>
                </c:pt>
                <c:pt idx="1">
                  <c:v>91.666666666666671</c:v>
                </c:pt>
                <c:pt idx="2">
                  <c:v>94.444444444444457</c:v>
                </c:pt>
                <c:pt idx="3">
                  <c:v>91.666666666666671</c:v>
                </c:pt>
                <c:pt idx="4">
                  <c:v>88.8888888888889</c:v>
                </c:pt>
                <c:pt idx="5">
                  <c:v>83.333333333333343</c:v>
                </c:pt>
                <c:pt idx="6">
                  <c:v>83.333333333333343</c:v>
                </c:pt>
                <c:pt idx="7">
                  <c:v>83.333333333333343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7904-46BD-878D-37C3CF1BA0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3338408"/>
        <c:axId val="743338800"/>
      </c:lineChart>
      <c:catAx>
        <c:axId val="7433384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Titel</a:t>
                </a:r>
              </a:p>
            </c:rich>
          </c:tx>
          <c:layout>
            <c:manualLayout>
              <c:xMode val="edge"/>
              <c:yMode val="edge"/>
              <c:x val="0.29913617818317795"/>
              <c:y val="0.828734648805826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338800"/>
        <c:crosses val="autoZero"/>
        <c:auto val="1"/>
        <c:lblAlgn val="ctr"/>
        <c:lblOffset val="100"/>
        <c:noMultiLvlLbl val="0"/>
      </c:catAx>
      <c:valAx>
        <c:axId val="743338800"/>
        <c:scaling>
          <c:orientation val="minMax"/>
          <c:max val="1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Titel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338408"/>
        <c:crosses val="autoZero"/>
        <c:crossBetween val="midCat"/>
        <c:majorUnit val="25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6818782831484205"/>
          <c:y val="0.30183335351728074"/>
          <c:w val="0.34217754564909031"/>
          <c:h val="0.558237199145242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600">
          <a:solidFill>
            <a:sysClr val="windowText" lastClr="000000"/>
          </a:solidFill>
        </a:defRPr>
      </a:pPr>
      <a:endParaRPr lang="en-US"/>
    </a:p>
  </c:txPr>
  <c:printSettings>
    <c:headerFooter/>
    <c:pageMargins b="0.78740157499999996" l="0.7" r="0.7" t="0.78740157499999996" header="0.3" footer="0.3"/>
    <c:pageSetup/>
  </c:printSettings>
  <c:userShapes r:id="rId4"/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strRef>
          <c:f>'S Table 3 - raw data - T. cas'!$C$78:$C$81</c:f>
          <c:strCache>
            <c:ptCount val="4"/>
            <c:pt idx="0">
              <c:v>Keap1</c:v>
            </c:pt>
          </c:strCache>
        </c:strRef>
      </c:tx>
      <c:layout>
        <c:manualLayout>
          <c:xMode val="edge"/>
          <c:yMode val="edge"/>
          <c:x val="0.69915718404589744"/>
          <c:y val="6.61512598038641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2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707952411797022"/>
          <c:y val="9.7191566495689094E-2"/>
          <c:w val="0.38980616803333429"/>
          <c:h val="0.5946269029881357"/>
        </c:manualLayout>
      </c:layout>
      <c:lineChart>
        <c:grouping val="standard"/>
        <c:varyColors val="0"/>
        <c:ser>
          <c:idx val="0"/>
          <c:order val="0"/>
          <c:tx>
            <c:strRef>
              <c:f>'S Table 3 - raw data - T. cas'!$D$78</c:f>
              <c:strCache>
                <c:ptCount val="1"/>
                <c:pt idx="0">
                  <c:v>250 ng/µl</c:v>
                </c:pt>
              </c:strCache>
            </c:strRef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diamond"/>
            <c:size val="2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cas'!$BR$78:$BY$78</c:f>
              <c:numCache>
                <c:formatCode>General</c:formatCode>
                <c:ptCount val="8"/>
                <c:pt idx="0">
                  <c:v>100</c:v>
                </c:pt>
                <c:pt idx="1">
                  <c:v>80.555555555555557</c:v>
                </c:pt>
                <c:pt idx="2">
                  <c:v>72.222222222222229</c:v>
                </c:pt>
                <c:pt idx="3">
                  <c:v>52.777777777777779</c:v>
                </c:pt>
                <c:pt idx="4">
                  <c:v>22.222222222222225</c:v>
                </c:pt>
                <c:pt idx="5">
                  <c:v>2.7777777777777781</c:v>
                </c:pt>
                <c:pt idx="6">
                  <c:v>2.7777777777777781</c:v>
                </c:pt>
                <c:pt idx="7">
                  <c:v>2.7777777777777781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39E-4376-A56E-DC459BFD49FB}"/>
            </c:ext>
          </c:extLst>
        </c:ser>
        <c:ser>
          <c:idx val="1"/>
          <c:order val="1"/>
          <c:tx>
            <c:strRef>
              <c:f>'S Table 3 - raw data - T. cas'!$D$79</c:f>
              <c:strCache>
                <c:ptCount val="1"/>
                <c:pt idx="0">
                  <c:v>1 ng/µl</c:v>
                </c:pt>
              </c:strCache>
            </c:strRef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squar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cas'!$BR$79:$BY$79</c:f>
              <c:numCache>
                <c:formatCode>General</c:formatCode>
                <c:ptCount val="8"/>
                <c:pt idx="0">
                  <c:v>100</c:v>
                </c:pt>
                <c:pt idx="1">
                  <c:v>80.555555555555557</c:v>
                </c:pt>
                <c:pt idx="2">
                  <c:v>72.222222222222229</c:v>
                </c:pt>
                <c:pt idx="3">
                  <c:v>52.777777777777779</c:v>
                </c:pt>
                <c:pt idx="4">
                  <c:v>27.777777777777782</c:v>
                </c:pt>
                <c:pt idx="5">
                  <c:v>13.888888888888891</c:v>
                </c:pt>
                <c:pt idx="6">
                  <c:v>5.5555555555555562</c:v>
                </c:pt>
                <c:pt idx="7">
                  <c:v>2.7777777777777781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D39E-4376-A56E-DC459BFD49FB}"/>
            </c:ext>
          </c:extLst>
        </c:ser>
        <c:ser>
          <c:idx val="2"/>
          <c:order val="2"/>
          <c:tx>
            <c:strRef>
              <c:f>'S Table 3 - raw data - T. cas'!$D$80</c:f>
              <c:strCache>
                <c:ptCount val="1"/>
                <c:pt idx="0">
                  <c:v>0,1 ng/µl</c:v>
                </c:pt>
              </c:strCache>
            </c:strRef>
          </c:tx>
          <c:spPr>
            <a:ln w="1270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circl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cas'!$BR$80:$BY$80</c:f>
              <c:numCache>
                <c:formatCode>General</c:formatCode>
                <c:ptCount val="8"/>
                <c:pt idx="0">
                  <c:v>100</c:v>
                </c:pt>
                <c:pt idx="1">
                  <c:v>86.111111111111128</c:v>
                </c:pt>
                <c:pt idx="2">
                  <c:v>86.111111111111128</c:v>
                </c:pt>
                <c:pt idx="3">
                  <c:v>61.111111111111114</c:v>
                </c:pt>
                <c:pt idx="4">
                  <c:v>36.111111111111114</c:v>
                </c:pt>
                <c:pt idx="5">
                  <c:v>13.888888888888891</c:v>
                </c:pt>
                <c:pt idx="6">
                  <c:v>11.111111111111112</c:v>
                </c:pt>
                <c:pt idx="7">
                  <c:v>2.7777777777777781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D39E-4376-A56E-DC459BFD49FB}"/>
            </c:ext>
          </c:extLst>
        </c:ser>
        <c:ser>
          <c:idx val="3"/>
          <c:order val="3"/>
          <c:tx>
            <c:strRef>
              <c:f>'S Table 3 - raw data - T. cas'!$D$81</c:f>
              <c:strCache>
                <c:ptCount val="1"/>
                <c:pt idx="0">
                  <c:v>0,01 ng/µl</c:v>
                </c:pt>
              </c:strCache>
            </c:strRef>
          </c:tx>
          <c:spPr>
            <a:ln w="12700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cas'!$BR$81:$BY$81</c:f>
              <c:numCache>
                <c:formatCode>General</c:formatCode>
                <c:ptCount val="8"/>
                <c:pt idx="0">
                  <c:v>100</c:v>
                </c:pt>
                <c:pt idx="1">
                  <c:v>86.111111111111128</c:v>
                </c:pt>
                <c:pt idx="2">
                  <c:v>83.333333333333343</c:v>
                </c:pt>
                <c:pt idx="3">
                  <c:v>63.888888888888893</c:v>
                </c:pt>
                <c:pt idx="4">
                  <c:v>33.333333333333336</c:v>
                </c:pt>
                <c:pt idx="5">
                  <c:v>16.666666666666668</c:v>
                </c:pt>
                <c:pt idx="6">
                  <c:v>16.666666666666668</c:v>
                </c:pt>
                <c:pt idx="7">
                  <c:v>16.666666666666668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D39E-4376-A56E-DC459BFD49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3339584"/>
        <c:axId val="549674768"/>
      </c:lineChart>
      <c:catAx>
        <c:axId val="7433395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Titel</a:t>
                </a:r>
              </a:p>
            </c:rich>
          </c:tx>
          <c:layout>
            <c:manualLayout>
              <c:xMode val="edge"/>
              <c:yMode val="edge"/>
              <c:x val="0.29913617818317795"/>
              <c:y val="0.828734648805826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9674768"/>
        <c:crosses val="autoZero"/>
        <c:auto val="1"/>
        <c:lblAlgn val="ctr"/>
        <c:lblOffset val="100"/>
        <c:noMultiLvlLbl val="0"/>
      </c:catAx>
      <c:valAx>
        <c:axId val="549674768"/>
        <c:scaling>
          <c:orientation val="minMax"/>
          <c:max val="1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Titel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339584"/>
        <c:crosses val="autoZero"/>
        <c:crossBetween val="midCat"/>
        <c:majorUnit val="25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6818782831484205"/>
          <c:y val="0.30183335351728074"/>
          <c:w val="0.34217754564909031"/>
          <c:h val="0.558237199145242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600">
          <a:solidFill>
            <a:sysClr val="windowText" lastClr="000000"/>
          </a:solidFill>
        </a:defRPr>
      </a:pPr>
      <a:endParaRPr lang="en-US"/>
    </a:p>
  </c:txPr>
  <c:printSettings>
    <c:headerFooter/>
    <c:pageMargins b="0.78740157499999996" l="0.7" r="0.7" t="0.78740157499999996" header="0.3" footer="0.3"/>
    <c:pageSetup/>
  </c:printSettings>
  <c:userShapes r:id="rId4"/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strRef>
          <c:f>'S Table 3 - raw data - T. cas'!$C$82:$C$85</c:f>
          <c:strCache>
            <c:ptCount val="4"/>
            <c:pt idx="0">
              <c:v>Klp61F</c:v>
            </c:pt>
          </c:strCache>
        </c:strRef>
      </c:tx>
      <c:layout>
        <c:manualLayout>
          <c:xMode val="edge"/>
          <c:yMode val="edge"/>
          <c:x val="0.69915718404589744"/>
          <c:y val="6.61512598038641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2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707952411797022"/>
          <c:y val="9.7191566495689094E-2"/>
          <c:w val="0.38980616803333429"/>
          <c:h val="0.5946269029881357"/>
        </c:manualLayout>
      </c:layout>
      <c:lineChart>
        <c:grouping val="standard"/>
        <c:varyColors val="0"/>
        <c:ser>
          <c:idx val="0"/>
          <c:order val="0"/>
          <c:tx>
            <c:strRef>
              <c:f>'S Table 3 - raw data - T. cas'!$D$86</c:f>
              <c:strCache>
                <c:ptCount val="1"/>
                <c:pt idx="0">
                  <c:v>250 ng/µl</c:v>
                </c:pt>
              </c:strCache>
            </c:strRef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diamond"/>
            <c:size val="2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cas'!$BR$86:$BY$86</c:f>
              <c:numCache>
                <c:formatCode>General</c:formatCode>
                <c:ptCount val="8"/>
                <c:pt idx="0">
                  <c:v>100</c:v>
                </c:pt>
                <c:pt idx="1">
                  <c:v>55.555555555555564</c:v>
                </c:pt>
                <c:pt idx="2">
                  <c:v>25</c:v>
                </c:pt>
                <c:pt idx="3">
                  <c:v>13.888888888888891</c:v>
                </c:pt>
                <c:pt idx="4">
                  <c:v>2.7777777777777781</c:v>
                </c:pt>
                <c:pt idx="5">
                  <c:v>2.7777777777777781</c:v>
                </c:pt>
                <c:pt idx="6">
                  <c:v>2.7777777777777781</c:v>
                </c:pt>
                <c:pt idx="7">
                  <c:v>2.7777777777777781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5848-4893-87E1-355A6A333722}"/>
            </c:ext>
          </c:extLst>
        </c:ser>
        <c:ser>
          <c:idx val="1"/>
          <c:order val="1"/>
          <c:tx>
            <c:strRef>
              <c:f>'S Table 3 - raw data - T. cas'!$D$87</c:f>
              <c:strCache>
                <c:ptCount val="1"/>
                <c:pt idx="0">
                  <c:v>1 ng/µl</c:v>
                </c:pt>
              </c:strCache>
            </c:strRef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squar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cas'!$BR$87:$BY$87</c:f>
              <c:numCache>
                <c:formatCode>General</c:formatCode>
                <c:ptCount val="8"/>
                <c:pt idx="0">
                  <c:v>100</c:v>
                </c:pt>
                <c:pt idx="1">
                  <c:v>75</c:v>
                </c:pt>
                <c:pt idx="2">
                  <c:v>55.555555555555564</c:v>
                </c:pt>
                <c:pt idx="3">
                  <c:v>52.777777777777779</c:v>
                </c:pt>
                <c:pt idx="4">
                  <c:v>19.444444444444446</c:v>
                </c:pt>
                <c:pt idx="5">
                  <c:v>16.666666666666668</c:v>
                </c:pt>
                <c:pt idx="6">
                  <c:v>11.111111111111112</c:v>
                </c:pt>
                <c:pt idx="7">
                  <c:v>11.111111111111112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5848-4893-87E1-355A6A333722}"/>
            </c:ext>
          </c:extLst>
        </c:ser>
        <c:ser>
          <c:idx val="2"/>
          <c:order val="2"/>
          <c:tx>
            <c:strRef>
              <c:f>'S Table 3 - raw data - T. cas'!$D$88</c:f>
              <c:strCache>
                <c:ptCount val="1"/>
                <c:pt idx="0">
                  <c:v>0,1 ng/µl</c:v>
                </c:pt>
              </c:strCache>
            </c:strRef>
          </c:tx>
          <c:spPr>
            <a:ln w="1270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circl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cas'!$BR$88:$BY$88</c:f>
              <c:numCache>
                <c:formatCode>General</c:formatCode>
                <c:ptCount val="8"/>
                <c:pt idx="0">
                  <c:v>100</c:v>
                </c:pt>
                <c:pt idx="1">
                  <c:v>83.333333333333343</c:v>
                </c:pt>
                <c:pt idx="2">
                  <c:v>80.555555555555557</c:v>
                </c:pt>
                <c:pt idx="3">
                  <c:v>75</c:v>
                </c:pt>
                <c:pt idx="4">
                  <c:v>66.666666666666671</c:v>
                </c:pt>
                <c:pt idx="5">
                  <c:v>63.888888888888893</c:v>
                </c:pt>
                <c:pt idx="6">
                  <c:v>63.888888888888893</c:v>
                </c:pt>
                <c:pt idx="7">
                  <c:v>63.888888888888893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5848-4893-87E1-355A6A333722}"/>
            </c:ext>
          </c:extLst>
        </c:ser>
        <c:ser>
          <c:idx val="3"/>
          <c:order val="3"/>
          <c:tx>
            <c:strRef>
              <c:f>'S Table 3 - raw data - T. cas'!$D$89</c:f>
              <c:strCache>
                <c:ptCount val="1"/>
                <c:pt idx="0">
                  <c:v>0,01 ng/µl</c:v>
                </c:pt>
              </c:strCache>
            </c:strRef>
          </c:tx>
          <c:spPr>
            <a:ln w="12700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cas'!$BR$89:$BY$89</c:f>
              <c:numCache>
                <c:formatCode>General</c:formatCode>
                <c:ptCount val="8"/>
                <c:pt idx="0">
                  <c:v>100</c:v>
                </c:pt>
                <c:pt idx="1">
                  <c:v>80.555555555555557</c:v>
                </c:pt>
                <c:pt idx="2">
                  <c:v>75</c:v>
                </c:pt>
                <c:pt idx="3">
                  <c:v>72.222222222222229</c:v>
                </c:pt>
                <c:pt idx="4">
                  <c:v>69.444444444444457</c:v>
                </c:pt>
                <c:pt idx="5">
                  <c:v>66.666666666666671</c:v>
                </c:pt>
                <c:pt idx="6">
                  <c:v>66.666666666666671</c:v>
                </c:pt>
                <c:pt idx="7">
                  <c:v>66.666666666666671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5848-4893-87E1-355A6A3337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9675944"/>
        <c:axId val="549676336"/>
      </c:lineChart>
      <c:catAx>
        <c:axId val="5496759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Titel</a:t>
                </a:r>
              </a:p>
            </c:rich>
          </c:tx>
          <c:layout>
            <c:manualLayout>
              <c:xMode val="edge"/>
              <c:yMode val="edge"/>
              <c:x val="0.29913617818317795"/>
              <c:y val="0.828734648805826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9676336"/>
        <c:crosses val="autoZero"/>
        <c:auto val="1"/>
        <c:lblAlgn val="ctr"/>
        <c:lblOffset val="100"/>
        <c:noMultiLvlLbl val="0"/>
      </c:catAx>
      <c:valAx>
        <c:axId val="549676336"/>
        <c:scaling>
          <c:orientation val="minMax"/>
          <c:max val="1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Titel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9675944"/>
        <c:crosses val="autoZero"/>
        <c:crossBetween val="midCat"/>
        <c:majorUnit val="25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6818782831484205"/>
          <c:y val="0.30183335351728074"/>
          <c:w val="0.34217754564909031"/>
          <c:h val="0.558237199145242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600">
          <a:solidFill>
            <a:sysClr val="windowText" lastClr="000000"/>
          </a:solidFill>
        </a:defRPr>
      </a:pPr>
      <a:endParaRPr lang="en-US"/>
    </a:p>
  </c:txPr>
  <c:printSettings>
    <c:headerFooter/>
    <c:pageMargins b="0.78740157499999996" l="0.7" r="0.7" t="0.78740157499999996" header="0.3" footer="0.3"/>
    <c:pageSetup/>
  </c:printSettings>
  <c:userShapes r:id="rId4"/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strRef>
          <c:f>'S Table 3 - raw data - T. cas'!$C$94:$C$97</c:f>
          <c:strCache>
            <c:ptCount val="4"/>
            <c:pt idx="0">
              <c:v>MED17</c:v>
            </c:pt>
          </c:strCache>
        </c:strRef>
      </c:tx>
      <c:layout>
        <c:manualLayout>
          <c:xMode val="edge"/>
          <c:yMode val="edge"/>
          <c:x val="0.69915718404589744"/>
          <c:y val="6.61512598038641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2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707952411797022"/>
          <c:y val="9.7191566495689094E-2"/>
          <c:w val="0.38980616803333429"/>
          <c:h val="0.5946269029881357"/>
        </c:manualLayout>
      </c:layout>
      <c:lineChart>
        <c:grouping val="standard"/>
        <c:varyColors val="0"/>
        <c:ser>
          <c:idx val="0"/>
          <c:order val="0"/>
          <c:tx>
            <c:strRef>
              <c:f>'S Table 3 - raw data - T. cas'!$D$94</c:f>
              <c:strCache>
                <c:ptCount val="1"/>
                <c:pt idx="0">
                  <c:v>250 ng/µl</c:v>
                </c:pt>
              </c:strCache>
            </c:strRef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diamond"/>
            <c:size val="2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cas'!$BR$94:$BY$94</c:f>
              <c:numCache>
                <c:formatCode>General</c:formatCode>
                <c:ptCount val="8"/>
                <c:pt idx="0">
                  <c:v>100</c:v>
                </c:pt>
                <c:pt idx="1">
                  <c:v>100</c:v>
                </c:pt>
                <c:pt idx="2">
                  <c:v>62.142857142857146</c:v>
                </c:pt>
                <c:pt idx="3">
                  <c:v>46.666666666666664</c:v>
                </c:pt>
                <c:pt idx="4">
                  <c:v>27.142857142857142</c:v>
                </c:pt>
                <c:pt idx="5">
                  <c:v>17.380952380952383</c:v>
                </c:pt>
                <c:pt idx="6">
                  <c:v>15</c:v>
                </c:pt>
                <c:pt idx="7">
                  <c:v>6.666666666666667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92BF-4EA3-8B39-86CCA566A0DB}"/>
            </c:ext>
          </c:extLst>
        </c:ser>
        <c:ser>
          <c:idx val="1"/>
          <c:order val="1"/>
          <c:tx>
            <c:strRef>
              <c:f>'S Table 3 - raw data - T. cas'!$D$95</c:f>
              <c:strCache>
                <c:ptCount val="1"/>
                <c:pt idx="0">
                  <c:v>1 ng/µl</c:v>
                </c:pt>
              </c:strCache>
            </c:strRef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squar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cas'!$BR$95:$BY$95</c:f>
              <c:numCache>
                <c:formatCode>General</c:formatCode>
                <c:ptCount val="8"/>
                <c:pt idx="0">
                  <c:v>100</c:v>
                </c:pt>
                <c:pt idx="1">
                  <c:v>94.191919191919212</c:v>
                </c:pt>
                <c:pt idx="2">
                  <c:v>67.443667443667451</c:v>
                </c:pt>
                <c:pt idx="3">
                  <c:v>33.236208236208235</c:v>
                </c:pt>
                <c:pt idx="4">
                  <c:v>19.774669774669775</c:v>
                </c:pt>
                <c:pt idx="5">
                  <c:v>5.8080808080808088</c:v>
                </c:pt>
                <c:pt idx="6">
                  <c:v>2.7777777777777781</c:v>
                </c:pt>
                <c:pt idx="7">
                  <c:v>2.7777777777777781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92BF-4EA3-8B39-86CCA566A0DB}"/>
            </c:ext>
          </c:extLst>
        </c:ser>
        <c:ser>
          <c:idx val="2"/>
          <c:order val="2"/>
          <c:tx>
            <c:strRef>
              <c:f>'S Table 3 - raw data - T. cas'!$D$96</c:f>
              <c:strCache>
                <c:ptCount val="1"/>
                <c:pt idx="0">
                  <c:v>0,1 ng/µl</c:v>
                </c:pt>
              </c:strCache>
            </c:strRef>
          </c:tx>
          <c:spPr>
            <a:ln w="1270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circl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cas'!$BR$96:$BY$96</c:f>
              <c:numCache>
                <c:formatCode>General</c:formatCode>
                <c:ptCount val="8"/>
                <c:pt idx="0">
                  <c:v>100</c:v>
                </c:pt>
                <c:pt idx="1">
                  <c:v>94.405594405594414</c:v>
                </c:pt>
                <c:pt idx="2">
                  <c:v>88.344988344988337</c:v>
                </c:pt>
                <c:pt idx="3">
                  <c:v>73.053613053613049</c:v>
                </c:pt>
                <c:pt idx="4">
                  <c:v>65.361305361305355</c:v>
                </c:pt>
                <c:pt idx="5">
                  <c:v>47.202797202797207</c:v>
                </c:pt>
                <c:pt idx="6">
                  <c:v>41.142191142191145</c:v>
                </c:pt>
                <c:pt idx="7">
                  <c:v>36.01398601398602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92BF-4EA3-8B39-86CCA566A0DB}"/>
            </c:ext>
          </c:extLst>
        </c:ser>
        <c:ser>
          <c:idx val="3"/>
          <c:order val="3"/>
          <c:tx>
            <c:strRef>
              <c:f>'S Table 3 - raw data - T. cas'!$D$97</c:f>
              <c:strCache>
                <c:ptCount val="1"/>
                <c:pt idx="0">
                  <c:v>0,01 ng/µl</c:v>
                </c:pt>
              </c:strCache>
            </c:strRef>
          </c:tx>
          <c:spPr>
            <a:ln w="12700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cas'!$BR$97:$BY$97</c:f>
              <c:numCache>
                <c:formatCode>General</c:formatCode>
                <c:ptCount val="8"/>
                <c:pt idx="0">
                  <c:v>100</c:v>
                </c:pt>
                <c:pt idx="1">
                  <c:v>100</c:v>
                </c:pt>
                <c:pt idx="2">
                  <c:v>93.63636363636364</c:v>
                </c:pt>
                <c:pt idx="3">
                  <c:v>91.072261072261085</c:v>
                </c:pt>
                <c:pt idx="4">
                  <c:v>91.072261072261085</c:v>
                </c:pt>
                <c:pt idx="5">
                  <c:v>88.04195804195804</c:v>
                </c:pt>
                <c:pt idx="6">
                  <c:v>81.981351981351978</c:v>
                </c:pt>
                <c:pt idx="7">
                  <c:v>81.981351981351978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92BF-4EA3-8B39-86CCA566A0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8002872"/>
        <c:axId val="548003264"/>
      </c:lineChart>
      <c:catAx>
        <c:axId val="5480028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Titel</a:t>
                </a:r>
              </a:p>
            </c:rich>
          </c:tx>
          <c:layout>
            <c:manualLayout>
              <c:xMode val="edge"/>
              <c:yMode val="edge"/>
              <c:x val="0.29913617818317795"/>
              <c:y val="0.828734648805826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003264"/>
        <c:crosses val="autoZero"/>
        <c:auto val="1"/>
        <c:lblAlgn val="ctr"/>
        <c:lblOffset val="100"/>
        <c:noMultiLvlLbl val="0"/>
      </c:catAx>
      <c:valAx>
        <c:axId val="548003264"/>
        <c:scaling>
          <c:orientation val="minMax"/>
          <c:max val="1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Titel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002872"/>
        <c:crosses val="autoZero"/>
        <c:crossBetween val="midCat"/>
        <c:majorUnit val="25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6818782831484205"/>
          <c:y val="0.30183335351728074"/>
          <c:w val="0.34217754564909031"/>
          <c:h val="0.558237199145242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600">
          <a:solidFill>
            <a:sysClr val="windowText" lastClr="000000"/>
          </a:solidFill>
        </a:defRPr>
      </a:pPr>
      <a:endParaRPr lang="en-US"/>
    </a:p>
  </c:txPr>
  <c:printSettings>
    <c:headerFooter/>
    <c:pageMargins b="0.78740157499999996" l="0.7" r="0.7" t="0.78740157499999996" header="0.3" footer="0.3"/>
    <c:pageSetup/>
  </c:printSettings>
  <c:userShapes r:id="rId4"/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strRef>
          <c:f>'S Table 3 - raw data - T. cas'!$C$98:$C$101</c:f>
          <c:strCache>
            <c:ptCount val="4"/>
            <c:pt idx="0">
              <c:v>mtRNApol</c:v>
            </c:pt>
          </c:strCache>
        </c:strRef>
      </c:tx>
      <c:layout>
        <c:manualLayout>
          <c:xMode val="edge"/>
          <c:yMode val="edge"/>
          <c:x val="0.69915718404589744"/>
          <c:y val="6.61512598038641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2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707952411797022"/>
          <c:y val="9.7191566495689094E-2"/>
          <c:w val="0.38980616803333429"/>
          <c:h val="0.5946269029881357"/>
        </c:manualLayout>
      </c:layout>
      <c:lineChart>
        <c:grouping val="standard"/>
        <c:varyColors val="0"/>
        <c:ser>
          <c:idx val="0"/>
          <c:order val="0"/>
          <c:tx>
            <c:strRef>
              <c:f>'S Table 3 - raw data - T. cas'!$D$98</c:f>
              <c:strCache>
                <c:ptCount val="1"/>
                <c:pt idx="0">
                  <c:v>250 ng/µl</c:v>
                </c:pt>
              </c:strCache>
            </c:strRef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diamond"/>
            <c:size val="2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cas'!$BR$98:$BY$98</c:f>
              <c:numCache>
                <c:formatCode>General</c:formatCode>
                <c:ptCount val="8"/>
                <c:pt idx="0">
                  <c:v>100</c:v>
                </c:pt>
                <c:pt idx="1">
                  <c:v>88.8888888888889</c:v>
                </c:pt>
                <c:pt idx="2">
                  <c:v>86.111111111111128</c:v>
                </c:pt>
                <c:pt idx="3">
                  <c:v>63.888888888888893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47.222222222222229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A80-48E1-B263-AD8E6E35F764}"/>
            </c:ext>
          </c:extLst>
        </c:ser>
        <c:ser>
          <c:idx val="1"/>
          <c:order val="1"/>
          <c:tx>
            <c:strRef>
              <c:f>'S Table 3 - raw data - T. cas'!$D$99</c:f>
              <c:strCache>
                <c:ptCount val="1"/>
                <c:pt idx="0">
                  <c:v>1 ng/µl</c:v>
                </c:pt>
              </c:strCache>
            </c:strRef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squar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cas'!$BR$99:$BY$99</c:f>
              <c:numCache>
                <c:formatCode>General</c:formatCode>
                <c:ptCount val="8"/>
                <c:pt idx="0">
                  <c:v>100</c:v>
                </c:pt>
                <c:pt idx="1">
                  <c:v>83.333333333333343</c:v>
                </c:pt>
                <c:pt idx="2">
                  <c:v>80.555555555555557</c:v>
                </c:pt>
                <c:pt idx="3">
                  <c:v>58.333333333333336</c:v>
                </c:pt>
                <c:pt idx="4">
                  <c:v>52.777777777777779</c:v>
                </c:pt>
                <c:pt idx="5">
                  <c:v>52.777777777777779</c:v>
                </c:pt>
                <c:pt idx="6">
                  <c:v>52.777777777777779</c:v>
                </c:pt>
                <c:pt idx="7">
                  <c:v>47.222222222222229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8A80-48E1-B263-AD8E6E35F764}"/>
            </c:ext>
          </c:extLst>
        </c:ser>
        <c:ser>
          <c:idx val="2"/>
          <c:order val="2"/>
          <c:tx>
            <c:strRef>
              <c:f>'S Table 3 - raw data - T. cas'!$D$100</c:f>
              <c:strCache>
                <c:ptCount val="1"/>
                <c:pt idx="0">
                  <c:v>0,1 ng/µl</c:v>
                </c:pt>
              </c:strCache>
            </c:strRef>
          </c:tx>
          <c:spPr>
            <a:ln w="1270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circl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cas'!$BR$100:$BY$100</c:f>
              <c:numCache>
                <c:formatCode>General</c:formatCode>
                <c:ptCount val="8"/>
                <c:pt idx="0">
                  <c:v>100</c:v>
                </c:pt>
                <c:pt idx="1">
                  <c:v>88.8888888888889</c:v>
                </c:pt>
                <c:pt idx="2">
                  <c:v>88.8888888888889</c:v>
                </c:pt>
                <c:pt idx="3">
                  <c:v>72.222222222222229</c:v>
                </c:pt>
                <c:pt idx="4">
                  <c:v>66.666666666666671</c:v>
                </c:pt>
                <c:pt idx="5">
                  <c:v>66.666666666666671</c:v>
                </c:pt>
                <c:pt idx="6">
                  <c:v>63.888888888888893</c:v>
                </c:pt>
                <c:pt idx="7">
                  <c:v>63.888888888888893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8A80-48E1-B263-AD8E6E35F764}"/>
            </c:ext>
          </c:extLst>
        </c:ser>
        <c:ser>
          <c:idx val="3"/>
          <c:order val="3"/>
          <c:tx>
            <c:strRef>
              <c:f>'S Table 3 - raw data - T. cas'!$D$101</c:f>
              <c:strCache>
                <c:ptCount val="1"/>
                <c:pt idx="0">
                  <c:v>0,01 ng/µl</c:v>
                </c:pt>
              </c:strCache>
            </c:strRef>
          </c:tx>
          <c:spPr>
            <a:ln w="12700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cas'!$BR$101:$BY$101</c:f>
              <c:numCache>
                <c:formatCode>General</c:formatCode>
                <c:ptCount val="8"/>
                <c:pt idx="0">
                  <c:v>100</c:v>
                </c:pt>
                <c:pt idx="1">
                  <c:v>97.222222222222229</c:v>
                </c:pt>
                <c:pt idx="2">
                  <c:v>97.222222222222229</c:v>
                </c:pt>
                <c:pt idx="3">
                  <c:v>86.111111111111128</c:v>
                </c:pt>
                <c:pt idx="4">
                  <c:v>86.111111111111128</c:v>
                </c:pt>
                <c:pt idx="5">
                  <c:v>86.111111111111128</c:v>
                </c:pt>
                <c:pt idx="6">
                  <c:v>80.555555555555557</c:v>
                </c:pt>
                <c:pt idx="7">
                  <c:v>75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8A80-48E1-B263-AD8E6E35F7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8004048"/>
        <c:axId val="548004440"/>
      </c:lineChart>
      <c:catAx>
        <c:axId val="5480040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Titel</a:t>
                </a:r>
              </a:p>
            </c:rich>
          </c:tx>
          <c:layout>
            <c:manualLayout>
              <c:xMode val="edge"/>
              <c:yMode val="edge"/>
              <c:x val="0.29913617818317795"/>
              <c:y val="0.828734648805826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004440"/>
        <c:crosses val="autoZero"/>
        <c:auto val="1"/>
        <c:lblAlgn val="ctr"/>
        <c:lblOffset val="100"/>
        <c:noMultiLvlLbl val="0"/>
      </c:catAx>
      <c:valAx>
        <c:axId val="548004440"/>
        <c:scaling>
          <c:orientation val="minMax"/>
          <c:max val="1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Titel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004048"/>
        <c:crosses val="autoZero"/>
        <c:crossBetween val="midCat"/>
        <c:majorUnit val="25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6818782831484205"/>
          <c:y val="0.30183335351728074"/>
          <c:w val="0.34217754564909031"/>
          <c:h val="0.558237199145242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600">
          <a:solidFill>
            <a:sysClr val="windowText" lastClr="000000"/>
          </a:solidFill>
        </a:defRPr>
      </a:pPr>
      <a:endParaRPr lang="en-US"/>
    </a:p>
  </c:txPr>
  <c:printSettings>
    <c:headerFooter/>
    <c:pageMargins b="0.78740157499999996" l="0.7" r="0.7" t="0.78740157499999996" header="0.3" footer="0.3"/>
    <c:pageSetup/>
  </c:printSettings>
  <c:userShapes r:id="rId4"/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strRef>
          <c:f>'S Table 3 - raw data - T. cas'!$C$102:$C$105</c:f>
          <c:strCache>
            <c:ptCount val="4"/>
            <c:pt idx="0">
              <c:v>NAA15-16</c:v>
            </c:pt>
          </c:strCache>
        </c:strRef>
      </c:tx>
      <c:layout>
        <c:manualLayout>
          <c:xMode val="edge"/>
          <c:yMode val="edge"/>
          <c:x val="0.69915718404589744"/>
          <c:y val="6.61512598038641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2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707952411797022"/>
          <c:y val="9.7191566495689094E-2"/>
          <c:w val="0.38980616803333429"/>
          <c:h val="0.5946269029881357"/>
        </c:manualLayout>
      </c:layout>
      <c:lineChart>
        <c:grouping val="standard"/>
        <c:varyColors val="0"/>
        <c:ser>
          <c:idx val="0"/>
          <c:order val="0"/>
          <c:tx>
            <c:strRef>
              <c:f>'S Table 3 - raw data - T. cas'!$D$102</c:f>
              <c:strCache>
                <c:ptCount val="1"/>
                <c:pt idx="0">
                  <c:v>250 ng/µl</c:v>
                </c:pt>
              </c:strCache>
            </c:strRef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diamond"/>
            <c:size val="2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cas'!$BR$102:$BY$102</c:f>
              <c:numCache>
                <c:formatCode>General</c:formatCode>
                <c:ptCount val="8"/>
                <c:pt idx="0">
                  <c:v>100</c:v>
                </c:pt>
                <c:pt idx="1">
                  <c:v>50</c:v>
                </c:pt>
                <c:pt idx="2">
                  <c:v>16.666666666666668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F4E4-4E13-901D-A6CE422D0295}"/>
            </c:ext>
          </c:extLst>
        </c:ser>
        <c:ser>
          <c:idx val="1"/>
          <c:order val="1"/>
          <c:tx>
            <c:strRef>
              <c:f>'S Table 3 - raw data - T. cas'!$D$103</c:f>
              <c:strCache>
                <c:ptCount val="1"/>
                <c:pt idx="0">
                  <c:v>1 ng/µl</c:v>
                </c:pt>
              </c:strCache>
            </c:strRef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squar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cas'!$BR$103:$BY$103</c:f>
              <c:numCache>
                <c:formatCode>General</c:formatCode>
                <c:ptCount val="8"/>
                <c:pt idx="0">
                  <c:v>100</c:v>
                </c:pt>
                <c:pt idx="1">
                  <c:v>36.111111111111114</c:v>
                </c:pt>
                <c:pt idx="2">
                  <c:v>22.222222222222225</c:v>
                </c:pt>
                <c:pt idx="3">
                  <c:v>5.5555555555555562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F4E4-4E13-901D-A6CE422D0295}"/>
            </c:ext>
          </c:extLst>
        </c:ser>
        <c:ser>
          <c:idx val="2"/>
          <c:order val="2"/>
          <c:tx>
            <c:strRef>
              <c:f>'S Table 3 - raw data - T. cas'!$D$104</c:f>
              <c:strCache>
                <c:ptCount val="1"/>
                <c:pt idx="0">
                  <c:v>0,1 ng/µl</c:v>
                </c:pt>
              </c:strCache>
            </c:strRef>
          </c:tx>
          <c:spPr>
            <a:ln w="1270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circl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cas'!$BR$104:$BY$104</c:f>
              <c:numCache>
                <c:formatCode>General</c:formatCode>
                <c:ptCount val="8"/>
                <c:pt idx="0">
                  <c:v>100</c:v>
                </c:pt>
                <c:pt idx="1">
                  <c:v>47.222222222222229</c:v>
                </c:pt>
                <c:pt idx="2">
                  <c:v>38.888888888888893</c:v>
                </c:pt>
                <c:pt idx="3">
                  <c:v>25</c:v>
                </c:pt>
                <c:pt idx="4">
                  <c:v>19.444444444444446</c:v>
                </c:pt>
                <c:pt idx="5">
                  <c:v>13.888888888888891</c:v>
                </c:pt>
                <c:pt idx="6">
                  <c:v>13.888888888888891</c:v>
                </c:pt>
                <c:pt idx="7">
                  <c:v>13.888888888888891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F4E4-4E13-901D-A6CE422D0295}"/>
            </c:ext>
          </c:extLst>
        </c:ser>
        <c:ser>
          <c:idx val="3"/>
          <c:order val="3"/>
          <c:tx>
            <c:strRef>
              <c:f>'S Table 3 - raw data - T. cas'!$D$105</c:f>
              <c:strCache>
                <c:ptCount val="1"/>
                <c:pt idx="0">
                  <c:v>0,01 ng/µl</c:v>
                </c:pt>
              </c:strCache>
            </c:strRef>
          </c:tx>
          <c:spPr>
            <a:ln w="12700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cas'!$BR$105:$BY$105</c:f>
              <c:numCache>
                <c:formatCode>General</c:formatCode>
                <c:ptCount val="8"/>
                <c:pt idx="0">
                  <c:v>100</c:v>
                </c:pt>
                <c:pt idx="1">
                  <c:v>55.555555555555564</c:v>
                </c:pt>
                <c:pt idx="2">
                  <c:v>47.222222222222221</c:v>
                </c:pt>
                <c:pt idx="3">
                  <c:v>47.222222222222221</c:v>
                </c:pt>
                <c:pt idx="4">
                  <c:v>44.44444444444445</c:v>
                </c:pt>
                <c:pt idx="5">
                  <c:v>44.44444444444445</c:v>
                </c:pt>
                <c:pt idx="6">
                  <c:v>44.44444444444445</c:v>
                </c:pt>
                <c:pt idx="7">
                  <c:v>44.44444444444445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F4E4-4E13-901D-A6CE422D02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7964352"/>
        <c:axId val="547964744"/>
      </c:lineChart>
      <c:catAx>
        <c:axId val="547964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Titel</a:t>
                </a:r>
              </a:p>
            </c:rich>
          </c:tx>
          <c:layout>
            <c:manualLayout>
              <c:xMode val="edge"/>
              <c:yMode val="edge"/>
              <c:x val="0.29913617818317795"/>
              <c:y val="0.828734648805826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7964744"/>
        <c:crosses val="autoZero"/>
        <c:auto val="1"/>
        <c:lblAlgn val="ctr"/>
        <c:lblOffset val="100"/>
        <c:noMultiLvlLbl val="0"/>
      </c:catAx>
      <c:valAx>
        <c:axId val="547964744"/>
        <c:scaling>
          <c:orientation val="minMax"/>
          <c:max val="1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Titel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7964352"/>
        <c:crosses val="autoZero"/>
        <c:crossBetween val="midCat"/>
        <c:majorUnit val="25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6818782831484205"/>
          <c:y val="0.30183335351728074"/>
          <c:w val="0.34217754564909031"/>
          <c:h val="0.558237199145242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600">
          <a:solidFill>
            <a:sysClr val="windowText" lastClr="000000"/>
          </a:solidFill>
        </a:defRPr>
      </a:pPr>
      <a:endParaRPr lang="en-US"/>
    </a:p>
  </c:txPr>
  <c:printSettings>
    <c:headerFooter/>
    <c:pageMargins b="0.78740157499999996" l="0.7" r="0.7" t="0.78740157499999996" header="0.3" footer="0.3"/>
    <c:pageSetup/>
  </c:printSettings>
  <c:userShapes r:id="rId4"/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strRef>
          <c:f>'S Table 3 - raw data - T. cas'!$C$106:$C$109</c:f>
          <c:strCache>
            <c:ptCount val="4"/>
            <c:pt idx="0">
              <c:v>ncm</c:v>
            </c:pt>
          </c:strCache>
        </c:strRef>
      </c:tx>
      <c:layout>
        <c:manualLayout>
          <c:xMode val="edge"/>
          <c:yMode val="edge"/>
          <c:x val="0.69915718404589744"/>
          <c:y val="6.61512598038641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2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707952411797022"/>
          <c:y val="9.7191566495689094E-2"/>
          <c:w val="0.38980616803333429"/>
          <c:h val="0.5946269029881357"/>
        </c:manualLayout>
      </c:layout>
      <c:lineChart>
        <c:grouping val="standard"/>
        <c:varyColors val="0"/>
        <c:ser>
          <c:idx val="0"/>
          <c:order val="0"/>
          <c:tx>
            <c:strRef>
              <c:f>'S Table 3 - raw data - T. cas'!$D$106</c:f>
              <c:strCache>
                <c:ptCount val="1"/>
                <c:pt idx="0">
                  <c:v>250 ng/µl</c:v>
                </c:pt>
              </c:strCache>
            </c:strRef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diamond"/>
            <c:size val="2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cas'!$BR$106:$BY$106</c:f>
              <c:numCache>
                <c:formatCode>General</c:formatCode>
                <c:ptCount val="8"/>
                <c:pt idx="0">
                  <c:v>100</c:v>
                </c:pt>
                <c:pt idx="1">
                  <c:v>72.222222222222229</c:v>
                </c:pt>
                <c:pt idx="2">
                  <c:v>30.555555555555561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8AE-4878-AF92-567DAA1C628D}"/>
            </c:ext>
          </c:extLst>
        </c:ser>
        <c:ser>
          <c:idx val="1"/>
          <c:order val="1"/>
          <c:tx>
            <c:strRef>
              <c:f>'S Table 3 - raw data - T. cas'!$D$107</c:f>
              <c:strCache>
                <c:ptCount val="1"/>
                <c:pt idx="0">
                  <c:v>1 ng/µl</c:v>
                </c:pt>
              </c:strCache>
            </c:strRef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squar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cas'!$BR$107:$BY$107</c:f>
              <c:numCache>
                <c:formatCode>General</c:formatCode>
                <c:ptCount val="8"/>
                <c:pt idx="0">
                  <c:v>100</c:v>
                </c:pt>
                <c:pt idx="1">
                  <c:v>75</c:v>
                </c:pt>
                <c:pt idx="2">
                  <c:v>44.44444444444445</c:v>
                </c:pt>
                <c:pt idx="3">
                  <c:v>22.222222222222225</c:v>
                </c:pt>
                <c:pt idx="4">
                  <c:v>16.666666666666668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08AE-4878-AF92-567DAA1C628D}"/>
            </c:ext>
          </c:extLst>
        </c:ser>
        <c:ser>
          <c:idx val="2"/>
          <c:order val="2"/>
          <c:tx>
            <c:strRef>
              <c:f>'S Table 3 - raw data - T. cas'!$D$108</c:f>
              <c:strCache>
                <c:ptCount val="1"/>
                <c:pt idx="0">
                  <c:v>0,1 ng/µl</c:v>
                </c:pt>
              </c:strCache>
            </c:strRef>
          </c:tx>
          <c:spPr>
            <a:ln w="1270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circl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cas'!$BR$108:$BY$108</c:f>
              <c:numCache>
                <c:formatCode>General</c:formatCode>
                <c:ptCount val="8"/>
                <c:pt idx="0">
                  <c:v>100</c:v>
                </c:pt>
                <c:pt idx="1">
                  <c:v>77.777777777777786</c:v>
                </c:pt>
                <c:pt idx="2">
                  <c:v>50</c:v>
                </c:pt>
                <c:pt idx="3">
                  <c:v>44.44444444444445</c:v>
                </c:pt>
                <c:pt idx="4">
                  <c:v>44.44444444444445</c:v>
                </c:pt>
                <c:pt idx="5">
                  <c:v>38.888888888888893</c:v>
                </c:pt>
                <c:pt idx="6">
                  <c:v>41.666666666666664</c:v>
                </c:pt>
                <c:pt idx="7">
                  <c:v>38.888888888888893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08AE-4878-AF92-567DAA1C628D}"/>
            </c:ext>
          </c:extLst>
        </c:ser>
        <c:ser>
          <c:idx val="3"/>
          <c:order val="3"/>
          <c:tx>
            <c:strRef>
              <c:f>'S Table 3 - raw data - T. cas'!$D$109</c:f>
              <c:strCache>
                <c:ptCount val="1"/>
                <c:pt idx="0">
                  <c:v>0,01 ng/µl</c:v>
                </c:pt>
              </c:strCache>
            </c:strRef>
          </c:tx>
          <c:spPr>
            <a:ln w="12700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cas'!$BR$109:$BY$109</c:f>
              <c:numCache>
                <c:formatCode>General</c:formatCode>
                <c:ptCount val="8"/>
                <c:pt idx="0">
                  <c:v>100</c:v>
                </c:pt>
                <c:pt idx="1">
                  <c:v>80.555555555555557</c:v>
                </c:pt>
                <c:pt idx="2">
                  <c:v>63.888888888888893</c:v>
                </c:pt>
                <c:pt idx="3">
                  <c:v>63.888888888888893</c:v>
                </c:pt>
                <c:pt idx="4">
                  <c:v>61.111111111111114</c:v>
                </c:pt>
                <c:pt idx="5">
                  <c:v>61.111111111111114</c:v>
                </c:pt>
                <c:pt idx="6">
                  <c:v>52.777777777777779</c:v>
                </c:pt>
                <c:pt idx="7">
                  <c:v>52.777777777777779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08AE-4878-AF92-567DAA1C62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7965528"/>
        <c:axId val="547845176"/>
      </c:lineChart>
      <c:catAx>
        <c:axId val="5479655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Titel</a:t>
                </a:r>
              </a:p>
            </c:rich>
          </c:tx>
          <c:layout>
            <c:manualLayout>
              <c:xMode val="edge"/>
              <c:yMode val="edge"/>
              <c:x val="0.29913617818317795"/>
              <c:y val="0.828734648805826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7845176"/>
        <c:crosses val="autoZero"/>
        <c:auto val="1"/>
        <c:lblAlgn val="ctr"/>
        <c:lblOffset val="100"/>
        <c:noMultiLvlLbl val="0"/>
      </c:catAx>
      <c:valAx>
        <c:axId val="547845176"/>
        <c:scaling>
          <c:orientation val="minMax"/>
          <c:max val="1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Titel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7965528"/>
        <c:crosses val="autoZero"/>
        <c:crossBetween val="midCat"/>
        <c:majorUnit val="25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6818782831484205"/>
          <c:y val="0.30183335351728074"/>
          <c:w val="0.34217754564909031"/>
          <c:h val="0.558237199145242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600">
          <a:solidFill>
            <a:sysClr val="windowText" lastClr="000000"/>
          </a:solidFill>
        </a:defRPr>
      </a:pPr>
      <a:endParaRPr lang="en-US"/>
    </a:p>
  </c:txPr>
  <c:printSettings>
    <c:headerFooter/>
    <c:pageMargins b="0.78740157499999996" l="0.7" r="0.7" t="0.78740157499999996" header="0.3" footer="0.3"/>
    <c:pageSetup/>
  </c:printSettings>
  <c:userShapes r:id="rId4"/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strRef>
          <c:f>'S Table 3 - raw data - T. cas'!$C$110:$C$113</c:f>
          <c:strCache>
            <c:ptCount val="4"/>
            <c:pt idx="0">
              <c:v>Past1</c:v>
            </c:pt>
          </c:strCache>
        </c:strRef>
      </c:tx>
      <c:layout>
        <c:manualLayout>
          <c:xMode val="edge"/>
          <c:yMode val="edge"/>
          <c:x val="0.69915718404589744"/>
          <c:y val="6.61512598038641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2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707952411797022"/>
          <c:y val="9.7191566495689094E-2"/>
          <c:w val="0.38980616803333429"/>
          <c:h val="0.5946269029881357"/>
        </c:manualLayout>
      </c:layout>
      <c:lineChart>
        <c:grouping val="standard"/>
        <c:varyColors val="0"/>
        <c:ser>
          <c:idx val="0"/>
          <c:order val="0"/>
          <c:tx>
            <c:strRef>
              <c:f>'S Table 3 - raw data - T. cas'!$D$110</c:f>
              <c:strCache>
                <c:ptCount val="1"/>
                <c:pt idx="0">
                  <c:v>250 ng/µl</c:v>
                </c:pt>
              </c:strCache>
            </c:strRef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diamond"/>
            <c:size val="2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cas'!$BR$110:$BY$110</c:f>
              <c:numCache>
                <c:formatCode>General</c:formatCode>
                <c:ptCount val="8"/>
                <c:pt idx="0">
                  <c:v>100</c:v>
                </c:pt>
                <c:pt idx="1">
                  <c:v>86.111111111111128</c:v>
                </c:pt>
                <c:pt idx="2">
                  <c:v>83.333333333333329</c:v>
                </c:pt>
                <c:pt idx="3">
                  <c:v>77.777777777777786</c:v>
                </c:pt>
                <c:pt idx="4">
                  <c:v>66.666666666666671</c:v>
                </c:pt>
                <c:pt idx="5">
                  <c:v>61.111111111111114</c:v>
                </c:pt>
                <c:pt idx="6">
                  <c:v>55.555555555555564</c:v>
                </c:pt>
                <c:pt idx="7">
                  <c:v>52.777777777777779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44D-4F29-9206-EC6DD4D5199B}"/>
            </c:ext>
          </c:extLst>
        </c:ser>
        <c:ser>
          <c:idx val="1"/>
          <c:order val="1"/>
          <c:tx>
            <c:strRef>
              <c:f>'S Table 3 - raw data - T. cas'!$D$111</c:f>
              <c:strCache>
                <c:ptCount val="1"/>
                <c:pt idx="0">
                  <c:v>1 ng/µl</c:v>
                </c:pt>
              </c:strCache>
            </c:strRef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squar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cas'!$BR$111:$BY$111</c:f>
              <c:numCache>
                <c:formatCode>General</c:formatCode>
                <c:ptCount val="8"/>
                <c:pt idx="0">
                  <c:v>100</c:v>
                </c:pt>
                <c:pt idx="1">
                  <c:v>94.444444444444457</c:v>
                </c:pt>
                <c:pt idx="2">
                  <c:v>83.333333333333343</c:v>
                </c:pt>
                <c:pt idx="3">
                  <c:v>75</c:v>
                </c:pt>
                <c:pt idx="4">
                  <c:v>58.333333333333336</c:v>
                </c:pt>
                <c:pt idx="5">
                  <c:v>52.777777777777779</c:v>
                </c:pt>
                <c:pt idx="6">
                  <c:v>52.777777777777779</c:v>
                </c:pt>
                <c:pt idx="7">
                  <c:v>50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E44D-4F29-9206-EC6DD4D5199B}"/>
            </c:ext>
          </c:extLst>
        </c:ser>
        <c:ser>
          <c:idx val="2"/>
          <c:order val="2"/>
          <c:tx>
            <c:strRef>
              <c:f>'S Table 3 - raw data - T. cas'!$D$112</c:f>
              <c:strCache>
                <c:ptCount val="1"/>
                <c:pt idx="0">
                  <c:v>0,1 ng/µl</c:v>
                </c:pt>
              </c:strCache>
            </c:strRef>
          </c:tx>
          <c:spPr>
            <a:ln w="1270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circl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cas'!$BR$112:$BY$112</c:f>
              <c:numCache>
                <c:formatCode>General</c:formatCode>
                <c:ptCount val="8"/>
                <c:pt idx="0">
                  <c:v>100</c:v>
                </c:pt>
                <c:pt idx="1">
                  <c:v>97.222222222222229</c:v>
                </c:pt>
                <c:pt idx="2">
                  <c:v>91.666666666666671</c:v>
                </c:pt>
                <c:pt idx="3">
                  <c:v>83.333333333333343</c:v>
                </c:pt>
                <c:pt idx="4">
                  <c:v>77.777777777777786</c:v>
                </c:pt>
                <c:pt idx="5">
                  <c:v>72.222222222222229</c:v>
                </c:pt>
                <c:pt idx="6">
                  <c:v>66.666666666666671</c:v>
                </c:pt>
                <c:pt idx="7">
                  <c:v>61.111111111111114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E44D-4F29-9206-EC6DD4D5199B}"/>
            </c:ext>
          </c:extLst>
        </c:ser>
        <c:ser>
          <c:idx val="3"/>
          <c:order val="3"/>
          <c:tx>
            <c:strRef>
              <c:f>'S Table 3 - raw data - T. cas'!$D$113</c:f>
              <c:strCache>
                <c:ptCount val="1"/>
                <c:pt idx="0">
                  <c:v>0,01 ng/µl</c:v>
                </c:pt>
              </c:strCache>
            </c:strRef>
          </c:tx>
          <c:spPr>
            <a:ln w="12700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cas'!$BR$113:$BY$113</c:f>
              <c:numCache>
                <c:formatCode>General</c:formatCode>
                <c:ptCount val="8"/>
                <c:pt idx="0">
                  <c:v>100</c:v>
                </c:pt>
                <c:pt idx="1">
                  <c:v>97.222222222222229</c:v>
                </c:pt>
                <c:pt idx="2">
                  <c:v>94.444444444444457</c:v>
                </c:pt>
                <c:pt idx="3">
                  <c:v>83.333333333333343</c:v>
                </c:pt>
                <c:pt idx="4">
                  <c:v>77.777777777777786</c:v>
                </c:pt>
                <c:pt idx="5">
                  <c:v>69.444444444444443</c:v>
                </c:pt>
                <c:pt idx="6">
                  <c:v>63.888888888888893</c:v>
                </c:pt>
                <c:pt idx="7">
                  <c:v>63.888888888888893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E44D-4F29-9206-EC6DD4D519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9068752"/>
        <c:axId val="547845568"/>
      </c:lineChart>
      <c:catAx>
        <c:axId val="5490687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Titel</a:t>
                </a:r>
              </a:p>
            </c:rich>
          </c:tx>
          <c:layout>
            <c:manualLayout>
              <c:xMode val="edge"/>
              <c:yMode val="edge"/>
              <c:x val="0.29913617818317795"/>
              <c:y val="0.828734648805826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7845568"/>
        <c:crosses val="autoZero"/>
        <c:auto val="1"/>
        <c:lblAlgn val="ctr"/>
        <c:lblOffset val="100"/>
        <c:noMultiLvlLbl val="0"/>
      </c:catAx>
      <c:valAx>
        <c:axId val="547845568"/>
        <c:scaling>
          <c:orientation val="minMax"/>
          <c:max val="1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Titel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9068752"/>
        <c:crosses val="autoZero"/>
        <c:crossBetween val="midCat"/>
        <c:majorUnit val="25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6818782831484205"/>
          <c:y val="0.30183335351728074"/>
          <c:w val="0.34217754564909031"/>
          <c:h val="0.558237199145242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600">
          <a:solidFill>
            <a:sysClr val="windowText" lastClr="000000"/>
          </a:solidFill>
        </a:defRPr>
      </a:pPr>
      <a:endParaRPr lang="en-US"/>
    </a:p>
  </c:txPr>
  <c:printSettings>
    <c:headerFooter/>
    <c:pageMargins b="0.78740157499999996" l="0.7" r="0.7" t="0.78740157499999996" header="0.3" footer="0.3"/>
    <c:pageSetup/>
  </c:printSettings>
  <c:userShapes r:id="rId4"/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strRef>
          <c:f>'S Table 3 - raw data - T. cas'!$C$114:$C$117</c:f>
          <c:strCache>
            <c:ptCount val="4"/>
            <c:pt idx="0">
              <c:v>Picot</c:v>
            </c:pt>
          </c:strCache>
        </c:strRef>
      </c:tx>
      <c:layout>
        <c:manualLayout>
          <c:xMode val="edge"/>
          <c:yMode val="edge"/>
          <c:x val="0.69915718404589744"/>
          <c:y val="6.61512598038641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2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707952411797022"/>
          <c:y val="9.7191566495689094E-2"/>
          <c:w val="0.38980616803333429"/>
          <c:h val="0.5946269029881357"/>
        </c:manualLayout>
      </c:layout>
      <c:lineChart>
        <c:grouping val="standard"/>
        <c:varyColors val="0"/>
        <c:ser>
          <c:idx val="0"/>
          <c:order val="0"/>
          <c:tx>
            <c:strRef>
              <c:f>'S Table 3 - raw data - T. cas'!$D$114</c:f>
              <c:strCache>
                <c:ptCount val="1"/>
                <c:pt idx="0">
                  <c:v>250 ng/µl</c:v>
                </c:pt>
              </c:strCache>
            </c:strRef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diamond"/>
            <c:size val="2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cas'!$BR$114:$BY$114</c:f>
              <c:numCache>
                <c:formatCode>General</c:formatCode>
                <c:ptCount val="8"/>
                <c:pt idx="0">
                  <c:v>100</c:v>
                </c:pt>
                <c:pt idx="1">
                  <c:v>55.555555555555564</c:v>
                </c:pt>
                <c:pt idx="2">
                  <c:v>41.666666666666664</c:v>
                </c:pt>
                <c:pt idx="3">
                  <c:v>38.888888888888893</c:v>
                </c:pt>
                <c:pt idx="4">
                  <c:v>36.111111111111114</c:v>
                </c:pt>
                <c:pt idx="5">
                  <c:v>36.111111111111114</c:v>
                </c:pt>
                <c:pt idx="6">
                  <c:v>36.111111111111114</c:v>
                </c:pt>
                <c:pt idx="7">
                  <c:v>36.111111111111114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964-4056-A1EB-4D4D6EA7C1CA}"/>
            </c:ext>
          </c:extLst>
        </c:ser>
        <c:ser>
          <c:idx val="1"/>
          <c:order val="1"/>
          <c:tx>
            <c:strRef>
              <c:f>'S Table 3 - raw data - T. cas'!$D$115</c:f>
              <c:strCache>
                <c:ptCount val="1"/>
                <c:pt idx="0">
                  <c:v>1 ng/µl</c:v>
                </c:pt>
              </c:strCache>
            </c:strRef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squar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cas'!$BR$115:$BY$115</c:f>
              <c:numCache>
                <c:formatCode>General</c:formatCode>
                <c:ptCount val="8"/>
                <c:pt idx="0">
                  <c:v>100</c:v>
                </c:pt>
                <c:pt idx="1">
                  <c:v>55.555555555555564</c:v>
                </c:pt>
                <c:pt idx="2">
                  <c:v>27.777777777777782</c:v>
                </c:pt>
                <c:pt idx="3">
                  <c:v>27.777777777777782</c:v>
                </c:pt>
                <c:pt idx="4">
                  <c:v>27.777777777777782</c:v>
                </c:pt>
                <c:pt idx="5">
                  <c:v>27.777777777777782</c:v>
                </c:pt>
                <c:pt idx="6">
                  <c:v>27.777777777777782</c:v>
                </c:pt>
                <c:pt idx="7">
                  <c:v>27.777777777777775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B964-4056-A1EB-4D4D6EA7C1CA}"/>
            </c:ext>
          </c:extLst>
        </c:ser>
        <c:ser>
          <c:idx val="2"/>
          <c:order val="2"/>
          <c:tx>
            <c:strRef>
              <c:f>'S Table 3 - raw data - T. cas'!$D$116</c:f>
              <c:strCache>
                <c:ptCount val="1"/>
                <c:pt idx="0">
                  <c:v>0,1 ng/µl</c:v>
                </c:pt>
              </c:strCache>
            </c:strRef>
          </c:tx>
          <c:spPr>
            <a:ln w="1270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circl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cas'!$BR$116:$BY$116</c:f>
              <c:numCache>
                <c:formatCode>General</c:formatCode>
                <c:ptCount val="8"/>
                <c:pt idx="0">
                  <c:v>100</c:v>
                </c:pt>
                <c:pt idx="1">
                  <c:v>58.333333333333336</c:v>
                </c:pt>
                <c:pt idx="2">
                  <c:v>33.333333333333336</c:v>
                </c:pt>
                <c:pt idx="3">
                  <c:v>30.555555555555557</c:v>
                </c:pt>
                <c:pt idx="4">
                  <c:v>30.555555555555557</c:v>
                </c:pt>
                <c:pt idx="5">
                  <c:v>27.777777777777782</c:v>
                </c:pt>
                <c:pt idx="6">
                  <c:v>27.777777777777782</c:v>
                </c:pt>
                <c:pt idx="7">
                  <c:v>27.777777777777782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B964-4056-A1EB-4D4D6EA7C1CA}"/>
            </c:ext>
          </c:extLst>
        </c:ser>
        <c:ser>
          <c:idx val="3"/>
          <c:order val="3"/>
          <c:tx>
            <c:strRef>
              <c:f>'S Table 3 - raw data - T. cas'!$D$117</c:f>
              <c:strCache>
                <c:ptCount val="1"/>
                <c:pt idx="0">
                  <c:v>0,01 ng/µl</c:v>
                </c:pt>
              </c:strCache>
            </c:strRef>
          </c:tx>
          <c:spPr>
            <a:ln w="12700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cas'!$BR$117:$BY$117</c:f>
              <c:numCache>
                <c:formatCode>General</c:formatCode>
                <c:ptCount val="8"/>
                <c:pt idx="0">
                  <c:v>100</c:v>
                </c:pt>
                <c:pt idx="1">
                  <c:v>61.111111111111114</c:v>
                </c:pt>
                <c:pt idx="2">
                  <c:v>47.222222222222229</c:v>
                </c:pt>
                <c:pt idx="3">
                  <c:v>50</c:v>
                </c:pt>
                <c:pt idx="4">
                  <c:v>50</c:v>
                </c:pt>
                <c:pt idx="5">
                  <c:v>47.222222222222229</c:v>
                </c:pt>
                <c:pt idx="6">
                  <c:v>47.222222222222229</c:v>
                </c:pt>
                <c:pt idx="7">
                  <c:v>47.222222222222229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B964-4056-A1EB-4D4D6EA7C1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7846352"/>
        <c:axId val="547846744"/>
      </c:lineChart>
      <c:catAx>
        <c:axId val="547846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Titel</a:t>
                </a:r>
              </a:p>
            </c:rich>
          </c:tx>
          <c:layout>
            <c:manualLayout>
              <c:xMode val="edge"/>
              <c:yMode val="edge"/>
              <c:x val="0.29913617818317795"/>
              <c:y val="0.828734648805826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7846744"/>
        <c:crosses val="autoZero"/>
        <c:auto val="1"/>
        <c:lblAlgn val="ctr"/>
        <c:lblOffset val="100"/>
        <c:noMultiLvlLbl val="0"/>
      </c:catAx>
      <c:valAx>
        <c:axId val="547846744"/>
        <c:scaling>
          <c:orientation val="minMax"/>
          <c:max val="1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Titel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7846352"/>
        <c:crosses val="autoZero"/>
        <c:crossBetween val="midCat"/>
        <c:majorUnit val="25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6818782831484205"/>
          <c:y val="0.30183335351728074"/>
          <c:w val="0.34217754564909031"/>
          <c:h val="0.558237199145242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600">
          <a:solidFill>
            <a:sysClr val="windowText" lastClr="000000"/>
          </a:solidFill>
        </a:defRPr>
      </a:pPr>
      <a:endParaRPr lang="en-US"/>
    </a:p>
  </c:txPr>
  <c:printSettings>
    <c:headerFooter/>
    <c:pageMargins b="0.78740157499999996" l="0.7" r="0.7" t="0.78740157499999996" header="0.3" footer="0.3"/>
    <c:pageSetup/>
  </c:printSettings>
  <c:userShapes r:id="rId4"/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strRef>
          <c:f>'S Table 3 - raw data - T. cas'!$C$118:$C$121</c:f>
          <c:strCache>
            <c:ptCount val="4"/>
            <c:pt idx="0">
              <c:v>Pka-R1-PP </c:v>
            </c:pt>
          </c:strCache>
        </c:strRef>
      </c:tx>
      <c:layout>
        <c:manualLayout>
          <c:xMode val="edge"/>
          <c:yMode val="edge"/>
          <c:x val="0.69915718404589744"/>
          <c:y val="6.61512598038641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2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707952411797022"/>
          <c:y val="9.7191566495689094E-2"/>
          <c:w val="0.38980616803333429"/>
          <c:h val="0.5946269029881357"/>
        </c:manualLayout>
      </c:layout>
      <c:lineChart>
        <c:grouping val="standard"/>
        <c:varyColors val="0"/>
        <c:ser>
          <c:idx val="0"/>
          <c:order val="0"/>
          <c:tx>
            <c:strRef>
              <c:f>'S Table 3 - raw data - T. cas'!$D$118</c:f>
              <c:strCache>
                <c:ptCount val="1"/>
                <c:pt idx="0">
                  <c:v>250 ng/µl</c:v>
                </c:pt>
              </c:strCache>
            </c:strRef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diamond"/>
            <c:size val="2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cas'!$BR$118:$BY$118</c:f>
              <c:numCache>
                <c:formatCode>General</c:formatCode>
                <c:ptCount val="8"/>
                <c:pt idx="0">
                  <c:v>100</c:v>
                </c:pt>
                <c:pt idx="1">
                  <c:v>100</c:v>
                </c:pt>
                <c:pt idx="2">
                  <c:v>39.523809523809526</c:v>
                </c:pt>
                <c:pt idx="3">
                  <c:v>2.2222222222222223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EC3-4944-A911-AFC82ACA64AF}"/>
            </c:ext>
          </c:extLst>
        </c:ser>
        <c:ser>
          <c:idx val="1"/>
          <c:order val="1"/>
          <c:tx>
            <c:strRef>
              <c:f>'S Table 3 - raw data - T. cas'!$D$119</c:f>
              <c:strCache>
                <c:ptCount val="1"/>
                <c:pt idx="0">
                  <c:v>1 ng/µl</c:v>
                </c:pt>
              </c:strCache>
            </c:strRef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squar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cas'!$BR$119:$BY$119</c:f>
              <c:numCache>
                <c:formatCode>General</c:formatCode>
                <c:ptCount val="8"/>
                <c:pt idx="0">
                  <c:v>100</c:v>
                </c:pt>
                <c:pt idx="1">
                  <c:v>84.920634920634924</c:v>
                </c:pt>
                <c:pt idx="2">
                  <c:v>60.317460317460323</c:v>
                </c:pt>
                <c:pt idx="3">
                  <c:v>22.61904761904762</c:v>
                </c:pt>
                <c:pt idx="4">
                  <c:v>15.476190476190476</c:v>
                </c:pt>
                <c:pt idx="5">
                  <c:v>13.095238095238095</c:v>
                </c:pt>
                <c:pt idx="6">
                  <c:v>13.095238095238095</c:v>
                </c:pt>
                <c:pt idx="7">
                  <c:v>7.5396825396825404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BEC3-4944-A911-AFC82ACA64AF}"/>
            </c:ext>
          </c:extLst>
        </c:ser>
        <c:ser>
          <c:idx val="2"/>
          <c:order val="2"/>
          <c:tx>
            <c:strRef>
              <c:f>'S Table 3 - raw data - T. cas'!$D$120</c:f>
              <c:strCache>
                <c:ptCount val="1"/>
                <c:pt idx="0">
                  <c:v>0,1 ng/µl</c:v>
                </c:pt>
              </c:strCache>
            </c:strRef>
          </c:tx>
          <c:spPr>
            <a:ln w="1270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circl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cas'!$BR$120:$BY$120</c:f>
              <c:numCache>
                <c:formatCode>General</c:formatCode>
                <c:ptCount val="8"/>
                <c:pt idx="0">
                  <c:v>100</c:v>
                </c:pt>
                <c:pt idx="1">
                  <c:v>97.619047619047635</c:v>
                </c:pt>
                <c:pt idx="2">
                  <c:v>92.673992673992686</c:v>
                </c:pt>
                <c:pt idx="3">
                  <c:v>63.846153846153847</c:v>
                </c:pt>
                <c:pt idx="4">
                  <c:v>49.853479853479854</c:v>
                </c:pt>
                <c:pt idx="5">
                  <c:v>33.614163614163608</c:v>
                </c:pt>
                <c:pt idx="6">
                  <c:v>31.391941391941391</c:v>
                </c:pt>
                <c:pt idx="7">
                  <c:v>31.391941391941391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BEC3-4944-A911-AFC82ACA64AF}"/>
            </c:ext>
          </c:extLst>
        </c:ser>
        <c:ser>
          <c:idx val="3"/>
          <c:order val="3"/>
          <c:tx>
            <c:strRef>
              <c:f>'S Table 3 - raw data - T. cas'!$D$121</c:f>
              <c:strCache>
                <c:ptCount val="1"/>
                <c:pt idx="0">
                  <c:v>0,01 ng/µl</c:v>
                </c:pt>
              </c:strCache>
            </c:strRef>
          </c:tx>
          <c:spPr>
            <a:ln w="12700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cas'!$BR$121:$BY$121</c:f>
              <c:numCache>
                <c:formatCode>General</c:formatCode>
                <c:ptCount val="8"/>
                <c:pt idx="0">
                  <c:v>100</c:v>
                </c:pt>
                <c:pt idx="1">
                  <c:v>82.967032967032978</c:v>
                </c:pt>
                <c:pt idx="2">
                  <c:v>63.553113553113555</c:v>
                </c:pt>
                <c:pt idx="3">
                  <c:v>51.465201465201467</c:v>
                </c:pt>
                <c:pt idx="4">
                  <c:v>46.520146520146518</c:v>
                </c:pt>
                <c:pt idx="5">
                  <c:v>36.630036630036635</c:v>
                </c:pt>
                <c:pt idx="6">
                  <c:v>34.249084249084248</c:v>
                </c:pt>
                <c:pt idx="7">
                  <c:v>34.249084249084255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BEC3-4944-A911-AFC82ACA64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7849272"/>
        <c:axId val="547849664"/>
      </c:lineChart>
      <c:catAx>
        <c:axId val="5478492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Titel</a:t>
                </a:r>
              </a:p>
            </c:rich>
          </c:tx>
          <c:layout>
            <c:manualLayout>
              <c:xMode val="edge"/>
              <c:yMode val="edge"/>
              <c:x val="0.29913617818317795"/>
              <c:y val="0.828734648805826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7849664"/>
        <c:crosses val="autoZero"/>
        <c:auto val="1"/>
        <c:lblAlgn val="ctr"/>
        <c:lblOffset val="100"/>
        <c:noMultiLvlLbl val="0"/>
      </c:catAx>
      <c:valAx>
        <c:axId val="547849664"/>
        <c:scaling>
          <c:orientation val="minMax"/>
          <c:max val="1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Titel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7849272"/>
        <c:crosses val="autoZero"/>
        <c:crossBetween val="midCat"/>
        <c:majorUnit val="25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6818782831484205"/>
          <c:y val="0.30183335351728074"/>
          <c:w val="0.34217754564909031"/>
          <c:h val="0.558237199145242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600">
          <a:solidFill>
            <a:sysClr val="windowText" lastClr="000000"/>
          </a:solidFill>
        </a:defRPr>
      </a:pPr>
      <a:endParaRPr lang="en-US"/>
    </a:p>
  </c:txPr>
  <c:printSettings>
    <c:headerFooter/>
    <c:pageMargins b="0.78740157499999996" l="0.7" r="0.7" t="0.78740157499999996" header="0.3" footer="0.3"/>
    <c:pageSetup/>
  </c:printSettings>
  <c:userShapes r:id="rId4"/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strRef>
          <c:f>'S Table 3 - raw data - T. cas'!$C$122:$C$125</c:f>
          <c:strCache>
            <c:ptCount val="4"/>
            <c:pt idx="0">
              <c:v>Prosα1-PA</c:v>
            </c:pt>
          </c:strCache>
        </c:strRef>
      </c:tx>
      <c:layout>
        <c:manualLayout>
          <c:xMode val="edge"/>
          <c:yMode val="edge"/>
          <c:x val="0.69915718404589744"/>
          <c:y val="6.61512598038641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2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707952411797022"/>
          <c:y val="9.7191566495689094E-2"/>
          <c:w val="0.38980616803333429"/>
          <c:h val="0.5946269029881357"/>
        </c:manualLayout>
      </c:layout>
      <c:lineChart>
        <c:grouping val="standard"/>
        <c:varyColors val="0"/>
        <c:ser>
          <c:idx val="0"/>
          <c:order val="0"/>
          <c:tx>
            <c:strRef>
              <c:f>'S Table 3 - raw data - T. cas'!$D$122</c:f>
              <c:strCache>
                <c:ptCount val="1"/>
                <c:pt idx="0">
                  <c:v>250 ng/µl</c:v>
                </c:pt>
              </c:strCache>
            </c:strRef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diamond"/>
            <c:size val="2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cas'!$BR$122:$BY$122</c:f>
              <c:numCache>
                <c:formatCode>General</c:formatCode>
                <c:ptCount val="8"/>
                <c:pt idx="0">
                  <c:v>100</c:v>
                </c:pt>
                <c:pt idx="1">
                  <c:v>87.962962962962976</c:v>
                </c:pt>
                <c:pt idx="2">
                  <c:v>29.351851851851851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3739-44ED-A60E-4EC722F87256}"/>
            </c:ext>
          </c:extLst>
        </c:ser>
        <c:ser>
          <c:idx val="1"/>
          <c:order val="1"/>
          <c:tx>
            <c:strRef>
              <c:f>'S Table 3 - raw data - T. cas'!$D$123</c:f>
              <c:strCache>
                <c:ptCount val="1"/>
                <c:pt idx="0">
                  <c:v>1 ng/µl</c:v>
                </c:pt>
              </c:strCache>
            </c:strRef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squar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cas'!$BR$123:$BY$123</c:f>
              <c:numCache>
                <c:formatCode>General</c:formatCode>
                <c:ptCount val="8"/>
                <c:pt idx="0">
                  <c:v>100</c:v>
                </c:pt>
                <c:pt idx="1">
                  <c:v>73.290598290598297</c:v>
                </c:pt>
                <c:pt idx="2">
                  <c:v>48.931623931623932</c:v>
                </c:pt>
                <c:pt idx="3">
                  <c:v>30.128205128205128</c:v>
                </c:pt>
                <c:pt idx="4">
                  <c:v>8.3333333333333339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3739-44ED-A60E-4EC722F87256}"/>
            </c:ext>
          </c:extLst>
        </c:ser>
        <c:ser>
          <c:idx val="2"/>
          <c:order val="2"/>
          <c:tx>
            <c:strRef>
              <c:f>'S Table 3 - raw data - T. cas'!$D$124</c:f>
              <c:strCache>
                <c:ptCount val="1"/>
                <c:pt idx="0">
                  <c:v>0,1 ng/µl</c:v>
                </c:pt>
              </c:strCache>
            </c:strRef>
          </c:tx>
          <c:spPr>
            <a:ln w="1270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circl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cas'!$BR$124:$BY$124</c:f>
              <c:numCache>
                <c:formatCode>General</c:formatCode>
                <c:ptCount val="8"/>
                <c:pt idx="0">
                  <c:v>100</c:v>
                </c:pt>
                <c:pt idx="1">
                  <c:v>84.554334554334559</c:v>
                </c:pt>
                <c:pt idx="2">
                  <c:v>66.941391941391942</c:v>
                </c:pt>
                <c:pt idx="3">
                  <c:v>62.179487179487182</c:v>
                </c:pt>
                <c:pt idx="4">
                  <c:v>49.297924297924304</c:v>
                </c:pt>
                <c:pt idx="5">
                  <c:v>31.288156288156291</c:v>
                </c:pt>
                <c:pt idx="6">
                  <c:v>26.526251526251528</c:v>
                </c:pt>
                <c:pt idx="7">
                  <c:v>23.748473748473753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3739-44ED-A60E-4EC722F87256}"/>
            </c:ext>
          </c:extLst>
        </c:ser>
        <c:ser>
          <c:idx val="3"/>
          <c:order val="3"/>
          <c:tx>
            <c:strRef>
              <c:f>'S Table 3 - raw data - T. cas'!$D$125</c:f>
              <c:strCache>
                <c:ptCount val="1"/>
                <c:pt idx="0">
                  <c:v>0,01 ng/µl</c:v>
                </c:pt>
              </c:strCache>
            </c:strRef>
          </c:tx>
          <c:spPr>
            <a:ln w="12700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cas'!$BR$125:$BY$125</c:f>
              <c:numCache>
                <c:formatCode>General</c:formatCode>
                <c:ptCount val="8"/>
                <c:pt idx="0">
                  <c:v>100</c:v>
                </c:pt>
                <c:pt idx="1">
                  <c:v>89.177489177489193</c:v>
                </c:pt>
                <c:pt idx="2">
                  <c:v>80.735930735930751</c:v>
                </c:pt>
                <c:pt idx="3">
                  <c:v>77.705627705627705</c:v>
                </c:pt>
                <c:pt idx="4">
                  <c:v>72.294372294372295</c:v>
                </c:pt>
                <c:pt idx="5">
                  <c:v>72.294372294372295</c:v>
                </c:pt>
                <c:pt idx="6">
                  <c:v>72.294372294372295</c:v>
                </c:pt>
                <c:pt idx="7">
                  <c:v>72.294372294372295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3739-44ED-A60E-4EC722F872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7850448"/>
        <c:axId val="547850840"/>
      </c:lineChart>
      <c:catAx>
        <c:axId val="5478504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Titel</a:t>
                </a:r>
              </a:p>
            </c:rich>
          </c:tx>
          <c:layout>
            <c:manualLayout>
              <c:xMode val="edge"/>
              <c:yMode val="edge"/>
              <c:x val="0.29913617818317795"/>
              <c:y val="0.828734648805826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7850840"/>
        <c:crosses val="autoZero"/>
        <c:auto val="1"/>
        <c:lblAlgn val="ctr"/>
        <c:lblOffset val="100"/>
        <c:noMultiLvlLbl val="0"/>
      </c:catAx>
      <c:valAx>
        <c:axId val="547850840"/>
        <c:scaling>
          <c:orientation val="minMax"/>
          <c:max val="1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Titel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7850448"/>
        <c:crosses val="autoZero"/>
        <c:crossBetween val="midCat"/>
        <c:majorUnit val="25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6818782831484205"/>
          <c:y val="0.30183335351728074"/>
          <c:w val="0.34217754564909031"/>
          <c:h val="0.558237199145242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600">
          <a:solidFill>
            <a:sysClr val="windowText" lastClr="000000"/>
          </a:solidFill>
        </a:defRPr>
      </a:pPr>
      <a:endParaRPr lang="en-US"/>
    </a:p>
  </c:txPr>
  <c:printSettings>
    <c:headerFooter/>
    <c:pageMargins b="0.78740157499999996" l="0.7" r="0.7" t="0.78740157499999996" header="0.3" footer="0.3"/>
    <c:pageSetup/>
  </c:printSettings>
  <c:userShapes r:id="rId4"/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strRef>
          <c:f>'S Table 3 - raw data - T. cas'!$C$126:$C$129</c:f>
          <c:strCache>
            <c:ptCount val="4"/>
            <c:pt idx="0">
              <c:v>Prosα6-PA </c:v>
            </c:pt>
          </c:strCache>
        </c:strRef>
      </c:tx>
      <c:layout>
        <c:manualLayout>
          <c:xMode val="edge"/>
          <c:yMode val="edge"/>
          <c:x val="0.69915718404589744"/>
          <c:y val="6.61512598038641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2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707952411797022"/>
          <c:y val="9.7191566495689094E-2"/>
          <c:w val="0.38980616803333429"/>
          <c:h val="0.5946269029881357"/>
        </c:manualLayout>
      </c:layout>
      <c:lineChart>
        <c:grouping val="standard"/>
        <c:varyColors val="0"/>
        <c:ser>
          <c:idx val="0"/>
          <c:order val="0"/>
          <c:tx>
            <c:strRef>
              <c:f>'S Table 3 - raw data - T. cas'!$D$126</c:f>
              <c:strCache>
                <c:ptCount val="1"/>
                <c:pt idx="0">
                  <c:v>250 ng/µl</c:v>
                </c:pt>
              </c:strCache>
            </c:strRef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diamond"/>
            <c:size val="2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cas'!$BR$126:$BY$126</c:f>
              <c:numCache>
                <c:formatCode>General</c:formatCode>
                <c:ptCount val="8"/>
                <c:pt idx="0">
                  <c:v>100</c:v>
                </c:pt>
                <c:pt idx="1">
                  <c:v>100</c:v>
                </c:pt>
                <c:pt idx="2">
                  <c:v>50</c:v>
                </c:pt>
                <c:pt idx="3">
                  <c:v>20</c:v>
                </c:pt>
                <c:pt idx="4">
                  <c:v>6.666666666666667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A7A-4C5C-9FB4-213F63C8C36F}"/>
            </c:ext>
          </c:extLst>
        </c:ser>
        <c:ser>
          <c:idx val="1"/>
          <c:order val="1"/>
          <c:tx>
            <c:strRef>
              <c:f>'S Table 3 - raw data - T. cas'!$D$127</c:f>
              <c:strCache>
                <c:ptCount val="1"/>
                <c:pt idx="0">
                  <c:v>1 ng/µl</c:v>
                </c:pt>
              </c:strCache>
            </c:strRef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squar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cas'!$BR$127:$BY$127</c:f>
              <c:numCache>
                <c:formatCode>General</c:formatCode>
                <c:ptCount val="8"/>
                <c:pt idx="0">
                  <c:v>100</c:v>
                </c:pt>
                <c:pt idx="1">
                  <c:v>80.555555555555557</c:v>
                </c:pt>
                <c:pt idx="2">
                  <c:v>38.888888888888893</c:v>
                </c:pt>
                <c:pt idx="3">
                  <c:v>25</c:v>
                </c:pt>
                <c:pt idx="4">
                  <c:v>22.222222222222225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EA7A-4C5C-9FB4-213F63C8C36F}"/>
            </c:ext>
          </c:extLst>
        </c:ser>
        <c:ser>
          <c:idx val="2"/>
          <c:order val="2"/>
          <c:tx>
            <c:strRef>
              <c:f>'S Table 3 - raw data - T. cas'!$D$128</c:f>
              <c:strCache>
                <c:ptCount val="1"/>
                <c:pt idx="0">
                  <c:v>0,1 ng/µl</c:v>
                </c:pt>
              </c:strCache>
            </c:strRef>
          </c:tx>
          <c:spPr>
            <a:ln w="1270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circl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cas'!$BR$128:$BY$128</c:f>
              <c:numCache>
                <c:formatCode>General</c:formatCode>
                <c:ptCount val="8"/>
                <c:pt idx="0">
                  <c:v>100</c:v>
                </c:pt>
                <c:pt idx="1">
                  <c:v>80.555555555555557</c:v>
                </c:pt>
                <c:pt idx="2">
                  <c:v>44.44444444444445</c:v>
                </c:pt>
                <c:pt idx="3">
                  <c:v>27.777777777777782</c:v>
                </c:pt>
                <c:pt idx="4">
                  <c:v>30.555555555555557</c:v>
                </c:pt>
                <c:pt idx="5">
                  <c:v>19.444444444444446</c:v>
                </c:pt>
                <c:pt idx="6">
                  <c:v>16.666666666666668</c:v>
                </c:pt>
                <c:pt idx="7">
                  <c:v>16.666666666666668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EA7A-4C5C-9FB4-213F63C8C36F}"/>
            </c:ext>
          </c:extLst>
        </c:ser>
        <c:ser>
          <c:idx val="3"/>
          <c:order val="3"/>
          <c:tx>
            <c:strRef>
              <c:f>'S Table 3 - raw data - T. cas'!$D$129</c:f>
              <c:strCache>
                <c:ptCount val="1"/>
                <c:pt idx="0">
                  <c:v>0,01 ng/µl</c:v>
                </c:pt>
              </c:strCache>
            </c:strRef>
          </c:tx>
          <c:spPr>
            <a:ln w="12700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cas'!$BR$129:$BY$129</c:f>
              <c:numCache>
                <c:formatCode>General</c:formatCode>
                <c:ptCount val="8"/>
                <c:pt idx="0">
                  <c:v>100</c:v>
                </c:pt>
                <c:pt idx="1">
                  <c:v>83.333333333333343</c:v>
                </c:pt>
                <c:pt idx="2">
                  <c:v>41.666666666666671</c:v>
                </c:pt>
                <c:pt idx="3">
                  <c:v>30.555555555555557</c:v>
                </c:pt>
                <c:pt idx="4">
                  <c:v>30.555555555555557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EA7A-4C5C-9FB4-213F63C8C3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0724472"/>
        <c:axId val="550724864"/>
      </c:lineChart>
      <c:catAx>
        <c:axId val="5507244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Titel</a:t>
                </a:r>
              </a:p>
            </c:rich>
          </c:tx>
          <c:layout>
            <c:manualLayout>
              <c:xMode val="edge"/>
              <c:yMode val="edge"/>
              <c:x val="0.29913617818317795"/>
              <c:y val="0.828734648805826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0724864"/>
        <c:crosses val="autoZero"/>
        <c:auto val="1"/>
        <c:lblAlgn val="ctr"/>
        <c:lblOffset val="100"/>
        <c:noMultiLvlLbl val="0"/>
      </c:catAx>
      <c:valAx>
        <c:axId val="550724864"/>
        <c:scaling>
          <c:orientation val="minMax"/>
          <c:max val="1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Titel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0724472"/>
        <c:crosses val="autoZero"/>
        <c:crossBetween val="midCat"/>
        <c:majorUnit val="25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6818782831484205"/>
          <c:y val="0.30183335351728074"/>
          <c:w val="0.34217754564909031"/>
          <c:h val="0.558237199145242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600">
          <a:solidFill>
            <a:sysClr val="windowText" lastClr="000000"/>
          </a:solidFill>
        </a:defRPr>
      </a:pPr>
      <a:endParaRPr lang="en-US"/>
    </a:p>
  </c:txPr>
  <c:printSettings>
    <c:headerFooter/>
    <c:pageMargins b="0.78740157499999996" l="0.7" r="0.7" t="0.78740157499999996" header="0.3" footer="0.3"/>
    <c:pageSetup/>
  </c:printSettings>
  <c:userShapes r:id="rId4"/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strRef>
          <c:f>'S Table 3 - raw data - T. cas'!$C$130:$C$133</c:f>
          <c:strCache>
            <c:ptCount val="4"/>
            <c:pt idx="0">
              <c:v>Prosβ5</c:v>
            </c:pt>
          </c:strCache>
        </c:strRef>
      </c:tx>
      <c:layout>
        <c:manualLayout>
          <c:xMode val="edge"/>
          <c:yMode val="edge"/>
          <c:x val="0.69915718404589744"/>
          <c:y val="6.61512598038641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2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707952411797022"/>
          <c:y val="9.7191566495689094E-2"/>
          <c:w val="0.38980616803333429"/>
          <c:h val="0.5946269029881357"/>
        </c:manualLayout>
      </c:layout>
      <c:lineChart>
        <c:grouping val="standard"/>
        <c:varyColors val="0"/>
        <c:ser>
          <c:idx val="0"/>
          <c:order val="0"/>
          <c:tx>
            <c:strRef>
              <c:f>'S Table 3 - raw data - T. cas'!$D$130</c:f>
              <c:strCache>
                <c:ptCount val="1"/>
                <c:pt idx="0">
                  <c:v>250 ng/µl</c:v>
                </c:pt>
              </c:strCache>
            </c:strRef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diamond"/>
            <c:size val="2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cas'!$BR$130:$BY$130</c:f>
              <c:numCache>
                <c:formatCode>General</c:formatCode>
                <c:ptCount val="8"/>
                <c:pt idx="0">
                  <c:v>100</c:v>
                </c:pt>
                <c:pt idx="1">
                  <c:v>75.000000000000014</c:v>
                </c:pt>
                <c:pt idx="2">
                  <c:v>72.222222222222229</c:v>
                </c:pt>
                <c:pt idx="3">
                  <c:v>50</c:v>
                </c:pt>
                <c:pt idx="4">
                  <c:v>36.111111111111114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AE5-498C-9250-2287DC0CF825}"/>
            </c:ext>
          </c:extLst>
        </c:ser>
        <c:ser>
          <c:idx val="1"/>
          <c:order val="1"/>
          <c:tx>
            <c:strRef>
              <c:f>'S Table 3 - raw data - T. cas'!$D$131</c:f>
              <c:strCache>
                <c:ptCount val="1"/>
                <c:pt idx="0">
                  <c:v>1 ng/µl</c:v>
                </c:pt>
              </c:strCache>
            </c:strRef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squar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cas'!$BR$131:$BY$131</c:f>
              <c:numCache>
                <c:formatCode>General</c:formatCode>
                <c:ptCount val="8"/>
                <c:pt idx="0">
                  <c:v>100</c:v>
                </c:pt>
                <c:pt idx="1">
                  <c:v>63.888888888888893</c:v>
                </c:pt>
                <c:pt idx="2">
                  <c:v>47.222222222222229</c:v>
                </c:pt>
                <c:pt idx="3">
                  <c:v>41.666666666666664</c:v>
                </c:pt>
                <c:pt idx="4">
                  <c:v>33.333333333333336</c:v>
                </c:pt>
                <c:pt idx="5">
                  <c:v>33.333333333333336</c:v>
                </c:pt>
                <c:pt idx="6">
                  <c:v>33.333333333333336</c:v>
                </c:pt>
                <c:pt idx="7">
                  <c:v>33.333333333333336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6AE5-498C-9250-2287DC0CF825}"/>
            </c:ext>
          </c:extLst>
        </c:ser>
        <c:ser>
          <c:idx val="2"/>
          <c:order val="2"/>
          <c:tx>
            <c:strRef>
              <c:f>'S Table 3 - raw data - T. cas'!$D$132</c:f>
              <c:strCache>
                <c:ptCount val="1"/>
                <c:pt idx="0">
                  <c:v>0,1 ng/µl</c:v>
                </c:pt>
              </c:strCache>
            </c:strRef>
          </c:tx>
          <c:spPr>
            <a:ln w="1270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circl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cas'!$BR$132:$BY$132</c:f>
              <c:numCache>
                <c:formatCode>General</c:formatCode>
                <c:ptCount val="8"/>
                <c:pt idx="0">
                  <c:v>100</c:v>
                </c:pt>
                <c:pt idx="1">
                  <c:v>80.555555555555557</c:v>
                </c:pt>
                <c:pt idx="2">
                  <c:v>77.777777777777786</c:v>
                </c:pt>
                <c:pt idx="3">
                  <c:v>63.888888888888893</c:v>
                </c:pt>
                <c:pt idx="4">
                  <c:v>50</c:v>
                </c:pt>
                <c:pt idx="5">
                  <c:v>41.666666666666664</c:v>
                </c:pt>
                <c:pt idx="6">
                  <c:v>38.888888888888893</c:v>
                </c:pt>
                <c:pt idx="7">
                  <c:v>38.888888888888893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6AE5-498C-9250-2287DC0CF825}"/>
            </c:ext>
          </c:extLst>
        </c:ser>
        <c:ser>
          <c:idx val="3"/>
          <c:order val="3"/>
          <c:tx>
            <c:strRef>
              <c:f>'S Table 3 - raw data - T. cas'!$D$133</c:f>
              <c:strCache>
                <c:ptCount val="1"/>
                <c:pt idx="0">
                  <c:v>0,01 ng/µl</c:v>
                </c:pt>
              </c:strCache>
            </c:strRef>
          </c:tx>
          <c:spPr>
            <a:ln w="12700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cas'!$BR$133:$BY$133</c:f>
              <c:numCache>
                <c:formatCode>General</c:formatCode>
                <c:ptCount val="8"/>
                <c:pt idx="0">
                  <c:v>100</c:v>
                </c:pt>
                <c:pt idx="1">
                  <c:v>69.444444444444457</c:v>
                </c:pt>
                <c:pt idx="2">
                  <c:v>69.444444444444457</c:v>
                </c:pt>
                <c:pt idx="3">
                  <c:v>55.555555555555564</c:v>
                </c:pt>
                <c:pt idx="4">
                  <c:v>55.555555555555564</c:v>
                </c:pt>
                <c:pt idx="5">
                  <c:v>38.888888888888893</c:v>
                </c:pt>
                <c:pt idx="6">
                  <c:v>36.111111111111114</c:v>
                </c:pt>
                <c:pt idx="7">
                  <c:v>30.555555555555557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6AE5-498C-9250-2287DC0CF8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0725648"/>
        <c:axId val="752448880"/>
      </c:lineChart>
      <c:catAx>
        <c:axId val="5507256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Titel</a:t>
                </a:r>
              </a:p>
            </c:rich>
          </c:tx>
          <c:layout>
            <c:manualLayout>
              <c:xMode val="edge"/>
              <c:yMode val="edge"/>
              <c:x val="0.29913617818317795"/>
              <c:y val="0.828734648805826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448880"/>
        <c:crosses val="autoZero"/>
        <c:auto val="1"/>
        <c:lblAlgn val="ctr"/>
        <c:lblOffset val="100"/>
        <c:noMultiLvlLbl val="0"/>
      </c:catAx>
      <c:valAx>
        <c:axId val="752448880"/>
        <c:scaling>
          <c:orientation val="minMax"/>
          <c:max val="1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Titel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0725648"/>
        <c:crosses val="autoZero"/>
        <c:crossBetween val="midCat"/>
        <c:majorUnit val="25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6818782831484205"/>
          <c:y val="0.30183335351728074"/>
          <c:w val="0.34217754564909031"/>
          <c:h val="0.558237199145242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600">
          <a:solidFill>
            <a:sysClr val="windowText" lastClr="000000"/>
          </a:solidFill>
        </a:defRPr>
      </a:pPr>
      <a:endParaRPr lang="en-US"/>
    </a:p>
  </c:txPr>
  <c:printSettings>
    <c:headerFooter/>
    <c:pageMargins b="0.78740157499999996" l="0.7" r="0.7" t="0.78740157499999996" header="0.3" footer="0.3"/>
    <c:pageSetup/>
  </c:printSettings>
  <c:userShapes r:id="rId4"/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strRef>
          <c:f>'S Table 3 - raw data - T. cas'!$C$134:$C$137</c:f>
          <c:strCache>
            <c:ptCount val="4"/>
            <c:pt idx="0">
              <c:v>Rab6</c:v>
            </c:pt>
          </c:strCache>
        </c:strRef>
      </c:tx>
      <c:layout>
        <c:manualLayout>
          <c:xMode val="edge"/>
          <c:yMode val="edge"/>
          <c:x val="0.69915718404589744"/>
          <c:y val="6.61512598038641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2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707952411797022"/>
          <c:y val="9.7191566495689094E-2"/>
          <c:w val="0.38980616803333429"/>
          <c:h val="0.5946269029881357"/>
        </c:manualLayout>
      </c:layout>
      <c:lineChart>
        <c:grouping val="standard"/>
        <c:varyColors val="0"/>
        <c:ser>
          <c:idx val="0"/>
          <c:order val="0"/>
          <c:tx>
            <c:strRef>
              <c:f>'S Table 3 - raw data - T. cas'!$D$134</c:f>
              <c:strCache>
                <c:ptCount val="1"/>
                <c:pt idx="0">
                  <c:v>250 ng/µl</c:v>
                </c:pt>
              </c:strCache>
            </c:strRef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diamond"/>
            <c:size val="2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cas'!$BR$134:$BY$134</c:f>
              <c:numCache>
                <c:formatCode>General</c:formatCode>
                <c:ptCount val="8"/>
                <c:pt idx="0">
                  <c:v>100</c:v>
                </c:pt>
                <c:pt idx="1">
                  <c:v>83.333333333333343</c:v>
                </c:pt>
                <c:pt idx="2">
                  <c:v>69.444444444444443</c:v>
                </c:pt>
                <c:pt idx="3">
                  <c:v>58.333333333333336</c:v>
                </c:pt>
                <c:pt idx="4">
                  <c:v>33.333333333333336</c:v>
                </c:pt>
                <c:pt idx="5">
                  <c:v>19.444444444444446</c:v>
                </c:pt>
                <c:pt idx="6">
                  <c:v>16.666666666666668</c:v>
                </c:pt>
                <c:pt idx="7">
                  <c:v>16.666666666666668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8C7-46B1-9B45-7FA9E37C11F9}"/>
            </c:ext>
          </c:extLst>
        </c:ser>
        <c:ser>
          <c:idx val="1"/>
          <c:order val="1"/>
          <c:tx>
            <c:strRef>
              <c:f>'S Table 3 - raw data - T. cas'!$D$135</c:f>
              <c:strCache>
                <c:ptCount val="1"/>
                <c:pt idx="0">
                  <c:v>1 ng/µl</c:v>
                </c:pt>
              </c:strCache>
            </c:strRef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squar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cas'!$BR$135:$BY$135</c:f>
              <c:numCache>
                <c:formatCode>General</c:formatCode>
                <c:ptCount val="8"/>
                <c:pt idx="0">
                  <c:v>100</c:v>
                </c:pt>
                <c:pt idx="1">
                  <c:v>72.222222222222229</c:v>
                </c:pt>
                <c:pt idx="2">
                  <c:v>66.666666666666671</c:v>
                </c:pt>
                <c:pt idx="3">
                  <c:v>66.666666666666671</c:v>
                </c:pt>
                <c:pt idx="4">
                  <c:v>66.666666666666671</c:v>
                </c:pt>
                <c:pt idx="5">
                  <c:v>63.888888888888893</c:v>
                </c:pt>
                <c:pt idx="6">
                  <c:v>63.888888888888893</c:v>
                </c:pt>
                <c:pt idx="7">
                  <c:v>63.888888888888893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88C7-46B1-9B45-7FA9E37C11F9}"/>
            </c:ext>
          </c:extLst>
        </c:ser>
        <c:ser>
          <c:idx val="2"/>
          <c:order val="2"/>
          <c:tx>
            <c:strRef>
              <c:f>'S Table 3 - raw data - T. cas'!$D$136</c:f>
              <c:strCache>
                <c:ptCount val="1"/>
                <c:pt idx="0">
                  <c:v>0,1 ng/µl</c:v>
                </c:pt>
              </c:strCache>
            </c:strRef>
          </c:tx>
          <c:spPr>
            <a:ln w="1270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circl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cas'!$BR$136:$BY$136</c:f>
              <c:numCache>
                <c:formatCode>General</c:formatCode>
                <c:ptCount val="8"/>
                <c:pt idx="0">
                  <c:v>100</c:v>
                </c:pt>
                <c:pt idx="1">
                  <c:v>97.222222222222229</c:v>
                </c:pt>
                <c:pt idx="2">
                  <c:v>91.666666666666671</c:v>
                </c:pt>
                <c:pt idx="3">
                  <c:v>91.666666666666671</c:v>
                </c:pt>
                <c:pt idx="4">
                  <c:v>83.333333333333329</c:v>
                </c:pt>
                <c:pt idx="5">
                  <c:v>83.333333333333329</c:v>
                </c:pt>
                <c:pt idx="6">
                  <c:v>83.333333333333343</c:v>
                </c:pt>
                <c:pt idx="7">
                  <c:v>83.333333333333329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88C7-46B1-9B45-7FA9E37C11F9}"/>
            </c:ext>
          </c:extLst>
        </c:ser>
        <c:ser>
          <c:idx val="3"/>
          <c:order val="3"/>
          <c:tx>
            <c:strRef>
              <c:f>'S Table 3 - raw data - T. cas'!$D$137</c:f>
              <c:strCache>
                <c:ptCount val="1"/>
                <c:pt idx="0">
                  <c:v>0,01 ng/µl</c:v>
                </c:pt>
              </c:strCache>
            </c:strRef>
          </c:tx>
          <c:spPr>
            <a:ln w="12700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cas'!$BR$137:$BY$137</c:f>
              <c:numCache>
                <c:formatCode>General</c:formatCode>
                <c:ptCount val="8"/>
                <c:pt idx="0">
                  <c:v>100</c:v>
                </c:pt>
                <c:pt idx="1">
                  <c:v>66.666666666666671</c:v>
                </c:pt>
                <c:pt idx="2">
                  <c:v>63.888888888888893</c:v>
                </c:pt>
                <c:pt idx="3">
                  <c:v>63.888888888888893</c:v>
                </c:pt>
                <c:pt idx="4">
                  <c:v>63.888888888888893</c:v>
                </c:pt>
                <c:pt idx="5">
                  <c:v>52.777777777777779</c:v>
                </c:pt>
                <c:pt idx="6">
                  <c:v>52.777777777777779</c:v>
                </c:pt>
                <c:pt idx="7">
                  <c:v>52.777777777777779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88C7-46B1-9B45-7FA9E37C11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2449664"/>
        <c:axId val="752450056"/>
      </c:lineChart>
      <c:catAx>
        <c:axId val="752449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Titel</a:t>
                </a:r>
              </a:p>
            </c:rich>
          </c:tx>
          <c:layout>
            <c:manualLayout>
              <c:xMode val="edge"/>
              <c:yMode val="edge"/>
              <c:x val="0.29913617818317795"/>
              <c:y val="0.828734648805826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450056"/>
        <c:crosses val="autoZero"/>
        <c:auto val="1"/>
        <c:lblAlgn val="ctr"/>
        <c:lblOffset val="100"/>
        <c:noMultiLvlLbl val="0"/>
      </c:catAx>
      <c:valAx>
        <c:axId val="752450056"/>
        <c:scaling>
          <c:orientation val="minMax"/>
          <c:max val="1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Titel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449664"/>
        <c:crosses val="autoZero"/>
        <c:crossBetween val="midCat"/>
        <c:majorUnit val="25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6818782831484205"/>
          <c:y val="0.30183335351728074"/>
          <c:w val="0.34217754564909031"/>
          <c:h val="0.558237199145242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600">
          <a:solidFill>
            <a:sysClr val="windowText" lastClr="000000"/>
          </a:solidFill>
        </a:defRPr>
      </a:pPr>
      <a:endParaRPr lang="en-US"/>
    </a:p>
  </c:txPr>
  <c:printSettings>
    <c:headerFooter/>
    <c:pageMargins b="0.78740157499999996" l="0.7" r="0.7" t="0.78740157499999996" header="0.3" footer="0.3"/>
    <c:pageSetup/>
  </c:printSettings>
  <c:userShapes r:id="rId4"/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strRef>
          <c:f>'S Table 3 - raw data - T. cas'!$C$138:$C$141</c:f>
          <c:strCache>
            <c:ptCount val="4"/>
            <c:pt idx="0">
              <c:v>Rop</c:v>
            </c:pt>
          </c:strCache>
        </c:strRef>
      </c:tx>
      <c:layout>
        <c:manualLayout>
          <c:xMode val="edge"/>
          <c:yMode val="edge"/>
          <c:x val="0.69915718404589744"/>
          <c:y val="6.61512598038641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2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707952411797022"/>
          <c:y val="9.7191566495689094E-2"/>
          <c:w val="0.38980616803333429"/>
          <c:h val="0.5946269029881357"/>
        </c:manualLayout>
      </c:layout>
      <c:lineChart>
        <c:grouping val="standard"/>
        <c:varyColors val="0"/>
        <c:ser>
          <c:idx val="0"/>
          <c:order val="0"/>
          <c:tx>
            <c:strRef>
              <c:f>'S Table 3 - raw data - T. cas'!$D$138</c:f>
              <c:strCache>
                <c:ptCount val="1"/>
                <c:pt idx="0">
                  <c:v>250 ng/µl</c:v>
                </c:pt>
              </c:strCache>
            </c:strRef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diamond"/>
            <c:size val="2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cas'!$BR$138:$BY$138</c:f>
              <c:numCache>
                <c:formatCode>General</c:formatCode>
                <c:ptCount val="8"/>
                <c:pt idx="0">
                  <c:v>100</c:v>
                </c:pt>
                <c:pt idx="1">
                  <c:v>87.604617604617602</c:v>
                </c:pt>
                <c:pt idx="2">
                  <c:v>21.443001443001446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A6D-4FB2-A30B-FF6A7FD029C1}"/>
            </c:ext>
          </c:extLst>
        </c:ser>
        <c:ser>
          <c:idx val="1"/>
          <c:order val="1"/>
          <c:tx>
            <c:strRef>
              <c:f>'S Table 3 - raw data - T. cas'!$D$139</c:f>
              <c:strCache>
                <c:ptCount val="1"/>
                <c:pt idx="0">
                  <c:v>1 ng/µl</c:v>
                </c:pt>
              </c:strCache>
            </c:strRef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squar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cas'!$BR$139:$BY$139</c:f>
              <c:numCache>
                <c:formatCode>General</c:formatCode>
                <c:ptCount val="8"/>
                <c:pt idx="0">
                  <c:v>100</c:v>
                </c:pt>
                <c:pt idx="1">
                  <c:v>87.728937728937737</c:v>
                </c:pt>
                <c:pt idx="2">
                  <c:v>65.750915750915752</c:v>
                </c:pt>
                <c:pt idx="3">
                  <c:v>31.68498168498169</c:v>
                </c:pt>
                <c:pt idx="4">
                  <c:v>7.3260073260073257</c:v>
                </c:pt>
                <c:pt idx="5">
                  <c:v>2.3809523809523809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8A6D-4FB2-A30B-FF6A7FD029C1}"/>
            </c:ext>
          </c:extLst>
        </c:ser>
        <c:ser>
          <c:idx val="2"/>
          <c:order val="2"/>
          <c:tx>
            <c:strRef>
              <c:f>'S Table 3 - raw data - T. cas'!$D$140</c:f>
              <c:strCache>
                <c:ptCount val="1"/>
                <c:pt idx="0">
                  <c:v>0,1 ng/µl</c:v>
                </c:pt>
              </c:strCache>
            </c:strRef>
          </c:tx>
          <c:spPr>
            <a:ln w="1270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circl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cas'!$BR$140:$BY$140</c:f>
              <c:numCache>
                <c:formatCode>General</c:formatCode>
                <c:ptCount val="8"/>
                <c:pt idx="0">
                  <c:v>100</c:v>
                </c:pt>
                <c:pt idx="1">
                  <c:v>87.545787545787547</c:v>
                </c:pt>
                <c:pt idx="2">
                  <c:v>77.47252747252746</c:v>
                </c:pt>
                <c:pt idx="3">
                  <c:v>52.38095238095238</c:v>
                </c:pt>
                <c:pt idx="4">
                  <c:v>32.234432234432234</c:v>
                </c:pt>
                <c:pt idx="5">
                  <c:v>19.597069597069599</c:v>
                </c:pt>
                <c:pt idx="6">
                  <c:v>19.597069597069599</c:v>
                </c:pt>
                <c:pt idx="7">
                  <c:v>17.216117216117215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8A6D-4FB2-A30B-FF6A7FD029C1}"/>
            </c:ext>
          </c:extLst>
        </c:ser>
        <c:ser>
          <c:idx val="3"/>
          <c:order val="3"/>
          <c:tx>
            <c:strRef>
              <c:f>'S Table 3 - raw data - T. cas'!$D$141</c:f>
              <c:strCache>
                <c:ptCount val="1"/>
                <c:pt idx="0">
                  <c:v>0,01 ng/µl</c:v>
                </c:pt>
              </c:strCache>
            </c:strRef>
          </c:tx>
          <c:spPr>
            <a:ln w="12700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cas'!$BR$141:$BY$141</c:f>
              <c:numCache>
                <c:formatCode>General</c:formatCode>
                <c:ptCount val="8"/>
                <c:pt idx="0">
                  <c:v>100</c:v>
                </c:pt>
                <c:pt idx="1">
                  <c:v>82.222222222222229</c:v>
                </c:pt>
                <c:pt idx="2">
                  <c:v>68.8888888888889</c:v>
                </c:pt>
                <c:pt idx="3">
                  <c:v>44.44444444444445</c:v>
                </c:pt>
                <c:pt idx="4">
                  <c:v>24.444444444444446</c:v>
                </c:pt>
                <c:pt idx="5">
                  <c:v>15.555555555555557</c:v>
                </c:pt>
                <c:pt idx="6">
                  <c:v>15.555555555555557</c:v>
                </c:pt>
                <c:pt idx="7">
                  <c:v>15.555555555555557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8A6D-4FB2-A30B-FF6A7FD029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2647536"/>
        <c:axId val="752647928"/>
      </c:lineChart>
      <c:catAx>
        <c:axId val="7526475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Titel</a:t>
                </a:r>
              </a:p>
            </c:rich>
          </c:tx>
          <c:layout>
            <c:manualLayout>
              <c:xMode val="edge"/>
              <c:yMode val="edge"/>
              <c:x val="0.29913617818317795"/>
              <c:y val="0.828734648805826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647928"/>
        <c:crosses val="autoZero"/>
        <c:auto val="1"/>
        <c:lblAlgn val="ctr"/>
        <c:lblOffset val="100"/>
        <c:noMultiLvlLbl val="0"/>
      </c:catAx>
      <c:valAx>
        <c:axId val="752647928"/>
        <c:scaling>
          <c:orientation val="minMax"/>
          <c:max val="1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Titel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647536"/>
        <c:crosses val="autoZero"/>
        <c:crossBetween val="midCat"/>
        <c:majorUnit val="25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6818782831484205"/>
          <c:y val="0.30183335351728074"/>
          <c:w val="0.34217754564909031"/>
          <c:h val="0.558237199145242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600">
          <a:solidFill>
            <a:sysClr val="windowText" lastClr="000000"/>
          </a:solidFill>
        </a:defRPr>
      </a:pPr>
      <a:endParaRPr lang="en-US"/>
    </a:p>
  </c:txPr>
  <c:printSettings>
    <c:headerFooter/>
    <c:pageMargins b="0.78740157499999996" l="0.7" r="0.7" t="0.78740157499999996" header="0.3" footer="0.3"/>
    <c:pageSetup/>
  </c:printSettings>
  <c:userShapes r:id="rId4"/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strRef>
          <c:f>'S Table 3 - raw data - T. cas'!$C$142:$C$145</c:f>
          <c:strCache>
            <c:ptCount val="4"/>
            <c:pt idx="0">
              <c:v>Rpb7</c:v>
            </c:pt>
          </c:strCache>
        </c:strRef>
      </c:tx>
      <c:layout>
        <c:manualLayout>
          <c:xMode val="edge"/>
          <c:yMode val="edge"/>
          <c:x val="0.69915718404589744"/>
          <c:y val="6.61512598038641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2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707952411797022"/>
          <c:y val="9.7191566495689094E-2"/>
          <c:w val="0.38980616803333429"/>
          <c:h val="0.5946269029881357"/>
        </c:manualLayout>
      </c:layout>
      <c:lineChart>
        <c:grouping val="standard"/>
        <c:varyColors val="0"/>
        <c:ser>
          <c:idx val="0"/>
          <c:order val="0"/>
          <c:tx>
            <c:strRef>
              <c:f>'S Table 3 - raw data - T. cas'!$D$142</c:f>
              <c:strCache>
                <c:ptCount val="1"/>
                <c:pt idx="0">
                  <c:v>250 ng/µl</c:v>
                </c:pt>
              </c:strCache>
            </c:strRef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diamond"/>
            <c:size val="2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cas'!$BR$142:$BY$142</c:f>
              <c:numCache>
                <c:formatCode>General</c:formatCode>
                <c:ptCount val="8"/>
                <c:pt idx="0">
                  <c:v>100</c:v>
                </c:pt>
                <c:pt idx="1">
                  <c:v>75</c:v>
                </c:pt>
                <c:pt idx="2">
                  <c:v>38.888888888888893</c:v>
                </c:pt>
                <c:pt idx="3">
                  <c:v>16.666666666666668</c:v>
                </c:pt>
                <c:pt idx="4">
                  <c:v>2.7777777777777781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06F-4528-83CC-EDD54C90E303}"/>
            </c:ext>
          </c:extLst>
        </c:ser>
        <c:ser>
          <c:idx val="1"/>
          <c:order val="1"/>
          <c:tx>
            <c:strRef>
              <c:f>'S Table 3 - raw data - T. cas'!$D$143</c:f>
              <c:strCache>
                <c:ptCount val="1"/>
                <c:pt idx="0">
                  <c:v>1 ng/µl</c:v>
                </c:pt>
              </c:strCache>
            </c:strRef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squar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cas'!$BR$143:$BY$143</c:f>
              <c:numCache>
                <c:formatCode>General</c:formatCode>
                <c:ptCount val="8"/>
                <c:pt idx="0">
                  <c:v>100</c:v>
                </c:pt>
                <c:pt idx="1">
                  <c:v>63.888888888888893</c:v>
                </c:pt>
                <c:pt idx="2">
                  <c:v>33.333333333333336</c:v>
                </c:pt>
                <c:pt idx="3">
                  <c:v>22.222222222222225</c:v>
                </c:pt>
                <c:pt idx="4">
                  <c:v>19.444444444444446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E06F-4528-83CC-EDD54C90E303}"/>
            </c:ext>
          </c:extLst>
        </c:ser>
        <c:ser>
          <c:idx val="2"/>
          <c:order val="2"/>
          <c:tx>
            <c:strRef>
              <c:f>'S Table 3 - raw data - T. cas'!$D$144</c:f>
              <c:strCache>
                <c:ptCount val="1"/>
                <c:pt idx="0">
                  <c:v>0,1 ng/µl</c:v>
                </c:pt>
              </c:strCache>
            </c:strRef>
          </c:tx>
          <c:spPr>
            <a:ln w="1270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circl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cas'!$BR$144:$BY$144</c:f>
              <c:numCache>
                <c:formatCode>General</c:formatCode>
                <c:ptCount val="8"/>
                <c:pt idx="0">
                  <c:v>100</c:v>
                </c:pt>
                <c:pt idx="1">
                  <c:v>55.555555555555564</c:v>
                </c:pt>
                <c:pt idx="2">
                  <c:v>38.888888888888893</c:v>
                </c:pt>
                <c:pt idx="3">
                  <c:v>22.222222222222225</c:v>
                </c:pt>
                <c:pt idx="4">
                  <c:v>16.666666666666668</c:v>
                </c:pt>
                <c:pt idx="5">
                  <c:v>5.5555555555555562</c:v>
                </c:pt>
                <c:pt idx="6">
                  <c:v>5.5555555555555562</c:v>
                </c:pt>
                <c:pt idx="7">
                  <c:v>5.5555555555555562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E06F-4528-83CC-EDD54C90E303}"/>
            </c:ext>
          </c:extLst>
        </c:ser>
        <c:ser>
          <c:idx val="3"/>
          <c:order val="3"/>
          <c:tx>
            <c:strRef>
              <c:f>'S Table 3 - raw data - T. cas'!$D$145</c:f>
              <c:strCache>
                <c:ptCount val="1"/>
                <c:pt idx="0">
                  <c:v>0,01 ng/µl</c:v>
                </c:pt>
              </c:strCache>
            </c:strRef>
          </c:tx>
          <c:spPr>
            <a:ln w="12700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cas'!$BR$145:$BY$145</c:f>
              <c:numCache>
                <c:formatCode>General</c:formatCode>
                <c:ptCount val="8"/>
                <c:pt idx="0">
                  <c:v>100</c:v>
                </c:pt>
                <c:pt idx="1">
                  <c:v>47.222222222222229</c:v>
                </c:pt>
                <c:pt idx="2">
                  <c:v>36.111111111111114</c:v>
                </c:pt>
                <c:pt idx="3">
                  <c:v>16.666666666666668</c:v>
                </c:pt>
                <c:pt idx="4">
                  <c:v>16.666666666666668</c:v>
                </c:pt>
                <c:pt idx="5">
                  <c:v>5.5555555555555562</c:v>
                </c:pt>
                <c:pt idx="6">
                  <c:v>5.5555555555555562</c:v>
                </c:pt>
                <c:pt idx="7">
                  <c:v>5.5555555555555562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E06F-4528-83CC-EDD54C90E3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2648712"/>
        <c:axId val="752649104"/>
      </c:lineChart>
      <c:catAx>
        <c:axId val="7526487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Titel</a:t>
                </a:r>
              </a:p>
            </c:rich>
          </c:tx>
          <c:layout>
            <c:manualLayout>
              <c:xMode val="edge"/>
              <c:yMode val="edge"/>
              <c:x val="0.29913617818317795"/>
              <c:y val="0.828734648805826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649104"/>
        <c:crosses val="autoZero"/>
        <c:auto val="1"/>
        <c:lblAlgn val="ctr"/>
        <c:lblOffset val="100"/>
        <c:noMultiLvlLbl val="0"/>
      </c:catAx>
      <c:valAx>
        <c:axId val="752649104"/>
        <c:scaling>
          <c:orientation val="minMax"/>
          <c:max val="1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Titel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648712"/>
        <c:crosses val="autoZero"/>
        <c:crossBetween val="midCat"/>
        <c:majorUnit val="25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6818782831484205"/>
          <c:y val="0.30183335351728074"/>
          <c:w val="0.34217754564909031"/>
          <c:h val="0.558237199145242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600">
          <a:solidFill>
            <a:sysClr val="windowText" lastClr="000000"/>
          </a:solidFill>
        </a:defRPr>
      </a:pPr>
      <a:endParaRPr lang="en-US"/>
    </a:p>
  </c:txPr>
  <c:printSettings>
    <c:headerFooter/>
    <c:pageMargins b="0.78740157499999996" l="0.7" r="0.7" t="0.78740157499999996" header="0.3" footer="0.3"/>
    <c:pageSetup/>
  </c:printSettings>
  <c:userShapes r:id="rId4"/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strRef>
          <c:f>'S Table 3 - raw data - T. cas'!$C$146:$C$149</c:f>
          <c:strCache>
            <c:ptCount val="4"/>
            <c:pt idx="0">
              <c:v>RPII-140</c:v>
            </c:pt>
          </c:strCache>
        </c:strRef>
      </c:tx>
      <c:layout>
        <c:manualLayout>
          <c:xMode val="edge"/>
          <c:yMode val="edge"/>
          <c:x val="0.69915718404589744"/>
          <c:y val="6.61512598038641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2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707952411797022"/>
          <c:y val="9.7191566495689094E-2"/>
          <c:w val="0.38980616803333429"/>
          <c:h val="0.5946269029881357"/>
        </c:manualLayout>
      </c:layout>
      <c:lineChart>
        <c:grouping val="standard"/>
        <c:varyColors val="0"/>
        <c:ser>
          <c:idx val="0"/>
          <c:order val="0"/>
          <c:tx>
            <c:strRef>
              <c:f>'S Table 3 - raw data - T. cas'!$D$146</c:f>
              <c:strCache>
                <c:ptCount val="1"/>
                <c:pt idx="0">
                  <c:v>250 ng/µl</c:v>
                </c:pt>
              </c:strCache>
            </c:strRef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diamond"/>
            <c:size val="2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cas'!$BR$146:$BY$146</c:f>
              <c:numCache>
                <c:formatCode>General</c:formatCode>
                <c:ptCount val="8"/>
                <c:pt idx="0">
                  <c:v>100</c:v>
                </c:pt>
                <c:pt idx="1">
                  <c:v>80.555555555555557</c:v>
                </c:pt>
                <c:pt idx="2">
                  <c:v>41.666666666666664</c:v>
                </c:pt>
                <c:pt idx="3">
                  <c:v>25</c:v>
                </c:pt>
                <c:pt idx="4">
                  <c:v>19.444444444444446</c:v>
                </c:pt>
                <c:pt idx="5">
                  <c:v>16.666666666666668</c:v>
                </c:pt>
                <c:pt idx="6">
                  <c:v>13.888888888888891</c:v>
                </c:pt>
                <c:pt idx="7">
                  <c:v>11.111111111111112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3D8B-4167-A3F3-DCB26F9DB7D8}"/>
            </c:ext>
          </c:extLst>
        </c:ser>
        <c:ser>
          <c:idx val="1"/>
          <c:order val="1"/>
          <c:tx>
            <c:strRef>
              <c:f>'S Table 3 - raw data - T. cas'!$D$147</c:f>
              <c:strCache>
                <c:ptCount val="1"/>
                <c:pt idx="0">
                  <c:v>1 ng/µl</c:v>
                </c:pt>
              </c:strCache>
            </c:strRef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squar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cas'!$BR$147:$BY$147</c:f>
              <c:numCache>
                <c:formatCode>General</c:formatCode>
                <c:ptCount val="8"/>
                <c:pt idx="0">
                  <c:v>100</c:v>
                </c:pt>
                <c:pt idx="1">
                  <c:v>88.8888888888889</c:v>
                </c:pt>
                <c:pt idx="2">
                  <c:v>75</c:v>
                </c:pt>
                <c:pt idx="3">
                  <c:v>69.444444444444443</c:v>
                </c:pt>
                <c:pt idx="4">
                  <c:v>63.888888888888893</c:v>
                </c:pt>
                <c:pt idx="5">
                  <c:v>58.333333333333336</c:v>
                </c:pt>
                <c:pt idx="6">
                  <c:v>58.333333333333336</c:v>
                </c:pt>
                <c:pt idx="7">
                  <c:v>58.333333333333336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3D8B-4167-A3F3-DCB26F9DB7D8}"/>
            </c:ext>
          </c:extLst>
        </c:ser>
        <c:ser>
          <c:idx val="2"/>
          <c:order val="2"/>
          <c:tx>
            <c:strRef>
              <c:f>'S Table 3 - raw data - T. cas'!$D$148</c:f>
              <c:strCache>
                <c:ptCount val="1"/>
                <c:pt idx="0">
                  <c:v>0,1 ng/µl</c:v>
                </c:pt>
              </c:strCache>
            </c:strRef>
          </c:tx>
          <c:spPr>
            <a:ln w="1270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circl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cas'!$BR$148:$BY$148</c:f>
              <c:numCache>
                <c:formatCode>General</c:formatCode>
                <c:ptCount val="8"/>
                <c:pt idx="0">
                  <c:v>100</c:v>
                </c:pt>
                <c:pt idx="1">
                  <c:v>66.666666666666671</c:v>
                </c:pt>
                <c:pt idx="2">
                  <c:v>63.888888888888893</c:v>
                </c:pt>
                <c:pt idx="3">
                  <c:v>63.888888888888893</c:v>
                </c:pt>
                <c:pt idx="4">
                  <c:v>63.888888888888893</c:v>
                </c:pt>
                <c:pt idx="5">
                  <c:v>61.111111111111121</c:v>
                </c:pt>
                <c:pt idx="6">
                  <c:v>61.111111111111114</c:v>
                </c:pt>
                <c:pt idx="7">
                  <c:v>58.333333333333336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3D8B-4167-A3F3-DCB26F9DB7D8}"/>
            </c:ext>
          </c:extLst>
        </c:ser>
        <c:ser>
          <c:idx val="3"/>
          <c:order val="3"/>
          <c:tx>
            <c:strRef>
              <c:f>'S Table 3 - raw data - T. cas'!$D$149</c:f>
              <c:strCache>
                <c:ptCount val="1"/>
                <c:pt idx="0">
                  <c:v>0,01 ng/µl</c:v>
                </c:pt>
              </c:strCache>
            </c:strRef>
          </c:tx>
          <c:spPr>
            <a:ln w="12700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cas'!$BR$149:$BY$149</c:f>
              <c:numCache>
                <c:formatCode>General</c:formatCode>
                <c:ptCount val="8"/>
                <c:pt idx="0">
                  <c:v>100</c:v>
                </c:pt>
                <c:pt idx="1">
                  <c:v>66.666666666666671</c:v>
                </c:pt>
                <c:pt idx="2">
                  <c:v>61.111111111111114</c:v>
                </c:pt>
                <c:pt idx="3">
                  <c:v>55.555555555555564</c:v>
                </c:pt>
                <c:pt idx="4">
                  <c:v>55.555555555555564</c:v>
                </c:pt>
                <c:pt idx="5">
                  <c:v>52.777777777777779</c:v>
                </c:pt>
                <c:pt idx="6">
                  <c:v>52.777777777777779</c:v>
                </c:pt>
                <c:pt idx="7">
                  <c:v>52.777777777777779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3D8B-4167-A3F3-DCB26F9DB7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3449008"/>
        <c:axId val="743449400"/>
      </c:lineChart>
      <c:catAx>
        <c:axId val="7434490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Titel</a:t>
                </a:r>
              </a:p>
            </c:rich>
          </c:tx>
          <c:layout>
            <c:manualLayout>
              <c:xMode val="edge"/>
              <c:yMode val="edge"/>
              <c:x val="0.29913617818317795"/>
              <c:y val="0.828734648805826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449400"/>
        <c:crosses val="autoZero"/>
        <c:auto val="1"/>
        <c:lblAlgn val="ctr"/>
        <c:lblOffset val="100"/>
        <c:noMultiLvlLbl val="0"/>
      </c:catAx>
      <c:valAx>
        <c:axId val="743449400"/>
        <c:scaling>
          <c:orientation val="minMax"/>
          <c:max val="1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Titel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449008"/>
        <c:crosses val="autoZero"/>
        <c:crossBetween val="midCat"/>
        <c:majorUnit val="25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6818782831484205"/>
          <c:y val="0.30183335351728074"/>
          <c:w val="0.34217754564909031"/>
          <c:h val="0.558237199145242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600">
          <a:solidFill>
            <a:sysClr val="windowText" lastClr="000000"/>
          </a:solidFill>
        </a:defRPr>
      </a:pPr>
      <a:endParaRPr lang="en-US"/>
    </a:p>
  </c:txPr>
  <c:printSettings>
    <c:headerFooter/>
    <c:pageMargins b="0.78740157499999996" l="0.7" r="0.7" t="0.78740157499999996" header="0.3" footer="0.3"/>
    <c:pageSetup/>
  </c:printSettings>
  <c:userShapes r:id="rId4"/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strRef>
          <c:f>'S Table 3 - raw data - T. cas'!$C$150:$C$153</c:f>
          <c:strCache>
            <c:ptCount val="4"/>
            <c:pt idx="0">
              <c:v>RpL6</c:v>
            </c:pt>
          </c:strCache>
        </c:strRef>
      </c:tx>
      <c:layout>
        <c:manualLayout>
          <c:xMode val="edge"/>
          <c:yMode val="edge"/>
          <c:x val="0.69915718404589744"/>
          <c:y val="6.61512598038641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2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707952411797022"/>
          <c:y val="9.7191566495689094E-2"/>
          <c:w val="0.38980616803333429"/>
          <c:h val="0.5946269029881357"/>
        </c:manualLayout>
      </c:layout>
      <c:lineChart>
        <c:grouping val="standard"/>
        <c:varyColors val="0"/>
        <c:ser>
          <c:idx val="0"/>
          <c:order val="0"/>
          <c:tx>
            <c:strRef>
              <c:f>'S Table 3 - raw data - T. cas'!$D$150</c:f>
              <c:strCache>
                <c:ptCount val="1"/>
                <c:pt idx="0">
                  <c:v>250 ng/µl</c:v>
                </c:pt>
              </c:strCache>
            </c:strRef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diamond"/>
            <c:size val="2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cas'!$BR$150:$BY$150</c:f>
              <c:numCache>
                <c:formatCode>General</c:formatCode>
                <c:ptCount val="8"/>
                <c:pt idx="0">
                  <c:v>100</c:v>
                </c:pt>
                <c:pt idx="1">
                  <c:v>61.111111111111114</c:v>
                </c:pt>
                <c:pt idx="2">
                  <c:v>36.111111111111114</c:v>
                </c:pt>
                <c:pt idx="3">
                  <c:v>11.111111111111112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004-4E4C-B2C7-66C1D6CC6816}"/>
            </c:ext>
          </c:extLst>
        </c:ser>
        <c:ser>
          <c:idx val="1"/>
          <c:order val="1"/>
          <c:tx>
            <c:strRef>
              <c:f>'S Table 3 - raw data - T. cas'!$D$151</c:f>
              <c:strCache>
                <c:ptCount val="1"/>
                <c:pt idx="0">
                  <c:v>1 ng/µl</c:v>
                </c:pt>
              </c:strCache>
            </c:strRef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squar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cas'!$BR$151:$BY$151</c:f>
              <c:numCache>
                <c:formatCode>General</c:formatCode>
                <c:ptCount val="8"/>
                <c:pt idx="0">
                  <c:v>100</c:v>
                </c:pt>
                <c:pt idx="1">
                  <c:v>75</c:v>
                </c:pt>
                <c:pt idx="2">
                  <c:v>75</c:v>
                </c:pt>
                <c:pt idx="3">
                  <c:v>47.222222222222229</c:v>
                </c:pt>
                <c:pt idx="4">
                  <c:v>19.444444444444446</c:v>
                </c:pt>
                <c:pt idx="5">
                  <c:v>2.7777777777777781</c:v>
                </c:pt>
                <c:pt idx="6">
                  <c:v>2.7777777777777781</c:v>
                </c:pt>
                <c:pt idx="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6004-4E4C-B2C7-66C1D6CC6816}"/>
            </c:ext>
          </c:extLst>
        </c:ser>
        <c:ser>
          <c:idx val="2"/>
          <c:order val="2"/>
          <c:tx>
            <c:strRef>
              <c:f>'S Table 3 - raw data - T. cas'!$D$152</c:f>
              <c:strCache>
                <c:ptCount val="1"/>
                <c:pt idx="0">
                  <c:v>0,1 ng/µl</c:v>
                </c:pt>
              </c:strCache>
            </c:strRef>
          </c:tx>
          <c:spPr>
            <a:ln w="1270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circl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cas'!$BR$152:$BY$152</c:f>
              <c:numCache>
                <c:formatCode>General</c:formatCode>
                <c:ptCount val="8"/>
                <c:pt idx="0">
                  <c:v>100</c:v>
                </c:pt>
                <c:pt idx="1">
                  <c:v>61.111111111111114</c:v>
                </c:pt>
                <c:pt idx="2">
                  <c:v>61.111111111111114</c:v>
                </c:pt>
                <c:pt idx="3">
                  <c:v>55.555555555555564</c:v>
                </c:pt>
                <c:pt idx="4">
                  <c:v>52.777777777777779</c:v>
                </c:pt>
                <c:pt idx="5">
                  <c:v>38.888888888888893</c:v>
                </c:pt>
                <c:pt idx="6">
                  <c:v>38.888888888888893</c:v>
                </c:pt>
                <c:pt idx="7">
                  <c:v>38.888888888888893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6004-4E4C-B2C7-66C1D6CC6816}"/>
            </c:ext>
          </c:extLst>
        </c:ser>
        <c:ser>
          <c:idx val="3"/>
          <c:order val="3"/>
          <c:tx>
            <c:strRef>
              <c:f>'S Table 3 - raw data - T. cas'!$D$153</c:f>
              <c:strCache>
                <c:ptCount val="1"/>
                <c:pt idx="0">
                  <c:v>0,01 ng/µl</c:v>
                </c:pt>
              </c:strCache>
            </c:strRef>
          </c:tx>
          <c:spPr>
            <a:ln w="12700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cas'!$BR$153:$BY$153</c:f>
              <c:numCache>
                <c:formatCode>General</c:formatCode>
                <c:ptCount val="8"/>
                <c:pt idx="0">
                  <c:v>100</c:v>
                </c:pt>
                <c:pt idx="1">
                  <c:v>83.333333333333329</c:v>
                </c:pt>
                <c:pt idx="2">
                  <c:v>83.333333333333329</c:v>
                </c:pt>
                <c:pt idx="3">
                  <c:v>75</c:v>
                </c:pt>
                <c:pt idx="4">
                  <c:v>75</c:v>
                </c:pt>
                <c:pt idx="5">
                  <c:v>75</c:v>
                </c:pt>
                <c:pt idx="6">
                  <c:v>75</c:v>
                </c:pt>
                <c:pt idx="7">
                  <c:v>75.000000000000014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6004-4E4C-B2C7-66C1D6CC68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3450184"/>
        <c:axId val="743450576"/>
      </c:lineChart>
      <c:catAx>
        <c:axId val="7434501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Titel</a:t>
                </a:r>
              </a:p>
            </c:rich>
          </c:tx>
          <c:layout>
            <c:manualLayout>
              <c:xMode val="edge"/>
              <c:yMode val="edge"/>
              <c:x val="0.29913617818317795"/>
              <c:y val="0.828734648805826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450576"/>
        <c:crosses val="autoZero"/>
        <c:auto val="1"/>
        <c:lblAlgn val="ctr"/>
        <c:lblOffset val="100"/>
        <c:noMultiLvlLbl val="0"/>
      </c:catAx>
      <c:valAx>
        <c:axId val="743450576"/>
        <c:scaling>
          <c:orientation val="minMax"/>
          <c:max val="1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Titel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450184"/>
        <c:crosses val="autoZero"/>
        <c:crossBetween val="midCat"/>
        <c:majorUnit val="25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6818782831484205"/>
          <c:y val="0.30183335351728074"/>
          <c:w val="0.34217754564909031"/>
          <c:h val="0.558237199145242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600">
          <a:solidFill>
            <a:sysClr val="windowText" lastClr="000000"/>
          </a:solidFill>
        </a:defRPr>
      </a:pPr>
      <a:endParaRPr lang="en-US"/>
    </a:p>
  </c:txPr>
  <c:printSettings>
    <c:headerFooter/>
    <c:pageMargins b="0.78740157499999996" l="0.7" r="0.7" t="0.78740157499999996" header="0.3" footer="0.3"/>
    <c:pageSetup/>
  </c:printSettings>
  <c:userShapes r:id="rId4"/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strRef>
          <c:f>'S Table 3 - raw data - T. cas'!$C$154:$C$157</c:f>
          <c:strCache>
            <c:ptCount val="4"/>
            <c:pt idx="0">
              <c:v>Rpn11</c:v>
            </c:pt>
          </c:strCache>
        </c:strRef>
      </c:tx>
      <c:layout>
        <c:manualLayout>
          <c:xMode val="edge"/>
          <c:yMode val="edge"/>
          <c:x val="0.69915718404589744"/>
          <c:y val="6.61512598038641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2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707952411797022"/>
          <c:y val="9.7191566495689094E-2"/>
          <c:w val="0.38980616803333429"/>
          <c:h val="0.5946269029881357"/>
        </c:manualLayout>
      </c:layout>
      <c:lineChart>
        <c:grouping val="standard"/>
        <c:varyColors val="0"/>
        <c:ser>
          <c:idx val="0"/>
          <c:order val="0"/>
          <c:tx>
            <c:strRef>
              <c:f>'S Table 3 - raw data - T. cas'!$D$154</c:f>
              <c:strCache>
                <c:ptCount val="1"/>
                <c:pt idx="0">
                  <c:v>250 ng/µl</c:v>
                </c:pt>
              </c:strCache>
            </c:strRef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diamond"/>
            <c:size val="2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cas'!$BR$154:$BY$154</c:f>
              <c:numCache>
                <c:formatCode>General</c:formatCode>
                <c:ptCount val="8"/>
                <c:pt idx="0">
                  <c:v>100</c:v>
                </c:pt>
                <c:pt idx="1">
                  <c:v>81.904761904761912</c:v>
                </c:pt>
                <c:pt idx="2">
                  <c:v>32.857142857142854</c:v>
                </c:pt>
                <c:pt idx="3">
                  <c:v>8.3333333333333339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458-42B6-89DD-5EF6E1C54E84}"/>
            </c:ext>
          </c:extLst>
        </c:ser>
        <c:ser>
          <c:idx val="1"/>
          <c:order val="1"/>
          <c:tx>
            <c:strRef>
              <c:f>'S Table 3 - raw data - T. cas'!$D$155</c:f>
              <c:strCache>
                <c:ptCount val="1"/>
                <c:pt idx="0">
                  <c:v>1 ng/µl</c:v>
                </c:pt>
              </c:strCache>
            </c:strRef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squar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cas'!$BR$155:$BY$155</c:f>
              <c:numCache>
                <c:formatCode>General</c:formatCode>
                <c:ptCount val="8"/>
                <c:pt idx="0">
                  <c:v>100</c:v>
                </c:pt>
                <c:pt idx="1">
                  <c:v>73.290598290598297</c:v>
                </c:pt>
                <c:pt idx="2">
                  <c:v>48.931623931623932</c:v>
                </c:pt>
                <c:pt idx="3">
                  <c:v>30.128205128205128</c:v>
                </c:pt>
                <c:pt idx="4">
                  <c:v>8.3333333333333339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2458-42B6-89DD-5EF6E1C54E84}"/>
            </c:ext>
          </c:extLst>
        </c:ser>
        <c:ser>
          <c:idx val="2"/>
          <c:order val="2"/>
          <c:tx>
            <c:strRef>
              <c:f>'S Table 3 - raw data - T. cas'!$D$156</c:f>
              <c:strCache>
                <c:ptCount val="1"/>
                <c:pt idx="0">
                  <c:v>0,1 ng/µl</c:v>
                </c:pt>
              </c:strCache>
            </c:strRef>
          </c:tx>
          <c:spPr>
            <a:ln w="1270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circl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cas'!$BR$156:$BY$156</c:f>
              <c:numCache>
                <c:formatCode>General</c:formatCode>
                <c:ptCount val="8"/>
                <c:pt idx="0">
                  <c:v>100</c:v>
                </c:pt>
                <c:pt idx="1">
                  <c:v>84.554334554334559</c:v>
                </c:pt>
                <c:pt idx="2">
                  <c:v>66.941391941391942</c:v>
                </c:pt>
                <c:pt idx="3">
                  <c:v>62.179487179487182</c:v>
                </c:pt>
                <c:pt idx="4">
                  <c:v>49.297924297924304</c:v>
                </c:pt>
                <c:pt idx="5">
                  <c:v>31.288156288156291</c:v>
                </c:pt>
                <c:pt idx="6">
                  <c:v>26.526251526251528</c:v>
                </c:pt>
                <c:pt idx="7">
                  <c:v>26.526251526251528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2458-42B6-89DD-5EF6E1C54E84}"/>
            </c:ext>
          </c:extLst>
        </c:ser>
        <c:ser>
          <c:idx val="3"/>
          <c:order val="3"/>
          <c:tx>
            <c:strRef>
              <c:f>'S Table 3 - raw data - T. cas'!$D$157</c:f>
              <c:strCache>
                <c:ptCount val="1"/>
                <c:pt idx="0">
                  <c:v>0,01 ng/µl</c:v>
                </c:pt>
              </c:strCache>
            </c:strRef>
          </c:tx>
          <c:spPr>
            <a:ln w="12700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cas'!$BR$157:$BY$157</c:f>
              <c:numCache>
                <c:formatCode>General</c:formatCode>
                <c:ptCount val="8"/>
                <c:pt idx="0">
                  <c:v>100</c:v>
                </c:pt>
                <c:pt idx="1">
                  <c:v>88.174603174603178</c:v>
                </c:pt>
                <c:pt idx="2">
                  <c:v>75.793650793650798</c:v>
                </c:pt>
                <c:pt idx="3">
                  <c:v>66.587301587301582</c:v>
                </c:pt>
                <c:pt idx="4">
                  <c:v>64.365079365079367</c:v>
                </c:pt>
                <c:pt idx="5">
                  <c:v>64.365079365079367</c:v>
                </c:pt>
                <c:pt idx="6">
                  <c:v>64.365079365079367</c:v>
                </c:pt>
                <c:pt idx="7">
                  <c:v>62.142857142857146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2458-42B6-89DD-5EF6E1C54E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3451360"/>
        <c:axId val="743451752"/>
      </c:lineChart>
      <c:catAx>
        <c:axId val="7434513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Titel</a:t>
                </a:r>
              </a:p>
            </c:rich>
          </c:tx>
          <c:layout>
            <c:manualLayout>
              <c:xMode val="edge"/>
              <c:yMode val="edge"/>
              <c:x val="0.29913617818317795"/>
              <c:y val="0.828734648805826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451752"/>
        <c:crosses val="autoZero"/>
        <c:auto val="1"/>
        <c:lblAlgn val="ctr"/>
        <c:lblOffset val="100"/>
        <c:noMultiLvlLbl val="0"/>
      </c:catAx>
      <c:valAx>
        <c:axId val="743451752"/>
        <c:scaling>
          <c:orientation val="minMax"/>
          <c:max val="1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Titel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451360"/>
        <c:crosses val="autoZero"/>
        <c:crossBetween val="midCat"/>
        <c:majorUnit val="25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6818782831484205"/>
          <c:y val="0.30183335351728074"/>
          <c:w val="0.34217754564909031"/>
          <c:h val="0.558237199145242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600">
          <a:solidFill>
            <a:sysClr val="windowText" lastClr="000000"/>
          </a:solidFill>
        </a:defRPr>
      </a:pPr>
      <a:endParaRPr lang="en-US"/>
    </a:p>
  </c:txPr>
  <c:printSettings>
    <c:headerFooter/>
    <c:pageMargins b="0.78740157499999996" l="0.7" r="0.7" t="0.78740157499999996" header="0.3" footer="0.3"/>
    <c:pageSetup/>
  </c:printSettings>
  <c:userShapes r:id="rId4"/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strRef>
          <c:f>'S Table 3 - raw data - T. cas'!$C$158:$C$161</c:f>
          <c:strCache>
            <c:ptCount val="4"/>
            <c:pt idx="0">
              <c:v>Rpn12</c:v>
            </c:pt>
          </c:strCache>
        </c:strRef>
      </c:tx>
      <c:layout>
        <c:manualLayout>
          <c:xMode val="edge"/>
          <c:yMode val="edge"/>
          <c:x val="0.69915718404589744"/>
          <c:y val="6.61512598038641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2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707952411797022"/>
          <c:y val="9.7191566495689094E-2"/>
          <c:w val="0.38980616803333429"/>
          <c:h val="0.5946269029881357"/>
        </c:manualLayout>
      </c:layout>
      <c:lineChart>
        <c:grouping val="standard"/>
        <c:varyColors val="0"/>
        <c:ser>
          <c:idx val="0"/>
          <c:order val="0"/>
          <c:tx>
            <c:strRef>
              <c:f>'S Table 3 - raw data - T. cas'!$D$158</c:f>
              <c:strCache>
                <c:ptCount val="1"/>
                <c:pt idx="0">
                  <c:v>250 ng/µl</c:v>
                </c:pt>
              </c:strCache>
            </c:strRef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diamond"/>
            <c:size val="2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cas'!$BR$158:$BY$158</c:f>
              <c:numCache>
                <c:formatCode>General</c:formatCode>
                <c:ptCount val="8"/>
                <c:pt idx="0">
                  <c:v>100</c:v>
                </c:pt>
                <c:pt idx="1">
                  <c:v>91.880341880341874</c:v>
                </c:pt>
                <c:pt idx="2">
                  <c:v>39.590964590964596</c:v>
                </c:pt>
                <c:pt idx="3">
                  <c:v>2.3809523809523809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C29-401F-A26D-4CB9EDD46A90}"/>
            </c:ext>
          </c:extLst>
        </c:ser>
        <c:ser>
          <c:idx val="1"/>
          <c:order val="1"/>
          <c:tx>
            <c:strRef>
              <c:f>'S Table 3 - raw data - T. cas'!$D$159</c:f>
              <c:strCache>
                <c:ptCount val="1"/>
                <c:pt idx="0">
                  <c:v>1 ng/µl</c:v>
                </c:pt>
              </c:strCache>
            </c:strRef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squar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cas'!$BR$159:$BY$159</c:f>
              <c:numCache>
                <c:formatCode>General</c:formatCode>
                <c:ptCount val="8"/>
                <c:pt idx="0">
                  <c:v>100</c:v>
                </c:pt>
                <c:pt idx="1">
                  <c:v>79.523809523809518</c:v>
                </c:pt>
                <c:pt idx="2">
                  <c:v>65.873015873015888</c:v>
                </c:pt>
                <c:pt idx="3">
                  <c:v>36.507936507936513</c:v>
                </c:pt>
                <c:pt idx="4">
                  <c:v>6.666666666666667</c:v>
                </c:pt>
                <c:pt idx="5">
                  <c:v>4.4444444444444446</c:v>
                </c:pt>
                <c:pt idx="6">
                  <c:v>4.4444444444444446</c:v>
                </c:pt>
                <c:pt idx="7">
                  <c:v>4.4444444444444446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DC29-401F-A26D-4CB9EDD46A90}"/>
            </c:ext>
          </c:extLst>
        </c:ser>
        <c:ser>
          <c:idx val="2"/>
          <c:order val="2"/>
          <c:tx>
            <c:strRef>
              <c:f>'S Table 3 - raw data - T. cas'!$D$160</c:f>
              <c:strCache>
                <c:ptCount val="1"/>
                <c:pt idx="0">
                  <c:v>0,1 ng/µl</c:v>
                </c:pt>
              </c:strCache>
            </c:strRef>
          </c:tx>
          <c:spPr>
            <a:ln w="1270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circl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cas'!$BR$160:$BY$160</c:f>
              <c:numCache>
                <c:formatCode>General</c:formatCode>
                <c:ptCount val="8"/>
                <c:pt idx="0">
                  <c:v>100</c:v>
                </c:pt>
                <c:pt idx="1">
                  <c:v>78.632478632478637</c:v>
                </c:pt>
                <c:pt idx="2">
                  <c:v>76.410256410256409</c:v>
                </c:pt>
                <c:pt idx="3">
                  <c:v>69.401709401709411</c:v>
                </c:pt>
                <c:pt idx="4">
                  <c:v>55.384615384615387</c:v>
                </c:pt>
                <c:pt idx="5">
                  <c:v>44.273504273504273</c:v>
                </c:pt>
                <c:pt idx="6">
                  <c:v>36.581196581196586</c:v>
                </c:pt>
                <c:pt idx="7">
                  <c:v>34.358974358974365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DC29-401F-A26D-4CB9EDD46A90}"/>
            </c:ext>
          </c:extLst>
        </c:ser>
        <c:ser>
          <c:idx val="3"/>
          <c:order val="3"/>
          <c:tx>
            <c:strRef>
              <c:f>'S Table 3 - raw data - T. cas'!$D$161</c:f>
              <c:strCache>
                <c:ptCount val="1"/>
                <c:pt idx="0">
                  <c:v>0,01 ng/µl</c:v>
                </c:pt>
              </c:strCache>
            </c:strRef>
          </c:tx>
          <c:spPr>
            <a:ln w="12700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cas'!$BR$161:$BY$161</c:f>
              <c:numCache>
                <c:formatCode>General</c:formatCode>
                <c:ptCount val="8"/>
                <c:pt idx="0">
                  <c:v>100</c:v>
                </c:pt>
                <c:pt idx="1">
                  <c:v>95.555555555555557</c:v>
                </c:pt>
                <c:pt idx="2">
                  <c:v>95.555555555555557</c:v>
                </c:pt>
                <c:pt idx="3">
                  <c:v>95.555555555555557</c:v>
                </c:pt>
                <c:pt idx="4">
                  <c:v>95.555555555555557</c:v>
                </c:pt>
                <c:pt idx="5">
                  <c:v>77.142857142857153</c:v>
                </c:pt>
                <c:pt idx="6">
                  <c:v>77.142857142857153</c:v>
                </c:pt>
                <c:pt idx="7">
                  <c:v>77.142857142857153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DC29-401F-A26D-4CB9EDD46A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2479600"/>
        <c:axId val="752479992"/>
      </c:lineChart>
      <c:catAx>
        <c:axId val="7524796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Titel</a:t>
                </a:r>
              </a:p>
            </c:rich>
          </c:tx>
          <c:layout>
            <c:manualLayout>
              <c:xMode val="edge"/>
              <c:yMode val="edge"/>
              <c:x val="0.29913617818317795"/>
              <c:y val="0.828734648805826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479992"/>
        <c:crosses val="autoZero"/>
        <c:auto val="1"/>
        <c:lblAlgn val="ctr"/>
        <c:lblOffset val="100"/>
        <c:noMultiLvlLbl val="0"/>
      </c:catAx>
      <c:valAx>
        <c:axId val="752479992"/>
        <c:scaling>
          <c:orientation val="minMax"/>
          <c:max val="1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Titel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479600"/>
        <c:crosses val="autoZero"/>
        <c:crossBetween val="midCat"/>
        <c:majorUnit val="25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6818782831484205"/>
          <c:y val="0.30183335351728074"/>
          <c:w val="0.34217754564909031"/>
          <c:h val="0.558237199145242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600">
          <a:solidFill>
            <a:sysClr val="windowText" lastClr="000000"/>
          </a:solidFill>
        </a:defRPr>
      </a:pPr>
      <a:endParaRPr lang="en-US"/>
    </a:p>
  </c:txPr>
  <c:printSettings>
    <c:headerFooter/>
    <c:pageMargins b="0.78740157499999996" l="0.7" r="0.7" t="0.78740157499999996" header="0.3" footer="0.3"/>
    <c:pageSetup/>
  </c:printSettings>
  <c:userShapes r:id="rId4"/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strRef>
          <c:f>'S Table 3 - raw data - T. cas'!$C$162:$C$165</c:f>
          <c:strCache>
            <c:ptCount val="4"/>
            <c:pt idx="0">
              <c:v>Rpn7</c:v>
            </c:pt>
          </c:strCache>
        </c:strRef>
      </c:tx>
      <c:layout>
        <c:manualLayout>
          <c:xMode val="edge"/>
          <c:yMode val="edge"/>
          <c:x val="0.69915718404589744"/>
          <c:y val="6.61512598038641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2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707952411797022"/>
          <c:y val="9.7191566495689094E-2"/>
          <c:w val="0.38980616803333429"/>
          <c:h val="0.5946269029881357"/>
        </c:manualLayout>
      </c:layout>
      <c:lineChart>
        <c:grouping val="standard"/>
        <c:varyColors val="0"/>
        <c:ser>
          <c:idx val="0"/>
          <c:order val="0"/>
          <c:tx>
            <c:strRef>
              <c:f>'S Table 3 - raw data - T. cas'!$D$162</c:f>
              <c:strCache>
                <c:ptCount val="1"/>
                <c:pt idx="0">
                  <c:v>250 ng/µl</c:v>
                </c:pt>
              </c:strCache>
            </c:strRef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diamond"/>
            <c:size val="2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cas'!$BR$162:$BY$162</c:f>
              <c:numCache>
                <c:formatCode>General</c:formatCode>
                <c:ptCount val="8"/>
                <c:pt idx="0">
                  <c:v>100</c:v>
                </c:pt>
                <c:pt idx="1">
                  <c:v>66.666666666666671</c:v>
                </c:pt>
                <c:pt idx="2">
                  <c:v>36.111111111111114</c:v>
                </c:pt>
                <c:pt idx="3">
                  <c:v>22.222222222222225</c:v>
                </c:pt>
                <c:pt idx="4">
                  <c:v>11.111111111111112</c:v>
                </c:pt>
                <c:pt idx="5">
                  <c:v>5.5555555555555562</c:v>
                </c:pt>
                <c:pt idx="6">
                  <c:v>2.7777777777777781</c:v>
                </c:pt>
                <c:pt idx="7">
                  <c:v>2.7777777777777781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57C2-4BBE-A379-1EA68DC83533}"/>
            </c:ext>
          </c:extLst>
        </c:ser>
        <c:ser>
          <c:idx val="1"/>
          <c:order val="1"/>
          <c:tx>
            <c:strRef>
              <c:f>'S Table 3 - raw data - T. cas'!$D$163</c:f>
              <c:strCache>
                <c:ptCount val="1"/>
                <c:pt idx="0">
                  <c:v>1 ng/µl</c:v>
                </c:pt>
              </c:strCache>
            </c:strRef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squar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cas'!$BR$163:$BY$163</c:f>
              <c:numCache>
                <c:formatCode>General</c:formatCode>
                <c:ptCount val="8"/>
                <c:pt idx="0">
                  <c:v>100</c:v>
                </c:pt>
                <c:pt idx="1">
                  <c:v>69.444444444444457</c:v>
                </c:pt>
                <c:pt idx="2">
                  <c:v>52.777777777777779</c:v>
                </c:pt>
                <c:pt idx="3">
                  <c:v>36.111111111111114</c:v>
                </c:pt>
                <c:pt idx="4">
                  <c:v>30.555555555555557</c:v>
                </c:pt>
                <c:pt idx="5">
                  <c:v>30.555555555555557</c:v>
                </c:pt>
                <c:pt idx="6">
                  <c:v>30.555555555555557</c:v>
                </c:pt>
                <c:pt idx="7">
                  <c:v>27.777777777777782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57C2-4BBE-A379-1EA68DC83533}"/>
            </c:ext>
          </c:extLst>
        </c:ser>
        <c:ser>
          <c:idx val="2"/>
          <c:order val="2"/>
          <c:tx>
            <c:strRef>
              <c:f>'S Table 3 - raw data - T. cas'!$D$164</c:f>
              <c:strCache>
                <c:ptCount val="1"/>
                <c:pt idx="0">
                  <c:v>0,1 ng/µl</c:v>
                </c:pt>
              </c:strCache>
            </c:strRef>
          </c:tx>
          <c:spPr>
            <a:ln w="1270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circl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cas'!$BR$164:$BY$164</c:f>
              <c:numCache>
                <c:formatCode>General</c:formatCode>
                <c:ptCount val="8"/>
                <c:pt idx="0">
                  <c:v>100</c:v>
                </c:pt>
                <c:pt idx="1">
                  <c:v>66.666666666666671</c:v>
                </c:pt>
                <c:pt idx="2">
                  <c:v>41.666666666666664</c:v>
                </c:pt>
                <c:pt idx="3">
                  <c:v>36.111111111111114</c:v>
                </c:pt>
                <c:pt idx="4">
                  <c:v>33.333333333333336</c:v>
                </c:pt>
                <c:pt idx="5">
                  <c:v>30.555555555555557</c:v>
                </c:pt>
                <c:pt idx="6">
                  <c:v>30.555555555555557</c:v>
                </c:pt>
                <c:pt idx="7">
                  <c:v>27.777777777777782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57C2-4BBE-A379-1EA68DC83533}"/>
            </c:ext>
          </c:extLst>
        </c:ser>
        <c:ser>
          <c:idx val="3"/>
          <c:order val="3"/>
          <c:tx>
            <c:strRef>
              <c:f>'S Table 3 - raw data - T. cas'!$D$165</c:f>
              <c:strCache>
                <c:ptCount val="1"/>
                <c:pt idx="0">
                  <c:v>0,01 ng/µl</c:v>
                </c:pt>
              </c:strCache>
            </c:strRef>
          </c:tx>
          <c:spPr>
            <a:ln w="12700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cas'!$BR$165:$BY$165</c:f>
              <c:numCache>
                <c:formatCode>General</c:formatCode>
                <c:ptCount val="8"/>
                <c:pt idx="0">
                  <c:v>100</c:v>
                </c:pt>
                <c:pt idx="1">
                  <c:v>80.555555555555557</c:v>
                </c:pt>
                <c:pt idx="2">
                  <c:v>63.888888888888893</c:v>
                </c:pt>
                <c:pt idx="3">
                  <c:v>52.777777777777779</c:v>
                </c:pt>
                <c:pt idx="4">
                  <c:v>50</c:v>
                </c:pt>
                <c:pt idx="5">
                  <c:v>47.222222222222229</c:v>
                </c:pt>
                <c:pt idx="6">
                  <c:v>44.44444444444445</c:v>
                </c:pt>
                <c:pt idx="7">
                  <c:v>41.666666666666671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57C2-4BBE-A379-1EA68DC835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2480776"/>
        <c:axId val="752481168"/>
      </c:lineChart>
      <c:catAx>
        <c:axId val="7524807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Titel</a:t>
                </a:r>
              </a:p>
            </c:rich>
          </c:tx>
          <c:layout>
            <c:manualLayout>
              <c:xMode val="edge"/>
              <c:yMode val="edge"/>
              <c:x val="0.29913617818317795"/>
              <c:y val="0.828734648805826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481168"/>
        <c:crosses val="autoZero"/>
        <c:auto val="1"/>
        <c:lblAlgn val="ctr"/>
        <c:lblOffset val="100"/>
        <c:noMultiLvlLbl val="0"/>
      </c:catAx>
      <c:valAx>
        <c:axId val="752481168"/>
        <c:scaling>
          <c:orientation val="minMax"/>
          <c:max val="1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Titel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480776"/>
        <c:crosses val="autoZero"/>
        <c:crossBetween val="midCat"/>
        <c:majorUnit val="25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6818782831484205"/>
          <c:y val="0.30183335351728074"/>
          <c:w val="0.34217754564909031"/>
          <c:h val="0.558237199145242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600">
          <a:solidFill>
            <a:sysClr val="windowText" lastClr="000000"/>
          </a:solidFill>
        </a:defRPr>
      </a:pPr>
      <a:endParaRPr lang="en-US"/>
    </a:p>
  </c:txPr>
  <c:printSettings>
    <c:headerFooter/>
    <c:pageMargins b="0.78740157499999996" l="0.7" r="0.7" t="0.78740157499999996" header="0.3" footer="0.3"/>
    <c:pageSetup/>
  </c:printSettings>
  <c:userShapes r:id="rId4"/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strRef>
          <c:f>'S Table 3 - raw data - T. cas'!$C$166:$C$169</c:f>
          <c:strCache>
            <c:ptCount val="4"/>
            <c:pt idx="0">
              <c:v>Rpt3</c:v>
            </c:pt>
          </c:strCache>
        </c:strRef>
      </c:tx>
      <c:layout>
        <c:manualLayout>
          <c:xMode val="edge"/>
          <c:yMode val="edge"/>
          <c:x val="0.69915718404589744"/>
          <c:y val="6.61512598038641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2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707952411797022"/>
          <c:y val="9.7191566495689094E-2"/>
          <c:w val="0.38980616803333429"/>
          <c:h val="0.5946269029881357"/>
        </c:manualLayout>
      </c:layout>
      <c:lineChart>
        <c:grouping val="standard"/>
        <c:varyColors val="0"/>
        <c:ser>
          <c:idx val="0"/>
          <c:order val="0"/>
          <c:tx>
            <c:strRef>
              <c:f>'S Table 3 - raw data - T. cas'!$D$166</c:f>
              <c:strCache>
                <c:ptCount val="1"/>
                <c:pt idx="0">
                  <c:v>250 ng/µl</c:v>
                </c:pt>
              </c:strCache>
            </c:strRef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diamond"/>
            <c:size val="2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cas'!$BR$166:$BY$166</c:f>
              <c:numCache>
                <c:formatCode>General</c:formatCode>
                <c:ptCount val="8"/>
                <c:pt idx="0">
                  <c:v>100</c:v>
                </c:pt>
                <c:pt idx="1">
                  <c:v>75</c:v>
                </c:pt>
                <c:pt idx="2">
                  <c:v>44.44444444444445</c:v>
                </c:pt>
                <c:pt idx="3">
                  <c:v>13.888888888888891</c:v>
                </c:pt>
                <c:pt idx="4">
                  <c:v>5.5555555555555562</c:v>
                </c:pt>
                <c:pt idx="5">
                  <c:v>2.7777777777777781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3AE-4E6A-965D-825DB3AB0F5D}"/>
            </c:ext>
          </c:extLst>
        </c:ser>
        <c:ser>
          <c:idx val="1"/>
          <c:order val="1"/>
          <c:tx>
            <c:strRef>
              <c:f>'S Table 3 - raw data - T. cas'!$D$167</c:f>
              <c:strCache>
                <c:ptCount val="1"/>
                <c:pt idx="0">
                  <c:v>1 ng/µl</c:v>
                </c:pt>
              </c:strCache>
            </c:strRef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squar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cas'!$BR$167:$BY$167</c:f>
              <c:numCache>
                <c:formatCode>General</c:formatCode>
                <c:ptCount val="8"/>
                <c:pt idx="0">
                  <c:v>100</c:v>
                </c:pt>
                <c:pt idx="1">
                  <c:v>69.444444444444457</c:v>
                </c:pt>
                <c:pt idx="2">
                  <c:v>47.222222222222229</c:v>
                </c:pt>
                <c:pt idx="3">
                  <c:v>22.222222222222225</c:v>
                </c:pt>
                <c:pt idx="4">
                  <c:v>11.111111111111112</c:v>
                </c:pt>
                <c:pt idx="5">
                  <c:v>2.7777777777777781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63AE-4E6A-965D-825DB3AB0F5D}"/>
            </c:ext>
          </c:extLst>
        </c:ser>
        <c:ser>
          <c:idx val="2"/>
          <c:order val="2"/>
          <c:tx>
            <c:strRef>
              <c:f>'S Table 3 - raw data - T. cas'!$D$168</c:f>
              <c:strCache>
                <c:ptCount val="1"/>
                <c:pt idx="0">
                  <c:v>0,1 ng/µl</c:v>
                </c:pt>
              </c:strCache>
            </c:strRef>
          </c:tx>
          <c:spPr>
            <a:ln w="1270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circl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cas'!$BR$168:$BY$168</c:f>
              <c:numCache>
                <c:formatCode>General</c:formatCode>
                <c:ptCount val="8"/>
                <c:pt idx="0">
                  <c:v>100</c:v>
                </c:pt>
                <c:pt idx="1">
                  <c:v>77.777777777777786</c:v>
                </c:pt>
                <c:pt idx="2">
                  <c:v>58.333333333333336</c:v>
                </c:pt>
                <c:pt idx="3">
                  <c:v>33.333333333333336</c:v>
                </c:pt>
                <c:pt idx="4">
                  <c:v>22.222222222222225</c:v>
                </c:pt>
                <c:pt idx="5">
                  <c:v>13.888888888888891</c:v>
                </c:pt>
                <c:pt idx="6">
                  <c:v>13.888888888888891</c:v>
                </c:pt>
                <c:pt idx="7">
                  <c:v>13.888888888888891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63AE-4E6A-965D-825DB3AB0F5D}"/>
            </c:ext>
          </c:extLst>
        </c:ser>
        <c:ser>
          <c:idx val="3"/>
          <c:order val="3"/>
          <c:tx>
            <c:strRef>
              <c:f>'S Table 3 - raw data - T. cas'!$D$169</c:f>
              <c:strCache>
                <c:ptCount val="1"/>
                <c:pt idx="0">
                  <c:v>0,01 ng/µl</c:v>
                </c:pt>
              </c:strCache>
            </c:strRef>
          </c:tx>
          <c:spPr>
            <a:ln w="12700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cas'!$BR$169:$BY$169</c:f>
              <c:numCache>
                <c:formatCode>General</c:formatCode>
                <c:ptCount val="8"/>
                <c:pt idx="0">
                  <c:v>100</c:v>
                </c:pt>
                <c:pt idx="1">
                  <c:v>72.222222222222229</c:v>
                </c:pt>
                <c:pt idx="2">
                  <c:v>55.555555555555564</c:v>
                </c:pt>
                <c:pt idx="3">
                  <c:v>41.666666666666671</c:v>
                </c:pt>
                <c:pt idx="4">
                  <c:v>36.111111111111114</c:v>
                </c:pt>
                <c:pt idx="5">
                  <c:v>5.5555555555555562</c:v>
                </c:pt>
                <c:pt idx="6">
                  <c:v>5.5555555555555562</c:v>
                </c:pt>
                <c:pt idx="7">
                  <c:v>5.5555555555555562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63AE-4E6A-965D-825DB3AB0F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2481952"/>
        <c:axId val="752482344"/>
      </c:lineChart>
      <c:catAx>
        <c:axId val="7524819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Titel</a:t>
                </a:r>
              </a:p>
            </c:rich>
          </c:tx>
          <c:layout>
            <c:manualLayout>
              <c:xMode val="edge"/>
              <c:yMode val="edge"/>
              <c:x val="0.29913617818317795"/>
              <c:y val="0.828734648805826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482344"/>
        <c:crosses val="autoZero"/>
        <c:auto val="1"/>
        <c:lblAlgn val="ctr"/>
        <c:lblOffset val="100"/>
        <c:noMultiLvlLbl val="0"/>
      </c:catAx>
      <c:valAx>
        <c:axId val="752482344"/>
        <c:scaling>
          <c:orientation val="minMax"/>
          <c:max val="1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Titel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481952"/>
        <c:crosses val="autoZero"/>
        <c:crossBetween val="midCat"/>
        <c:majorUnit val="25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6818782831484205"/>
          <c:y val="0.30183335351728074"/>
          <c:w val="0.34217754564909031"/>
          <c:h val="0.558237199145242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600">
          <a:solidFill>
            <a:sysClr val="windowText" lastClr="000000"/>
          </a:solidFill>
        </a:defRPr>
      </a:pPr>
      <a:endParaRPr lang="en-US"/>
    </a:p>
  </c:txPr>
  <c:printSettings>
    <c:headerFooter/>
    <c:pageMargins b="0.78740157499999996" l="0.7" r="0.7" t="0.78740157499999996" header="0.3" footer="0.3"/>
    <c:pageSetup/>
  </c:printSettings>
  <c:userShapes r:id="rId4"/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strRef>
          <c:f>'S Table 3 - raw data - T. cas'!$C$170:$C$173</c:f>
          <c:strCache>
            <c:ptCount val="4"/>
            <c:pt idx="0">
              <c:v>Sam-S</c:v>
            </c:pt>
          </c:strCache>
        </c:strRef>
      </c:tx>
      <c:layout>
        <c:manualLayout>
          <c:xMode val="edge"/>
          <c:yMode val="edge"/>
          <c:x val="0.69915718404589744"/>
          <c:y val="6.61512598038641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2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707952411797022"/>
          <c:y val="9.7191566495689094E-2"/>
          <c:w val="0.38980616803333429"/>
          <c:h val="0.5946269029881357"/>
        </c:manualLayout>
      </c:layout>
      <c:lineChart>
        <c:grouping val="standard"/>
        <c:varyColors val="0"/>
        <c:ser>
          <c:idx val="0"/>
          <c:order val="0"/>
          <c:tx>
            <c:strRef>
              <c:f>'S Table 3 - raw data - T. cas'!$D$170</c:f>
              <c:strCache>
                <c:ptCount val="1"/>
                <c:pt idx="0">
                  <c:v>250 ng/µl</c:v>
                </c:pt>
              </c:strCache>
            </c:strRef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diamond"/>
            <c:size val="2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cas'!$BR$170:$BY$170</c:f>
              <c:numCache>
                <c:formatCode>General</c:formatCode>
                <c:ptCount val="8"/>
                <c:pt idx="0">
                  <c:v>100</c:v>
                </c:pt>
                <c:pt idx="1">
                  <c:v>90.606060606060609</c:v>
                </c:pt>
                <c:pt idx="2">
                  <c:v>44.848484848484851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D44-4234-AF2C-D3915EB85399}"/>
            </c:ext>
          </c:extLst>
        </c:ser>
        <c:ser>
          <c:idx val="1"/>
          <c:order val="1"/>
          <c:tx>
            <c:strRef>
              <c:f>'S Table 3 - raw data - T. cas'!$D$171</c:f>
              <c:strCache>
                <c:ptCount val="1"/>
                <c:pt idx="0">
                  <c:v>1 ng/µl</c:v>
                </c:pt>
              </c:strCache>
            </c:strRef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squar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cas'!$BR$171:$BY$171</c:f>
              <c:numCache>
                <c:formatCode>General</c:formatCode>
                <c:ptCount val="8"/>
                <c:pt idx="0">
                  <c:v>100</c:v>
                </c:pt>
                <c:pt idx="1">
                  <c:v>100</c:v>
                </c:pt>
                <c:pt idx="2">
                  <c:v>68.650793650793659</c:v>
                </c:pt>
                <c:pt idx="3">
                  <c:v>11.587301587301589</c:v>
                </c:pt>
                <c:pt idx="4">
                  <c:v>4.7619047619047619</c:v>
                </c:pt>
                <c:pt idx="5">
                  <c:v>4.7619047619047619</c:v>
                </c:pt>
                <c:pt idx="6">
                  <c:v>4.7619047619047619</c:v>
                </c:pt>
                <c:pt idx="7">
                  <c:v>2.3809523809523809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ED44-4234-AF2C-D3915EB85399}"/>
            </c:ext>
          </c:extLst>
        </c:ser>
        <c:ser>
          <c:idx val="2"/>
          <c:order val="2"/>
          <c:tx>
            <c:strRef>
              <c:f>'S Table 3 - raw data - T. cas'!$D$172</c:f>
              <c:strCache>
                <c:ptCount val="1"/>
                <c:pt idx="0">
                  <c:v>0,1 ng/µl</c:v>
                </c:pt>
              </c:strCache>
            </c:strRef>
          </c:tx>
          <c:spPr>
            <a:ln w="1270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circl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cas'!$BR$172:$BY$172</c:f>
              <c:numCache>
                <c:formatCode>General</c:formatCode>
                <c:ptCount val="8"/>
                <c:pt idx="0">
                  <c:v>100</c:v>
                </c:pt>
                <c:pt idx="1">
                  <c:v>95.396825396825406</c:v>
                </c:pt>
                <c:pt idx="2">
                  <c:v>83.968253968253975</c:v>
                </c:pt>
                <c:pt idx="3">
                  <c:v>44.761904761904766</c:v>
                </c:pt>
                <c:pt idx="4">
                  <c:v>33.492063492063494</c:v>
                </c:pt>
                <c:pt idx="5">
                  <c:v>22.222222222222225</c:v>
                </c:pt>
                <c:pt idx="6">
                  <c:v>20</c:v>
                </c:pt>
                <c:pt idx="7">
                  <c:v>20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ED44-4234-AF2C-D3915EB85399}"/>
            </c:ext>
          </c:extLst>
        </c:ser>
        <c:ser>
          <c:idx val="3"/>
          <c:order val="3"/>
          <c:tx>
            <c:strRef>
              <c:f>'S Table 3 - raw data - T. cas'!$D$173</c:f>
              <c:strCache>
                <c:ptCount val="1"/>
                <c:pt idx="0">
                  <c:v>0,01 ng/µl</c:v>
                </c:pt>
              </c:strCache>
            </c:strRef>
          </c:tx>
          <c:spPr>
            <a:ln w="12700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cas'!$BR$173:$BY$173</c:f>
              <c:numCache>
                <c:formatCode>General</c:formatCode>
                <c:ptCount val="8"/>
                <c:pt idx="0">
                  <c:v>100</c:v>
                </c:pt>
                <c:pt idx="1">
                  <c:v>100</c:v>
                </c:pt>
                <c:pt idx="2">
                  <c:v>93.472222222222229</c:v>
                </c:pt>
                <c:pt idx="3">
                  <c:v>93.472222222222229</c:v>
                </c:pt>
                <c:pt idx="4">
                  <c:v>87.222222222222229</c:v>
                </c:pt>
                <c:pt idx="5">
                  <c:v>54.754273504273506</c:v>
                </c:pt>
                <c:pt idx="6">
                  <c:v>48.087606837606835</c:v>
                </c:pt>
                <c:pt idx="7">
                  <c:v>41.837606837606842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ED44-4234-AF2C-D3915EB853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2483128"/>
        <c:axId val="752450928"/>
      </c:lineChart>
      <c:catAx>
        <c:axId val="7524831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Titel</a:t>
                </a:r>
              </a:p>
            </c:rich>
          </c:tx>
          <c:layout>
            <c:manualLayout>
              <c:xMode val="edge"/>
              <c:yMode val="edge"/>
              <c:x val="0.29913617818317795"/>
              <c:y val="0.828734648805826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450928"/>
        <c:crosses val="autoZero"/>
        <c:auto val="1"/>
        <c:lblAlgn val="ctr"/>
        <c:lblOffset val="100"/>
        <c:noMultiLvlLbl val="0"/>
      </c:catAx>
      <c:valAx>
        <c:axId val="752450928"/>
        <c:scaling>
          <c:orientation val="minMax"/>
          <c:max val="1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Titel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483128"/>
        <c:crosses val="autoZero"/>
        <c:crossBetween val="midCat"/>
        <c:majorUnit val="25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6818782831484205"/>
          <c:y val="0.30183335351728074"/>
          <c:w val="0.34217754564909031"/>
          <c:h val="0.558237199145242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600">
          <a:solidFill>
            <a:sysClr val="windowText" lastClr="000000"/>
          </a:solidFill>
        </a:defRPr>
      </a:pPr>
      <a:endParaRPr lang="en-US"/>
    </a:p>
  </c:txPr>
  <c:printSettings>
    <c:headerFooter/>
    <c:pageMargins b="0.78740157499999996" l="0.7" r="0.7" t="0.78740157499999996" header="0.3" footer="0.3"/>
    <c:pageSetup/>
  </c:printSettings>
  <c:userShapes r:id="rId4"/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strRef>
          <c:f>'S Table 3 - raw data - T. cas'!$C$174:$C$177</c:f>
          <c:strCache>
            <c:ptCount val="4"/>
            <c:pt idx="0">
              <c:v>Sec6</c:v>
            </c:pt>
          </c:strCache>
        </c:strRef>
      </c:tx>
      <c:layout>
        <c:manualLayout>
          <c:xMode val="edge"/>
          <c:yMode val="edge"/>
          <c:x val="0.69915718404589744"/>
          <c:y val="6.61512598038641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2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707952411797022"/>
          <c:y val="9.7191566495689094E-2"/>
          <c:w val="0.38980616803333429"/>
          <c:h val="0.5946269029881357"/>
        </c:manualLayout>
      </c:layout>
      <c:lineChart>
        <c:grouping val="standard"/>
        <c:varyColors val="0"/>
        <c:ser>
          <c:idx val="0"/>
          <c:order val="0"/>
          <c:tx>
            <c:strRef>
              <c:f>'S Table 3 - raw data - T. cas'!$D$174</c:f>
              <c:strCache>
                <c:ptCount val="1"/>
                <c:pt idx="0">
                  <c:v>250 ng/µl</c:v>
                </c:pt>
              </c:strCache>
            </c:strRef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diamond"/>
            <c:size val="2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cas'!$BR$174:$BY$174</c:f>
              <c:numCache>
                <c:formatCode>General</c:formatCode>
                <c:ptCount val="8"/>
                <c:pt idx="0">
                  <c:v>100</c:v>
                </c:pt>
                <c:pt idx="1">
                  <c:v>58.333333333333336</c:v>
                </c:pt>
                <c:pt idx="2">
                  <c:v>27.777777777777782</c:v>
                </c:pt>
                <c:pt idx="3">
                  <c:v>25</c:v>
                </c:pt>
                <c:pt idx="4">
                  <c:v>11.111111111111112</c:v>
                </c:pt>
                <c:pt idx="5">
                  <c:v>5.5555555555555562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022-4AA2-B3E6-46592A0C5AA2}"/>
            </c:ext>
          </c:extLst>
        </c:ser>
        <c:ser>
          <c:idx val="1"/>
          <c:order val="1"/>
          <c:tx>
            <c:strRef>
              <c:f>'S Table 3 - raw data - T. cas'!$D$175</c:f>
              <c:strCache>
                <c:ptCount val="1"/>
                <c:pt idx="0">
                  <c:v>1 ng/µl</c:v>
                </c:pt>
              </c:strCache>
            </c:strRef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squar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cas'!$BR$175:$BY$175</c:f>
              <c:numCache>
                <c:formatCode>General</c:formatCode>
                <c:ptCount val="8"/>
                <c:pt idx="0">
                  <c:v>100</c:v>
                </c:pt>
                <c:pt idx="1">
                  <c:v>72.222222222222229</c:v>
                </c:pt>
                <c:pt idx="2">
                  <c:v>58.333333333333336</c:v>
                </c:pt>
                <c:pt idx="3">
                  <c:v>44.44444444444445</c:v>
                </c:pt>
                <c:pt idx="4">
                  <c:v>36.111111111111114</c:v>
                </c:pt>
                <c:pt idx="5">
                  <c:v>36.111111111111114</c:v>
                </c:pt>
                <c:pt idx="6">
                  <c:v>33.333333333333336</c:v>
                </c:pt>
                <c:pt idx="7">
                  <c:v>30.555555555555557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D022-4AA2-B3E6-46592A0C5AA2}"/>
            </c:ext>
          </c:extLst>
        </c:ser>
        <c:ser>
          <c:idx val="2"/>
          <c:order val="2"/>
          <c:tx>
            <c:strRef>
              <c:f>'S Table 3 - raw data - T. cas'!$D$176</c:f>
              <c:strCache>
                <c:ptCount val="1"/>
                <c:pt idx="0">
                  <c:v>0,1 ng/µl</c:v>
                </c:pt>
              </c:strCache>
            </c:strRef>
          </c:tx>
          <c:spPr>
            <a:ln w="1270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circl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cas'!$BR$176:$BY$176</c:f>
              <c:numCache>
                <c:formatCode>General</c:formatCode>
                <c:ptCount val="8"/>
                <c:pt idx="0">
                  <c:v>100</c:v>
                </c:pt>
                <c:pt idx="1">
                  <c:v>75</c:v>
                </c:pt>
                <c:pt idx="2">
                  <c:v>61.111111111111114</c:v>
                </c:pt>
                <c:pt idx="3">
                  <c:v>58.333333333333336</c:v>
                </c:pt>
                <c:pt idx="4">
                  <c:v>55.555555555555564</c:v>
                </c:pt>
                <c:pt idx="5">
                  <c:v>52.777777777777779</c:v>
                </c:pt>
                <c:pt idx="6">
                  <c:v>50</c:v>
                </c:pt>
                <c:pt idx="7">
                  <c:v>47.222222222222229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D022-4AA2-B3E6-46592A0C5AA2}"/>
            </c:ext>
          </c:extLst>
        </c:ser>
        <c:ser>
          <c:idx val="3"/>
          <c:order val="3"/>
          <c:tx>
            <c:strRef>
              <c:f>'S Table 3 - raw data - T. cas'!$D$177</c:f>
              <c:strCache>
                <c:ptCount val="1"/>
                <c:pt idx="0">
                  <c:v>0,01 ng/µl</c:v>
                </c:pt>
              </c:strCache>
            </c:strRef>
          </c:tx>
          <c:spPr>
            <a:ln w="12700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cas'!$BR$177:$BY$177</c:f>
              <c:numCache>
                <c:formatCode>General</c:formatCode>
                <c:ptCount val="8"/>
                <c:pt idx="0">
                  <c:v>100</c:v>
                </c:pt>
                <c:pt idx="1">
                  <c:v>88.8888888888889</c:v>
                </c:pt>
                <c:pt idx="2">
                  <c:v>77.777777777777786</c:v>
                </c:pt>
                <c:pt idx="3">
                  <c:v>75</c:v>
                </c:pt>
                <c:pt idx="4">
                  <c:v>75</c:v>
                </c:pt>
                <c:pt idx="5">
                  <c:v>75</c:v>
                </c:pt>
                <c:pt idx="6">
                  <c:v>69.444444444444443</c:v>
                </c:pt>
                <c:pt idx="7">
                  <c:v>63.888888888888893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D022-4AA2-B3E6-46592A0C5A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2451712"/>
        <c:axId val="752452104"/>
      </c:lineChart>
      <c:catAx>
        <c:axId val="7524517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Titel</a:t>
                </a:r>
              </a:p>
            </c:rich>
          </c:tx>
          <c:layout>
            <c:manualLayout>
              <c:xMode val="edge"/>
              <c:yMode val="edge"/>
              <c:x val="0.29913617818317795"/>
              <c:y val="0.828734648805826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452104"/>
        <c:crosses val="autoZero"/>
        <c:auto val="1"/>
        <c:lblAlgn val="ctr"/>
        <c:lblOffset val="100"/>
        <c:noMultiLvlLbl val="0"/>
      </c:catAx>
      <c:valAx>
        <c:axId val="752452104"/>
        <c:scaling>
          <c:orientation val="minMax"/>
          <c:max val="1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Titel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451712"/>
        <c:crosses val="autoZero"/>
        <c:crossBetween val="midCat"/>
        <c:majorUnit val="25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6818782831484205"/>
          <c:y val="0.30183335351728074"/>
          <c:w val="0.34217754564909031"/>
          <c:h val="0.558237199145242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600">
          <a:solidFill>
            <a:sysClr val="windowText" lastClr="000000"/>
          </a:solidFill>
        </a:defRPr>
      </a:pPr>
      <a:endParaRPr lang="en-US"/>
    </a:p>
  </c:txPr>
  <c:printSettings>
    <c:headerFooter/>
    <c:pageMargins b="0.78740157499999996" l="0.7" r="0.7" t="0.78740157499999996" header="0.3" footer="0.3"/>
    <c:pageSetup/>
  </c:printSettings>
  <c:userShapes r:id="rId4"/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strRef>
          <c:f>'S Table 3 - raw data - T. cas'!$C$178:$C$181</c:f>
          <c:strCache>
            <c:ptCount val="4"/>
            <c:pt idx="0">
              <c:v>Sec61α</c:v>
            </c:pt>
          </c:strCache>
        </c:strRef>
      </c:tx>
      <c:layout>
        <c:manualLayout>
          <c:xMode val="edge"/>
          <c:yMode val="edge"/>
          <c:x val="0.69915718404589744"/>
          <c:y val="6.61512598038641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2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707952411797022"/>
          <c:y val="9.7191566495689094E-2"/>
          <c:w val="0.38980616803333429"/>
          <c:h val="0.5946269029881357"/>
        </c:manualLayout>
      </c:layout>
      <c:lineChart>
        <c:grouping val="standard"/>
        <c:varyColors val="0"/>
        <c:ser>
          <c:idx val="0"/>
          <c:order val="0"/>
          <c:tx>
            <c:strRef>
              <c:f>'S Table 3 - raw data - T. cas'!$D$178</c:f>
              <c:strCache>
                <c:ptCount val="1"/>
                <c:pt idx="0">
                  <c:v>250 ng/µl</c:v>
                </c:pt>
              </c:strCache>
            </c:strRef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diamond"/>
            <c:size val="2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cas'!$BR$178:$BY$178</c:f>
              <c:numCache>
                <c:formatCode>General</c:formatCode>
                <c:ptCount val="8"/>
                <c:pt idx="0">
                  <c:v>100</c:v>
                </c:pt>
                <c:pt idx="1">
                  <c:v>79.316239316239319</c:v>
                </c:pt>
                <c:pt idx="2">
                  <c:v>10.683760683760683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F6F-4DDF-B4A2-287907D22B15}"/>
            </c:ext>
          </c:extLst>
        </c:ser>
        <c:ser>
          <c:idx val="1"/>
          <c:order val="1"/>
          <c:tx>
            <c:strRef>
              <c:f>'S Table 3 - raw data - T. cas'!$D$179</c:f>
              <c:strCache>
                <c:ptCount val="1"/>
                <c:pt idx="0">
                  <c:v>1 ng/µl</c:v>
                </c:pt>
              </c:strCache>
            </c:strRef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squar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cas'!$BR$179:$BY$179</c:f>
              <c:numCache>
                <c:formatCode>General</c:formatCode>
                <c:ptCount val="8"/>
                <c:pt idx="0">
                  <c:v>100</c:v>
                </c:pt>
                <c:pt idx="1">
                  <c:v>73.475783475783473</c:v>
                </c:pt>
                <c:pt idx="2">
                  <c:v>49.800569800569804</c:v>
                </c:pt>
                <c:pt idx="3">
                  <c:v>13.703703703703704</c:v>
                </c:pt>
                <c:pt idx="4">
                  <c:v>6.666666666666667</c:v>
                </c:pt>
                <c:pt idx="5">
                  <c:v>6.666666666666667</c:v>
                </c:pt>
                <c:pt idx="6">
                  <c:v>6.666666666666667</c:v>
                </c:pt>
                <c:pt idx="7">
                  <c:v>6.666666666666667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6F6F-4DDF-B4A2-287907D22B15}"/>
            </c:ext>
          </c:extLst>
        </c:ser>
        <c:ser>
          <c:idx val="2"/>
          <c:order val="2"/>
          <c:tx>
            <c:strRef>
              <c:f>'S Table 3 - raw data - T. cas'!$D$180</c:f>
              <c:strCache>
                <c:ptCount val="1"/>
                <c:pt idx="0">
                  <c:v>0,1 ng/µl</c:v>
                </c:pt>
              </c:strCache>
            </c:strRef>
          </c:tx>
          <c:spPr>
            <a:ln w="1270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circl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cas'!$BR$180:$BY$180</c:f>
              <c:numCache>
                <c:formatCode>General</c:formatCode>
                <c:ptCount val="8"/>
                <c:pt idx="0">
                  <c:v>100</c:v>
                </c:pt>
                <c:pt idx="1">
                  <c:v>70.707070707070713</c:v>
                </c:pt>
                <c:pt idx="2">
                  <c:v>56.060606060606062</c:v>
                </c:pt>
                <c:pt idx="3">
                  <c:v>35.353535353535356</c:v>
                </c:pt>
                <c:pt idx="4">
                  <c:v>29.545454545454547</c:v>
                </c:pt>
                <c:pt idx="5">
                  <c:v>26.515151515151516</c:v>
                </c:pt>
                <c:pt idx="6">
                  <c:v>26.515151515151516</c:v>
                </c:pt>
                <c:pt idx="7">
                  <c:v>26.515151515151516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6F6F-4DDF-B4A2-287907D22B15}"/>
            </c:ext>
          </c:extLst>
        </c:ser>
        <c:ser>
          <c:idx val="3"/>
          <c:order val="3"/>
          <c:tx>
            <c:strRef>
              <c:f>'S Table 3 - raw data - T. cas'!$D$181</c:f>
              <c:strCache>
                <c:ptCount val="1"/>
                <c:pt idx="0">
                  <c:v>0,01 ng/µl</c:v>
                </c:pt>
              </c:strCache>
            </c:strRef>
          </c:tx>
          <c:spPr>
            <a:ln w="12700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cas'!$BR$181:$BY$181</c:f>
              <c:numCache>
                <c:formatCode>General</c:formatCode>
                <c:ptCount val="8"/>
                <c:pt idx="0">
                  <c:v>100</c:v>
                </c:pt>
                <c:pt idx="1">
                  <c:v>88.412698412698418</c:v>
                </c:pt>
                <c:pt idx="2">
                  <c:v>86.19047619047619</c:v>
                </c:pt>
                <c:pt idx="3">
                  <c:v>73.304473304473319</c:v>
                </c:pt>
                <c:pt idx="4">
                  <c:v>73.304473304473319</c:v>
                </c:pt>
                <c:pt idx="5">
                  <c:v>68.701298701298711</c:v>
                </c:pt>
                <c:pt idx="6">
                  <c:v>66.320346320346317</c:v>
                </c:pt>
                <c:pt idx="7">
                  <c:v>59.65367965367966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6F6F-4DDF-B4A2-287907D22B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2452888"/>
        <c:axId val="752453280"/>
      </c:lineChart>
      <c:catAx>
        <c:axId val="7524528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Titel</a:t>
                </a:r>
              </a:p>
            </c:rich>
          </c:tx>
          <c:layout>
            <c:manualLayout>
              <c:xMode val="edge"/>
              <c:yMode val="edge"/>
              <c:x val="0.29913617818317795"/>
              <c:y val="0.828734648805826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453280"/>
        <c:crosses val="autoZero"/>
        <c:auto val="1"/>
        <c:lblAlgn val="ctr"/>
        <c:lblOffset val="100"/>
        <c:noMultiLvlLbl val="0"/>
      </c:catAx>
      <c:valAx>
        <c:axId val="752453280"/>
        <c:scaling>
          <c:orientation val="minMax"/>
          <c:max val="1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Titel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452888"/>
        <c:crosses val="autoZero"/>
        <c:crossBetween val="midCat"/>
        <c:majorUnit val="25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6818782831484205"/>
          <c:y val="0.30183335351728074"/>
          <c:w val="0.34217754564909031"/>
          <c:h val="0.558237199145242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600">
          <a:solidFill>
            <a:sysClr val="windowText" lastClr="000000"/>
          </a:solidFill>
        </a:defRPr>
      </a:pPr>
      <a:endParaRPr lang="en-US"/>
    </a:p>
  </c:txPr>
  <c:printSettings>
    <c:headerFooter/>
    <c:pageMargins b="0.78740157499999996" l="0.7" r="0.7" t="0.78740157499999996" header="0.3" footer="0.3"/>
    <c:pageSetup/>
  </c:printSettings>
  <c:userShapes r:id="rId4"/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strRef>
          <c:f>'S Table 3 - raw data - T. cas'!$C$182:$C$185</c:f>
          <c:strCache>
            <c:ptCount val="4"/>
            <c:pt idx="0">
              <c:v>sif</c:v>
            </c:pt>
          </c:strCache>
        </c:strRef>
      </c:tx>
      <c:layout>
        <c:manualLayout>
          <c:xMode val="edge"/>
          <c:yMode val="edge"/>
          <c:x val="0.69915718404589744"/>
          <c:y val="6.61512598038641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2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707952411797022"/>
          <c:y val="9.7191566495689094E-2"/>
          <c:w val="0.38980616803333429"/>
          <c:h val="0.5946269029881357"/>
        </c:manualLayout>
      </c:layout>
      <c:lineChart>
        <c:grouping val="standard"/>
        <c:varyColors val="0"/>
        <c:ser>
          <c:idx val="0"/>
          <c:order val="0"/>
          <c:tx>
            <c:strRef>
              <c:f>'S Table 3 - raw data - T. cas'!$D$182</c:f>
              <c:strCache>
                <c:ptCount val="1"/>
                <c:pt idx="0">
                  <c:v>250 ng/µl</c:v>
                </c:pt>
              </c:strCache>
            </c:strRef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diamond"/>
            <c:size val="2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cas'!$BR$182:$BY$182</c:f>
              <c:numCache>
                <c:formatCode>General</c:formatCode>
                <c:ptCount val="8"/>
                <c:pt idx="0">
                  <c:v>100</c:v>
                </c:pt>
                <c:pt idx="1">
                  <c:v>75</c:v>
                </c:pt>
                <c:pt idx="2">
                  <c:v>33.333333333333336</c:v>
                </c:pt>
                <c:pt idx="3">
                  <c:v>33.333333333333336</c:v>
                </c:pt>
                <c:pt idx="4">
                  <c:v>11.111111111111112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895-4676-9687-D2C54DD3E4A6}"/>
            </c:ext>
          </c:extLst>
        </c:ser>
        <c:ser>
          <c:idx val="1"/>
          <c:order val="1"/>
          <c:tx>
            <c:strRef>
              <c:f>'S Table 3 - raw data - T. cas'!$D$183</c:f>
              <c:strCache>
                <c:ptCount val="1"/>
                <c:pt idx="0">
                  <c:v>1 ng/µl</c:v>
                </c:pt>
              </c:strCache>
            </c:strRef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squar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cas'!$BR$183:$BY$183</c:f>
              <c:numCache>
                <c:formatCode>General</c:formatCode>
                <c:ptCount val="8"/>
                <c:pt idx="0">
                  <c:v>100</c:v>
                </c:pt>
                <c:pt idx="1">
                  <c:v>75.000000000000014</c:v>
                </c:pt>
                <c:pt idx="2">
                  <c:v>52.777777777777779</c:v>
                </c:pt>
                <c:pt idx="3">
                  <c:v>44.44444444444445</c:v>
                </c:pt>
                <c:pt idx="4">
                  <c:v>25</c:v>
                </c:pt>
                <c:pt idx="5">
                  <c:v>5.5555555555555562</c:v>
                </c:pt>
                <c:pt idx="6">
                  <c:v>2.7777777777777781</c:v>
                </c:pt>
                <c:pt idx="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B895-4676-9687-D2C54DD3E4A6}"/>
            </c:ext>
          </c:extLst>
        </c:ser>
        <c:ser>
          <c:idx val="2"/>
          <c:order val="2"/>
          <c:tx>
            <c:strRef>
              <c:f>'S Table 3 - raw data - T. cas'!$D$184</c:f>
              <c:strCache>
                <c:ptCount val="1"/>
                <c:pt idx="0">
                  <c:v>0,1 ng/µl</c:v>
                </c:pt>
              </c:strCache>
            </c:strRef>
          </c:tx>
          <c:spPr>
            <a:ln w="1270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circl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cas'!$BR$184:$BY$184</c:f>
              <c:numCache>
                <c:formatCode>General</c:formatCode>
                <c:ptCount val="8"/>
                <c:pt idx="0">
                  <c:v>100</c:v>
                </c:pt>
                <c:pt idx="1">
                  <c:v>86.111111111111128</c:v>
                </c:pt>
                <c:pt idx="2">
                  <c:v>72.222222222222229</c:v>
                </c:pt>
                <c:pt idx="3">
                  <c:v>72.222222222222229</c:v>
                </c:pt>
                <c:pt idx="4">
                  <c:v>69.444444444444457</c:v>
                </c:pt>
                <c:pt idx="5">
                  <c:v>52.777777777777779</c:v>
                </c:pt>
                <c:pt idx="6">
                  <c:v>52.777777777777779</c:v>
                </c:pt>
                <c:pt idx="7">
                  <c:v>52.777777777777779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B895-4676-9687-D2C54DD3E4A6}"/>
            </c:ext>
          </c:extLst>
        </c:ser>
        <c:ser>
          <c:idx val="3"/>
          <c:order val="3"/>
          <c:tx>
            <c:strRef>
              <c:f>'S Table 3 - raw data - T. cas'!$D$185</c:f>
              <c:strCache>
                <c:ptCount val="1"/>
                <c:pt idx="0">
                  <c:v>0,01 ng/µl</c:v>
                </c:pt>
              </c:strCache>
            </c:strRef>
          </c:tx>
          <c:spPr>
            <a:ln w="12700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cas'!$BR$185:$BY$185</c:f>
              <c:numCache>
                <c:formatCode>General</c:formatCode>
                <c:ptCount val="8"/>
                <c:pt idx="0">
                  <c:v>100</c:v>
                </c:pt>
                <c:pt idx="1">
                  <c:v>88.8888888888889</c:v>
                </c:pt>
                <c:pt idx="2">
                  <c:v>83.333333333333343</c:v>
                </c:pt>
                <c:pt idx="3">
                  <c:v>83.333333333333343</c:v>
                </c:pt>
                <c:pt idx="4">
                  <c:v>75</c:v>
                </c:pt>
                <c:pt idx="5">
                  <c:v>66.666666666666671</c:v>
                </c:pt>
                <c:pt idx="6">
                  <c:v>66.666666666666671</c:v>
                </c:pt>
                <c:pt idx="7">
                  <c:v>66.666666666666671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B895-4676-9687-D2C54DD3E4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2454064"/>
        <c:axId val="752454456"/>
      </c:lineChart>
      <c:catAx>
        <c:axId val="7524540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Titel</a:t>
                </a:r>
              </a:p>
            </c:rich>
          </c:tx>
          <c:layout>
            <c:manualLayout>
              <c:xMode val="edge"/>
              <c:yMode val="edge"/>
              <c:x val="0.29913617818317795"/>
              <c:y val="0.828734648805826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454456"/>
        <c:crosses val="autoZero"/>
        <c:auto val="1"/>
        <c:lblAlgn val="ctr"/>
        <c:lblOffset val="100"/>
        <c:noMultiLvlLbl val="0"/>
      </c:catAx>
      <c:valAx>
        <c:axId val="752454456"/>
        <c:scaling>
          <c:orientation val="minMax"/>
          <c:max val="1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Titel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454064"/>
        <c:crosses val="autoZero"/>
        <c:crossBetween val="midCat"/>
        <c:majorUnit val="25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6818782831484205"/>
          <c:y val="0.30183335351728074"/>
          <c:w val="0.34217754564909031"/>
          <c:h val="0.558237199145242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600">
          <a:solidFill>
            <a:sysClr val="windowText" lastClr="000000"/>
          </a:solidFill>
        </a:defRPr>
      </a:pPr>
      <a:endParaRPr lang="en-US"/>
    </a:p>
  </c:txPr>
  <c:printSettings>
    <c:headerFooter/>
    <c:pageMargins b="0.78740157499999996" l="0.7" r="0.7" t="0.78740157499999996" header="0.3" footer="0.3"/>
    <c:pageSetup/>
  </c:printSettings>
  <c:userShapes r:id="rId4"/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strRef>
          <c:f>'S Table 3 - raw data - T. cas'!$C$186:$C$189</c:f>
          <c:strCache>
            <c:ptCount val="4"/>
            <c:pt idx="0">
              <c:v>snRNP-U1-70K</c:v>
            </c:pt>
          </c:strCache>
        </c:strRef>
      </c:tx>
      <c:layout>
        <c:manualLayout>
          <c:xMode val="edge"/>
          <c:yMode val="edge"/>
          <c:x val="0.69915718404589744"/>
          <c:y val="6.61512598038641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2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707952411797022"/>
          <c:y val="9.7191566495689094E-2"/>
          <c:w val="0.38980616803333429"/>
          <c:h val="0.5946269029881357"/>
        </c:manualLayout>
      </c:layout>
      <c:lineChart>
        <c:grouping val="standard"/>
        <c:varyColors val="0"/>
        <c:ser>
          <c:idx val="0"/>
          <c:order val="0"/>
          <c:tx>
            <c:strRef>
              <c:f>'S Table 3 - raw data - T. cas'!$D$186</c:f>
              <c:strCache>
                <c:ptCount val="1"/>
                <c:pt idx="0">
                  <c:v>250 ng/µl</c:v>
                </c:pt>
              </c:strCache>
            </c:strRef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diamond"/>
            <c:size val="2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cas'!$BR$186:$BY$186</c:f>
              <c:numCache>
                <c:formatCode>General</c:formatCode>
                <c:ptCount val="8"/>
                <c:pt idx="0">
                  <c:v>100</c:v>
                </c:pt>
                <c:pt idx="1">
                  <c:v>82.857142857142847</c:v>
                </c:pt>
                <c:pt idx="2">
                  <c:v>43.968253968253968</c:v>
                </c:pt>
                <c:pt idx="3">
                  <c:v>6.666666666666667</c:v>
                </c:pt>
                <c:pt idx="4">
                  <c:v>2.2222222222222223</c:v>
                </c:pt>
                <c:pt idx="5">
                  <c:v>2.2222222222222223</c:v>
                </c:pt>
                <c:pt idx="6">
                  <c:v>2.2222222222222223</c:v>
                </c:pt>
                <c:pt idx="7">
                  <c:v>2.2222222222222223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D06-4746-9F5B-31B9C57E9D24}"/>
            </c:ext>
          </c:extLst>
        </c:ser>
        <c:ser>
          <c:idx val="1"/>
          <c:order val="1"/>
          <c:tx>
            <c:strRef>
              <c:f>'S Table 3 - raw data - T. cas'!$D$187</c:f>
              <c:strCache>
                <c:ptCount val="1"/>
                <c:pt idx="0">
                  <c:v>1 ng/µl</c:v>
                </c:pt>
              </c:strCache>
            </c:strRef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squar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cas'!$BR$187:$BY$187</c:f>
              <c:numCache>
                <c:formatCode>General</c:formatCode>
                <c:ptCount val="8"/>
                <c:pt idx="0">
                  <c:v>100</c:v>
                </c:pt>
                <c:pt idx="1">
                  <c:v>97.435897435897445</c:v>
                </c:pt>
                <c:pt idx="2">
                  <c:v>92.649572649572647</c:v>
                </c:pt>
                <c:pt idx="3">
                  <c:v>88.205128205128219</c:v>
                </c:pt>
                <c:pt idx="4">
                  <c:v>83.07692307692308</c:v>
                </c:pt>
                <c:pt idx="5">
                  <c:v>71.623931623931625</c:v>
                </c:pt>
                <c:pt idx="6">
                  <c:v>71.623931623931625</c:v>
                </c:pt>
                <c:pt idx="7">
                  <c:v>69.401709401709397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6D06-4746-9F5B-31B9C57E9D24}"/>
            </c:ext>
          </c:extLst>
        </c:ser>
        <c:ser>
          <c:idx val="2"/>
          <c:order val="2"/>
          <c:tx>
            <c:strRef>
              <c:f>'S Table 3 - raw data - T. cas'!$D$188</c:f>
              <c:strCache>
                <c:ptCount val="1"/>
                <c:pt idx="0">
                  <c:v>0,1 ng/µl</c:v>
                </c:pt>
              </c:strCache>
            </c:strRef>
          </c:tx>
          <c:spPr>
            <a:ln w="1270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circl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cas'!$BR$188:$BY$188</c:f>
              <c:numCache>
                <c:formatCode>General</c:formatCode>
                <c:ptCount val="8"/>
                <c:pt idx="0">
                  <c:v>100</c:v>
                </c:pt>
                <c:pt idx="1">
                  <c:v>100</c:v>
                </c:pt>
                <c:pt idx="2">
                  <c:v>96.666666666666671</c:v>
                </c:pt>
                <c:pt idx="3">
                  <c:v>94.285714285714292</c:v>
                </c:pt>
                <c:pt idx="4">
                  <c:v>94.285714285714292</c:v>
                </c:pt>
                <c:pt idx="5">
                  <c:v>94.285714285714292</c:v>
                </c:pt>
                <c:pt idx="6">
                  <c:v>91.904761904761912</c:v>
                </c:pt>
                <c:pt idx="7">
                  <c:v>81.904761904761912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6D06-4746-9F5B-31B9C57E9D24}"/>
            </c:ext>
          </c:extLst>
        </c:ser>
        <c:ser>
          <c:idx val="3"/>
          <c:order val="3"/>
          <c:tx>
            <c:strRef>
              <c:f>'S Table 3 - raw data - T. cas'!$D$189</c:f>
              <c:strCache>
                <c:ptCount val="1"/>
                <c:pt idx="0">
                  <c:v>0,01 ng/µl</c:v>
                </c:pt>
              </c:strCache>
            </c:strRef>
          </c:tx>
          <c:spPr>
            <a:ln w="12700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cas'!$BR$189:$BY$189</c:f>
              <c:numCache>
                <c:formatCode>General</c:formatCode>
                <c:ptCount val="8"/>
                <c:pt idx="0">
                  <c:v>100</c:v>
                </c:pt>
                <c:pt idx="1">
                  <c:v>100</c:v>
                </c:pt>
                <c:pt idx="2">
                  <c:v>97.222222222222229</c:v>
                </c:pt>
                <c:pt idx="3">
                  <c:v>97.222222222222229</c:v>
                </c:pt>
                <c:pt idx="4">
                  <c:v>97.222222222222229</c:v>
                </c:pt>
                <c:pt idx="5">
                  <c:v>89.285714285714292</c:v>
                </c:pt>
                <c:pt idx="6">
                  <c:v>89.285714285714292</c:v>
                </c:pt>
                <c:pt idx="7">
                  <c:v>89.285714285714292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6D06-4746-9F5B-31B9C57E9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2932816"/>
        <c:axId val="742933208"/>
      </c:lineChart>
      <c:catAx>
        <c:axId val="7429328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Titel</a:t>
                </a:r>
              </a:p>
            </c:rich>
          </c:tx>
          <c:layout>
            <c:manualLayout>
              <c:xMode val="edge"/>
              <c:yMode val="edge"/>
              <c:x val="0.29913617818317795"/>
              <c:y val="0.828734648805826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933208"/>
        <c:crosses val="autoZero"/>
        <c:auto val="1"/>
        <c:lblAlgn val="ctr"/>
        <c:lblOffset val="100"/>
        <c:noMultiLvlLbl val="0"/>
      </c:catAx>
      <c:valAx>
        <c:axId val="742933208"/>
        <c:scaling>
          <c:orientation val="minMax"/>
          <c:max val="1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Titel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932816"/>
        <c:crosses val="autoZero"/>
        <c:crossBetween val="midCat"/>
        <c:majorUnit val="25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6818782831484205"/>
          <c:y val="0.30183335351728074"/>
          <c:w val="0.34217754564909031"/>
          <c:h val="0.558237199145242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600">
          <a:solidFill>
            <a:sysClr val="windowText" lastClr="000000"/>
          </a:solidFill>
        </a:defRPr>
      </a:pPr>
      <a:endParaRPr lang="en-US"/>
    </a:p>
  </c:txPr>
  <c:printSettings>
    <c:headerFooter/>
    <c:pageMargins b="0.78740157499999996" l="0.7" r="0.7" t="0.78740157499999996" header="0.3" footer="0.3"/>
    <c:pageSetup/>
  </c:printSettings>
  <c:userShapes r:id="rId4"/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strRef>
          <c:f>'S Table 3 - raw data - T. cas'!$C$190:$C$193</c:f>
          <c:strCache>
            <c:ptCount val="4"/>
            <c:pt idx="0">
              <c:v>Spx</c:v>
            </c:pt>
          </c:strCache>
        </c:strRef>
      </c:tx>
      <c:layout>
        <c:manualLayout>
          <c:xMode val="edge"/>
          <c:yMode val="edge"/>
          <c:x val="0.69915718404589744"/>
          <c:y val="6.61512598038641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2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707952411797022"/>
          <c:y val="9.7191566495689094E-2"/>
          <c:w val="0.38980616803333429"/>
          <c:h val="0.5946269029881357"/>
        </c:manualLayout>
      </c:layout>
      <c:lineChart>
        <c:grouping val="standard"/>
        <c:varyColors val="0"/>
        <c:ser>
          <c:idx val="0"/>
          <c:order val="0"/>
          <c:tx>
            <c:strRef>
              <c:f>'S Table 3 - raw data - T. cas'!$D$190</c:f>
              <c:strCache>
                <c:ptCount val="1"/>
                <c:pt idx="0">
                  <c:v>250 ng/µl</c:v>
                </c:pt>
              </c:strCache>
            </c:strRef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diamond"/>
            <c:size val="2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cas'!$BR$190:$BY$190</c:f>
              <c:numCache>
                <c:formatCode>General</c:formatCode>
                <c:ptCount val="8"/>
                <c:pt idx="0">
                  <c:v>100</c:v>
                </c:pt>
                <c:pt idx="1">
                  <c:v>77.777777777777786</c:v>
                </c:pt>
                <c:pt idx="2">
                  <c:v>69.444444444444457</c:v>
                </c:pt>
                <c:pt idx="3">
                  <c:v>36.111111111111114</c:v>
                </c:pt>
                <c:pt idx="4">
                  <c:v>22.222222222222225</c:v>
                </c:pt>
                <c:pt idx="5">
                  <c:v>16.666666666666668</c:v>
                </c:pt>
                <c:pt idx="6">
                  <c:v>16.666666666666668</c:v>
                </c:pt>
                <c:pt idx="7">
                  <c:v>16.666666666666668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71AD-45BD-83D7-8A8969135D18}"/>
            </c:ext>
          </c:extLst>
        </c:ser>
        <c:ser>
          <c:idx val="1"/>
          <c:order val="1"/>
          <c:tx>
            <c:strRef>
              <c:f>'S Table 3 - raw data - T. cas'!$D$191</c:f>
              <c:strCache>
                <c:ptCount val="1"/>
                <c:pt idx="0">
                  <c:v>1 ng/µl</c:v>
                </c:pt>
              </c:strCache>
            </c:strRef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squar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cas'!$BR$191:$BY$191</c:f>
              <c:numCache>
                <c:formatCode>General</c:formatCode>
                <c:ptCount val="8"/>
                <c:pt idx="0">
                  <c:v>100</c:v>
                </c:pt>
                <c:pt idx="1">
                  <c:v>77.777777777777786</c:v>
                </c:pt>
                <c:pt idx="2">
                  <c:v>72.222222222222229</c:v>
                </c:pt>
                <c:pt idx="3">
                  <c:v>66.666666666666671</c:v>
                </c:pt>
                <c:pt idx="4">
                  <c:v>58.333333333333336</c:v>
                </c:pt>
                <c:pt idx="5">
                  <c:v>55.555555555555564</c:v>
                </c:pt>
                <c:pt idx="6">
                  <c:v>55.555555555555564</c:v>
                </c:pt>
                <c:pt idx="7">
                  <c:v>55.555555555555564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71AD-45BD-83D7-8A8969135D18}"/>
            </c:ext>
          </c:extLst>
        </c:ser>
        <c:ser>
          <c:idx val="2"/>
          <c:order val="2"/>
          <c:tx>
            <c:strRef>
              <c:f>'S Table 3 - raw data - T. cas'!$D$192</c:f>
              <c:strCache>
                <c:ptCount val="1"/>
                <c:pt idx="0">
                  <c:v>0,1 ng/µl</c:v>
                </c:pt>
              </c:strCache>
            </c:strRef>
          </c:tx>
          <c:spPr>
            <a:ln w="1270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circl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cas'!$BR$192:$BY$192</c:f>
              <c:numCache>
                <c:formatCode>General</c:formatCode>
                <c:ptCount val="8"/>
                <c:pt idx="0">
                  <c:v>100</c:v>
                </c:pt>
                <c:pt idx="1">
                  <c:v>80.555555555555557</c:v>
                </c:pt>
                <c:pt idx="2">
                  <c:v>72.222222222222229</c:v>
                </c:pt>
                <c:pt idx="3">
                  <c:v>66.666666666666671</c:v>
                </c:pt>
                <c:pt idx="4">
                  <c:v>63.888888888888893</c:v>
                </c:pt>
                <c:pt idx="5">
                  <c:v>61.111111111111114</c:v>
                </c:pt>
                <c:pt idx="6">
                  <c:v>58.333333333333336</c:v>
                </c:pt>
                <c:pt idx="7">
                  <c:v>52.777777777777779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71AD-45BD-83D7-8A8969135D18}"/>
            </c:ext>
          </c:extLst>
        </c:ser>
        <c:ser>
          <c:idx val="3"/>
          <c:order val="3"/>
          <c:tx>
            <c:strRef>
              <c:f>'S Table 3 - raw data - T. cas'!$D$193</c:f>
              <c:strCache>
                <c:ptCount val="1"/>
                <c:pt idx="0">
                  <c:v>0,01 ng/µl</c:v>
                </c:pt>
              </c:strCache>
            </c:strRef>
          </c:tx>
          <c:spPr>
            <a:ln w="12700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cas'!$BR$193:$BY$193</c:f>
              <c:numCache>
                <c:formatCode>General</c:formatCode>
                <c:ptCount val="8"/>
                <c:pt idx="0">
                  <c:v>100</c:v>
                </c:pt>
                <c:pt idx="1">
                  <c:v>83.333333333333343</c:v>
                </c:pt>
                <c:pt idx="2">
                  <c:v>83.333333333333343</c:v>
                </c:pt>
                <c:pt idx="3">
                  <c:v>83.333333333333343</c:v>
                </c:pt>
                <c:pt idx="4">
                  <c:v>83.333333333333343</c:v>
                </c:pt>
                <c:pt idx="5">
                  <c:v>61.111111111111114</c:v>
                </c:pt>
                <c:pt idx="6">
                  <c:v>61.111111111111114</c:v>
                </c:pt>
                <c:pt idx="7">
                  <c:v>61.111111111111114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71AD-45BD-83D7-8A8969135D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2933992"/>
        <c:axId val="742934384"/>
      </c:lineChart>
      <c:catAx>
        <c:axId val="7429339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Titel</a:t>
                </a:r>
              </a:p>
            </c:rich>
          </c:tx>
          <c:layout>
            <c:manualLayout>
              <c:xMode val="edge"/>
              <c:yMode val="edge"/>
              <c:x val="0.29913617818317795"/>
              <c:y val="0.828734648805826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934384"/>
        <c:crosses val="autoZero"/>
        <c:auto val="1"/>
        <c:lblAlgn val="ctr"/>
        <c:lblOffset val="100"/>
        <c:noMultiLvlLbl val="0"/>
      </c:catAx>
      <c:valAx>
        <c:axId val="742934384"/>
        <c:scaling>
          <c:orientation val="minMax"/>
          <c:max val="1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Titel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933992"/>
        <c:crosses val="autoZero"/>
        <c:crossBetween val="midCat"/>
        <c:majorUnit val="25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6818782831484205"/>
          <c:y val="0.30183335351728074"/>
          <c:w val="0.34217754564909031"/>
          <c:h val="0.558237199145242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600">
          <a:solidFill>
            <a:sysClr val="windowText" lastClr="000000"/>
          </a:solidFill>
        </a:defRPr>
      </a:pPr>
      <a:endParaRPr lang="en-US"/>
    </a:p>
  </c:txPr>
  <c:printSettings>
    <c:headerFooter/>
    <c:pageMargins b="0.78740157499999996" l="0.7" r="0.7" t="0.78740157499999996" header="0.3" footer="0.3"/>
    <c:pageSetup/>
  </c:printSettings>
  <c:userShapes r:id="rId4"/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strRef>
          <c:f>'S Table 3 - raw data - T. cas'!$C$194:$C$197</c:f>
          <c:strCache>
            <c:ptCount val="4"/>
            <c:pt idx="0">
              <c:v>su(f)</c:v>
            </c:pt>
          </c:strCache>
        </c:strRef>
      </c:tx>
      <c:layout>
        <c:manualLayout>
          <c:xMode val="edge"/>
          <c:yMode val="edge"/>
          <c:x val="0.69915718404589744"/>
          <c:y val="6.61512598038641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2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707952411797022"/>
          <c:y val="9.7191566495689094E-2"/>
          <c:w val="0.38980616803333429"/>
          <c:h val="0.5946269029881357"/>
        </c:manualLayout>
      </c:layout>
      <c:lineChart>
        <c:grouping val="standard"/>
        <c:varyColors val="0"/>
        <c:ser>
          <c:idx val="0"/>
          <c:order val="0"/>
          <c:tx>
            <c:strRef>
              <c:f>'S Table 3 - raw data - T. cas'!$D$194</c:f>
              <c:strCache>
                <c:ptCount val="1"/>
                <c:pt idx="0">
                  <c:v>250 ng/µl</c:v>
                </c:pt>
              </c:strCache>
            </c:strRef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diamond"/>
            <c:size val="2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cas'!$BR$194:$BY$194</c:f>
              <c:numCache>
                <c:formatCode>General</c:formatCode>
                <c:ptCount val="8"/>
                <c:pt idx="0">
                  <c:v>100</c:v>
                </c:pt>
                <c:pt idx="1">
                  <c:v>77.777777777777786</c:v>
                </c:pt>
                <c:pt idx="2">
                  <c:v>55.555555555555564</c:v>
                </c:pt>
                <c:pt idx="3">
                  <c:v>33.333333333333336</c:v>
                </c:pt>
                <c:pt idx="4">
                  <c:v>13.888888888888891</c:v>
                </c:pt>
                <c:pt idx="5">
                  <c:v>11.111111111111112</c:v>
                </c:pt>
                <c:pt idx="6">
                  <c:v>8.3333333333333339</c:v>
                </c:pt>
                <c:pt idx="7">
                  <c:v>8.3333333333333339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855-4E19-A65B-64BD8B437CDB}"/>
            </c:ext>
          </c:extLst>
        </c:ser>
        <c:ser>
          <c:idx val="1"/>
          <c:order val="1"/>
          <c:tx>
            <c:strRef>
              <c:f>'S Table 3 - raw data - T. cas'!$D$195</c:f>
              <c:strCache>
                <c:ptCount val="1"/>
                <c:pt idx="0">
                  <c:v>1 ng/µl</c:v>
                </c:pt>
              </c:strCache>
            </c:strRef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squar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cas'!$BR$195:$BY$195</c:f>
              <c:numCache>
                <c:formatCode>General</c:formatCode>
                <c:ptCount val="8"/>
                <c:pt idx="0">
                  <c:v>100</c:v>
                </c:pt>
                <c:pt idx="1">
                  <c:v>88.8888888888889</c:v>
                </c:pt>
                <c:pt idx="2">
                  <c:v>72.222222222222229</c:v>
                </c:pt>
                <c:pt idx="3">
                  <c:v>50</c:v>
                </c:pt>
                <c:pt idx="4">
                  <c:v>41.666666666666664</c:v>
                </c:pt>
                <c:pt idx="5">
                  <c:v>33.333333333333336</c:v>
                </c:pt>
                <c:pt idx="6">
                  <c:v>33.333333333333336</c:v>
                </c:pt>
                <c:pt idx="7">
                  <c:v>33.333333333333336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2855-4E19-A65B-64BD8B437CDB}"/>
            </c:ext>
          </c:extLst>
        </c:ser>
        <c:ser>
          <c:idx val="2"/>
          <c:order val="2"/>
          <c:tx>
            <c:strRef>
              <c:f>'S Table 3 - raw data - T. cas'!$D$196</c:f>
              <c:strCache>
                <c:ptCount val="1"/>
                <c:pt idx="0">
                  <c:v>0,1 ng/µl</c:v>
                </c:pt>
              </c:strCache>
            </c:strRef>
          </c:tx>
          <c:spPr>
            <a:ln w="1270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circl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cas'!$BR$196:$BY$196</c:f>
              <c:numCache>
                <c:formatCode>General</c:formatCode>
                <c:ptCount val="8"/>
                <c:pt idx="0">
                  <c:v>100</c:v>
                </c:pt>
                <c:pt idx="1">
                  <c:v>80.555555555555557</c:v>
                </c:pt>
                <c:pt idx="2">
                  <c:v>55.555555555555564</c:v>
                </c:pt>
                <c:pt idx="3">
                  <c:v>44.44444444444445</c:v>
                </c:pt>
                <c:pt idx="4">
                  <c:v>16.666666666666668</c:v>
                </c:pt>
                <c:pt idx="5">
                  <c:v>16.666666666666668</c:v>
                </c:pt>
                <c:pt idx="6">
                  <c:v>13.888888888888891</c:v>
                </c:pt>
                <c:pt idx="7">
                  <c:v>13.888888888888891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2855-4E19-A65B-64BD8B437CDB}"/>
            </c:ext>
          </c:extLst>
        </c:ser>
        <c:ser>
          <c:idx val="3"/>
          <c:order val="3"/>
          <c:tx>
            <c:strRef>
              <c:f>'S Table 3 - raw data - T. cas'!$D$197</c:f>
              <c:strCache>
                <c:ptCount val="1"/>
                <c:pt idx="0">
                  <c:v>0,01 ng/µl</c:v>
                </c:pt>
              </c:strCache>
            </c:strRef>
          </c:tx>
          <c:spPr>
            <a:ln w="12700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cas'!$BR$197:$BY$197</c:f>
              <c:numCache>
                <c:formatCode>General</c:formatCode>
                <c:ptCount val="8"/>
                <c:pt idx="0">
                  <c:v>100</c:v>
                </c:pt>
                <c:pt idx="1">
                  <c:v>77.777777777777786</c:v>
                </c:pt>
                <c:pt idx="2">
                  <c:v>50</c:v>
                </c:pt>
                <c:pt idx="3">
                  <c:v>47.222222222222229</c:v>
                </c:pt>
                <c:pt idx="4">
                  <c:v>16.666666666666668</c:v>
                </c:pt>
                <c:pt idx="5">
                  <c:v>16.666666666666668</c:v>
                </c:pt>
                <c:pt idx="6">
                  <c:v>13.888888888888891</c:v>
                </c:pt>
                <c:pt idx="7">
                  <c:v>13.888888888888891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2855-4E19-A65B-64BD8B437C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2935168"/>
        <c:axId val="742935560"/>
      </c:lineChart>
      <c:catAx>
        <c:axId val="7429351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Titel</a:t>
                </a:r>
              </a:p>
            </c:rich>
          </c:tx>
          <c:layout>
            <c:manualLayout>
              <c:xMode val="edge"/>
              <c:yMode val="edge"/>
              <c:x val="0.29913617818317795"/>
              <c:y val="0.828734648805826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935560"/>
        <c:crosses val="autoZero"/>
        <c:auto val="1"/>
        <c:lblAlgn val="ctr"/>
        <c:lblOffset val="100"/>
        <c:noMultiLvlLbl val="0"/>
      </c:catAx>
      <c:valAx>
        <c:axId val="742935560"/>
        <c:scaling>
          <c:orientation val="minMax"/>
          <c:max val="1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Titel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935168"/>
        <c:crosses val="autoZero"/>
        <c:crossBetween val="midCat"/>
        <c:majorUnit val="25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6818782831484205"/>
          <c:y val="0.30183335351728074"/>
          <c:w val="0.34217754564909031"/>
          <c:h val="0.558237199145242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600">
          <a:solidFill>
            <a:sysClr val="windowText" lastClr="000000"/>
          </a:solidFill>
        </a:defRPr>
      </a:pPr>
      <a:endParaRPr lang="en-US"/>
    </a:p>
  </c:txPr>
  <c:printSettings>
    <c:headerFooter/>
    <c:pageMargins b="0.78740157499999996" l="0.7" r="0.7" t="0.78740157499999996" header="0.3" footer="0.3"/>
    <c:pageSetup/>
  </c:printSettings>
  <c:userShapes r:id="rId4"/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strRef>
          <c:f>'S Table 3 - raw data - T. cas'!$C$198:$C$201</c:f>
          <c:strCache>
            <c:ptCount val="4"/>
            <c:pt idx="0">
              <c:v>Surf4-PA </c:v>
            </c:pt>
          </c:strCache>
        </c:strRef>
      </c:tx>
      <c:layout>
        <c:manualLayout>
          <c:xMode val="edge"/>
          <c:yMode val="edge"/>
          <c:x val="0.69915718404589744"/>
          <c:y val="6.61512598038641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2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707952411797022"/>
          <c:y val="9.7191566495689094E-2"/>
          <c:w val="0.38980616803333429"/>
          <c:h val="0.5946269029881357"/>
        </c:manualLayout>
      </c:layout>
      <c:lineChart>
        <c:grouping val="standard"/>
        <c:varyColors val="0"/>
        <c:ser>
          <c:idx val="0"/>
          <c:order val="0"/>
          <c:tx>
            <c:strRef>
              <c:f>'S Table 3 - raw data - T. cas'!$D$198</c:f>
              <c:strCache>
                <c:ptCount val="1"/>
                <c:pt idx="0">
                  <c:v>250 ng/µl</c:v>
                </c:pt>
              </c:strCache>
            </c:strRef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diamond"/>
            <c:size val="2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cas'!$BR$198:$BY$198</c:f>
              <c:numCache>
                <c:formatCode>General</c:formatCode>
                <c:ptCount val="8"/>
                <c:pt idx="0">
                  <c:v>100</c:v>
                </c:pt>
                <c:pt idx="1">
                  <c:v>85.858585858585855</c:v>
                </c:pt>
                <c:pt idx="2">
                  <c:v>80.050505050505038</c:v>
                </c:pt>
                <c:pt idx="3">
                  <c:v>58.670033670033668</c:v>
                </c:pt>
                <c:pt idx="4">
                  <c:v>19.696969696969699</c:v>
                </c:pt>
                <c:pt idx="5">
                  <c:v>11.111111111111109</c:v>
                </c:pt>
                <c:pt idx="6">
                  <c:v>11.111111111111109</c:v>
                </c:pt>
                <c:pt idx="7">
                  <c:v>7.4074074074074074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214-45C7-BAC5-196D490DBDD6}"/>
            </c:ext>
          </c:extLst>
        </c:ser>
        <c:ser>
          <c:idx val="1"/>
          <c:order val="1"/>
          <c:tx>
            <c:strRef>
              <c:f>'S Table 3 - raw data - T. cas'!$D$199</c:f>
              <c:strCache>
                <c:ptCount val="1"/>
                <c:pt idx="0">
                  <c:v>1 ng/µl</c:v>
                </c:pt>
              </c:strCache>
            </c:strRef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squar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cas'!$BR$199:$BY$199</c:f>
              <c:numCache>
                <c:formatCode>General</c:formatCode>
                <c:ptCount val="8"/>
                <c:pt idx="0">
                  <c:v>100</c:v>
                </c:pt>
                <c:pt idx="1">
                  <c:v>53.650793650793652</c:v>
                </c:pt>
                <c:pt idx="2">
                  <c:v>46.507936507936506</c:v>
                </c:pt>
                <c:pt idx="3">
                  <c:v>46.507936507936506</c:v>
                </c:pt>
                <c:pt idx="4">
                  <c:v>39.365079365079367</c:v>
                </c:pt>
                <c:pt idx="5">
                  <c:v>32.38095238095238</c:v>
                </c:pt>
                <c:pt idx="6">
                  <c:v>32.380952380952387</c:v>
                </c:pt>
                <c:pt idx="7">
                  <c:v>27.936507936507937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D214-45C7-BAC5-196D490DBDD6}"/>
            </c:ext>
          </c:extLst>
        </c:ser>
        <c:ser>
          <c:idx val="2"/>
          <c:order val="2"/>
          <c:tx>
            <c:strRef>
              <c:f>'S Table 3 - raw data - T. cas'!$D$200</c:f>
              <c:strCache>
                <c:ptCount val="1"/>
                <c:pt idx="0">
                  <c:v>0,1 ng/µl</c:v>
                </c:pt>
              </c:strCache>
            </c:strRef>
          </c:tx>
          <c:spPr>
            <a:ln w="1270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circl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cas'!$BR$200:$BY$200</c:f>
              <c:numCache>
                <c:formatCode>General</c:formatCode>
                <c:ptCount val="8"/>
                <c:pt idx="0">
                  <c:v>100</c:v>
                </c:pt>
                <c:pt idx="1">
                  <c:v>61.599511599511601</c:v>
                </c:pt>
                <c:pt idx="2">
                  <c:v>59.035409035409039</c:v>
                </c:pt>
                <c:pt idx="3">
                  <c:v>59.035409035409039</c:v>
                </c:pt>
                <c:pt idx="4">
                  <c:v>51.892551892551893</c:v>
                </c:pt>
                <c:pt idx="5">
                  <c:v>49.511599511599513</c:v>
                </c:pt>
                <c:pt idx="6">
                  <c:v>49.511599511599513</c:v>
                </c:pt>
                <c:pt idx="7">
                  <c:v>49.511599511599513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D214-45C7-BAC5-196D490DBDD6}"/>
            </c:ext>
          </c:extLst>
        </c:ser>
        <c:ser>
          <c:idx val="3"/>
          <c:order val="3"/>
          <c:tx>
            <c:strRef>
              <c:f>'S Table 3 - raw data - T. cas'!$D$201</c:f>
              <c:strCache>
                <c:ptCount val="1"/>
                <c:pt idx="0">
                  <c:v>0,01 ng/µl</c:v>
                </c:pt>
              </c:strCache>
            </c:strRef>
          </c:tx>
          <c:spPr>
            <a:ln w="12700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cas'!$BR$201:$BY$201</c:f>
              <c:numCache>
                <c:formatCode>General</c:formatCode>
                <c:ptCount val="8"/>
                <c:pt idx="0">
                  <c:v>100</c:v>
                </c:pt>
                <c:pt idx="1">
                  <c:v>93.015873015873012</c:v>
                </c:pt>
                <c:pt idx="2">
                  <c:v>83.492063492063494</c:v>
                </c:pt>
                <c:pt idx="3">
                  <c:v>69.523809523809518</c:v>
                </c:pt>
                <c:pt idx="4">
                  <c:v>69.523809523809518</c:v>
                </c:pt>
                <c:pt idx="5">
                  <c:v>69.523809523809518</c:v>
                </c:pt>
                <c:pt idx="6">
                  <c:v>69.523809523809518</c:v>
                </c:pt>
                <c:pt idx="7">
                  <c:v>69.523809523809533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D214-45C7-BAC5-196D490DBD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2918904"/>
        <c:axId val="742919296"/>
      </c:lineChart>
      <c:catAx>
        <c:axId val="7429189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Titel</a:t>
                </a:r>
              </a:p>
            </c:rich>
          </c:tx>
          <c:layout>
            <c:manualLayout>
              <c:xMode val="edge"/>
              <c:yMode val="edge"/>
              <c:x val="0.29913617818317795"/>
              <c:y val="0.828734648805826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919296"/>
        <c:crosses val="autoZero"/>
        <c:auto val="1"/>
        <c:lblAlgn val="ctr"/>
        <c:lblOffset val="100"/>
        <c:noMultiLvlLbl val="0"/>
      </c:catAx>
      <c:valAx>
        <c:axId val="742919296"/>
        <c:scaling>
          <c:orientation val="minMax"/>
          <c:max val="1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Titel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918904"/>
        <c:crosses val="autoZero"/>
        <c:crossBetween val="midCat"/>
        <c:majorUnit val="25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6818782831484205"/>
          <c:y val="0.30183335351728074"/>
          <c:w val="0.34217754564909031"/>
          <c:h val="0.558237199145242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600">
          <a:solidFill>
            <a:sysClr val="windowText" lastClr="000000"/>
          </a:solidFill>
        </a:defRPr>
      </a:pPr>
      <a:endParaRPr lang="en-US"/>
    </a:p>
  </c:txPr>
  <c:printSettings>
    <c:headerFooter/>
    <c:pageMargins b="0.78740157499999996" l="0.7" r="0.7" t="0.78740157499999996" header="0.3" footer="0.3"/>
    <c:pageSetup/>
  </c:printSettings>
  <c:userShapes r:id="rId4"/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strRef>
          <c:f>'S Table 3 - raw data - T. cas'!$C$202:$C$205</c:f>
          <c:strCache>
            <c:ptCount val="4"/>
            <c:pt idx="0">
              <c:v>Tango6</c:v>
            </c:pt>
          </c:strCache>
        </c:strRef>
      </c:tx>
      <c:layout>
        <c:manualLayout>
          <c:xMode val="edge"/>
          <c:yMode val="edge"/>
          <c:x val="0.69915718404589744"/>
          <c:y val="6.61512598038641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2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707952411797022"/>
          <c:y val="9.7191566495689094E-2"/>
          <c:w val="0.38980616803333429"/>
          <c:h val="0.5946269029881357"/>
        </c:manualLayout>
      </c:layout>
      <c:lineChart>
        <c:grouping val="standard"/>
        <c:varyColors val="0"/>
        <c:ser>
          <c:idx val="0"/>
          <c:order val="0"/>
          <c:tx>
            <c:strRef>
              <c:f>'S Table 3 - raw data - T. cas'!$D$202</c:f>
              <c:strCache>
                <c:ptCount val="1"/>
                <c:pt idx="0">
                  <c:v>250 ng/µl</c:v>
                </c:pt>
              </c:strCache>
            </c:strRef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diamond"/>
            <c:size val="2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cas'!$BR$202:$BY$202</c:f>
              <c:numCache>
                <c:formatCode>General</c:formatCode>
                <c:ptCount val="8"/>
                <c:pt idx="0">
                  <c:v>100</c:v>
                </c:pt>
                <c:pt idx="1">
                  <c:v>75.000000000000014</c:v>
                </c:pt>
                <c:pt idx="2">
                  <c:v>38.888888888888893</c:v>
                </c:pt>
                <c:pt idx="3">
                  <c:v>19.444444444444446</c:v>
                </c:pt>
                <c:pt idx="4">
                  <c:v>13.888888888888891</c:v>
                </c:pt>
                <c:pt idx="5">
                  <c:v>11.111111111111112</c:v>
                </c:pt>
                <c:pt idx="6">
                  <c:v>11.111111111111112</c:v>
                </c:pt>
                <c:pt idx="7">
                  <c:v>11.111111111111112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CD4B-4879-B9FB-135D44B809FC}"/>
            </c:ext>
          </c:extLst>
        </c:ser>
        <c:ser>
          <c:idx val="1"/>
          <c:order val="1"/>
          <c:tx>
            <c:strRef>
              <c:f>'S Table 3 - raw data - T. cas'!$D$203</c:f>
              <c:strCache>
                <c:ptCount val="1"/>
                <c:pt idx="0">
                  <c:v>1 ng/µl</c:v>
                </c:pt>
              </c:strCache>
            </c:strRef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squar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cas'!$BR$203:$BY$203</c:f>
              <c:numCache>
                <c:formatCode>General</c:formatCode>
                <c:ptCount val="8"/>
                <c:pt idx="0">
                  <c:v>100</c:v>
                </c:pt>
                <c:pt idx="1">
                  <c:v>91.666666666666671</c:v>
                </c:pt>
                <c:pt idx="2">
                  <c:v>66.666666666666671</c:v>
                </c:pt>
                <c:pt idx="3">
                  <c:v>63.888888888888893</c:v>
                </c:pt>
                <c:pt idx="4">
                  <c:v>63.888888888888893</c:v>
                </c:pt>
                <c:pt idx="5">
                  <c:v>63.888888888888893</c:v>
                </c:pt>
                <c:pt idx="6">
                  <c:v>63.888888888888893</c:v>
                </c:pt>
                <c:pt idx="7">
                  <c:v>61.111111111111114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CD4B-4879-B9FB-135D44B809FC}"/>
            </c:ext>
          </c:extLst>
        </c:ser>
        <c:ser>
          <c:idx val="2"/>
          <c:order val="2"/>
          <c:tx>
            <c:strRef>
              <c:f>'S Table 3 - raw data - T. cas'!$D$204</c:f>
              <c:strCache>
                <c:ptCount val="1"/>
                <c:pt idx="0">
                  <c:v>0,1 ng/µl</c:v>
                </c:pt>
              </c:strCache>
            </c:strRef>
          </c:tx>
          <c:spPr>
            <a:ln w="1270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circl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cas'!$BR$204:$BY$204</c:f>
              <c:numCache>
                <c:formatCode>General</c:formatCode>
                <c:ptCount val="8"/>
                <c:pt idx="0">
                  <c:v>100</c:v>
                </c:pt>
                <c:pt idx="1">
                  <c:v>100</c:v>
                </c:pt>
                <c:pt idx="2">
                  <c:v>63.888888888888893</c:v>
                </c:pt>
                <c:pt idx="3">
                  <c:v>61.111111111111114</c:v>
                </c:pt>
                <c:pt idx="4">
                  <c:v>61.111111111111114</c:v>
                </c:pt>
                <c:pt idx="5">
                  <c:v>61.111111111111114</c:v>
                </c:pt>
                <c:pt idx="6">
                  <c:v>61.111111111111114</c:v>
                </c:pt>
                <c:pt idx="7">
                  <c:v>52.777777777777779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CD4B-4879-B9FB-135D44B809FC}"/>
            </c:ext>
          </c:extLst>
        </c:ser>
        <c:ser>
          <c:idx val="3"/>
          <c:order val="3"/>
          <c:tx>
            <c:strRef>
              <c:f>'S Table 3 - raw data - T. cas'!$D$205</c:f>
              <c:strCache>
                <c:ptCount val="1"/>
                <c:pt idx="0">
                  <c:v>0,01 ng/µl</c:v>
                </c:pt>
              </c:strCache>
            </c:strRef>
          </c:tx>
          <c:spPr>
            <a:ln w="12700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cas'!$BR$205:$BY$205</c:f>
              <c:numCache>
                <c:formatCode>General</c:formatCode>
                <c:ptCount val="8"/>
                <c:pt idx="0">
                  <c:v>100</c:v>
                </c:pt>
                <c:pt idx="1">
                  <c:v>88.8888888888889</c:v>
                </c:pt>
                <c:pt idx="2">
                  <c:v>66.666666666666671</c:v>
                </c:pt>
                <c:pt idx="3">
                  <c:v>61.111111111111121</c:v>
                </c:pt>
                <c:pt idx="4">
                  <c:v>61.111111111111121</c:v>
                </c:pt>
                <c:pt idx="5">
                  <c:v>61.111111111111121</c:v>
                </c:pt>
                <c:pt idx="6">
                  <c:v>58.333333333333336</c:v>
                </c:pt>
                <c:pt idx="7">
                  <c:v>55.555555555555564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CD4B-4879-B9FB-135D44B809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2920080"/>
        <c:axId val="742920472"/>
      </c:lineChart>
      <c:catAx>
        <c:axId val="7429200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Titel</a:t>
                </a:r>
              </a:p>
            </c:rich>
          </c:tx>
          <c:layout>
            <c:manualLayout>
              <c:xMode val="edge"/>
              <c:yMode val="edge"/>
              <c:x val="0.29913617818317795"/>
              <c:y val="0.828734648805826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920472"/>
        <c:crosses val="autoZero"/>
        <c:auto val="1"/>
        <c:lblAlgn val="ctr"/>
        <c:lblOffset val="100"/>
        <c:noMultiLvlLbl val="0"/>
      </c:catAx>
      <c:valAx>
        <c:axId val="742920472"/>
        <c:scaling>
          <c:orientation val="minMax"/>
          <c:max val="1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Titel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920080"/>
        <c:crosses val="autoZero"/>
        <c:crossBetween val="midCat"/>
        <c:majorUnit val="25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6818782831484205"/>
          <c:y val="0.30183335351728074"/>
          <c:w val="0.34217754564909031"/>
          <c:h val="0.558237199145242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600">
          <a:solidFill>
            <a:sysClr val="windowText" lastClr="000000"/>
          </a:solidFill>
        </a:defRPr>
      </a:pPr>
      <a:endParaRPr lang="en-US"/>
    </a:p>
  </c:txPr>
  <c:printSettings>
    <c:headerFooter/>
    <c:pageMargins b="0.78740157499999996" l="0.7" r="0.7" t="0.78740157499999996" header="0.3" footer="0.3"/>
    <c:pageSetup/>
  </c:printSettings>
  <c:userShapes r:id="rId4"/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strRef>
          <c:f>'S Table 3 - raw data - T. cas'!$C$206:$C$209</c:f>
          <c:strCache>
            <c:ptCount val="4"/>
            <c:pt idx="0">
              <c:v>IMPI</c:v>
            </c:pt>
          </c:strCache>
        </c:strRef>
      </c:tx>
      <c:layout>
        <c:manualLayout>
          <c:xMode val="edge"/>
          <c:yMode val="edge"/>
          <c:x val="0.69915718404589744"/>
          <c:y val="6.61512598038641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2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707952411797022"/>
          <c:y val="9.7191566495689094E-2"/>
          <c:w val="0.38980616803333429"/>
          <c:h val="0.5946269029881357"/>
        </c:manualLayout>
      </c:layout>
      <c:lineChart>
        <c:grouping val="standard"/>
        <c:varyColors val="0"/>
        <c:ser>
          <c:idx val="0"/>
          <c:order val="0"/>
          <c:tx>
            <c:strRef>
              <c:f>'S Table 3 - raw data - T. cas'!$D$206</c:f>
              <c:strCache>
                <c:ptCount val="1"/>
                <c:pt idx="0">
                  <c:v>250 ng/µl</c:v>
                </c:pt>
              </c:strCache>
            </c:strRef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diamond"/>
            <c:size val="2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cas'!$BR$206:$BY$206</c:f>
              <c:numCache>
                <c:formatCode>General</c:formatCode>
                <c:ptCount val="8"/>
                <c:pt idx="0">
                  <c:v>100</c:v>
                </c:pt>
                <c:pt idx="1">
                  <c:v>88.8888888888889</c:v>
                </c:pt>
                <c:pt idx="2">
                  <c:v>86.111111111111128</c:v>
                </c:pt>
                <c:pt idx="3">
                  <c:v>83.333333333333343</c:v>
                </c:pt>
                <c:pt idx="4">
                  <c:v>83.333333333333343</c:v>
                </c:pt>
                <c:pt idx="5">
                  <c:v>77.777777777777786</c:v>
                </c:pt>
                <c:pt idx="6">
                  <c:v>77.777777777777786</c:v>
                </c:pt>
                <c:pt idx="7">
                  <c:v>77.777777777777786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ADFD-430A-B53B-DD629F6EF694}"/>
            </c:ext>
          </c:extLst>
        </c:ser>
        <c:ser>
          <c:idx val="1"/>
          <c:order val="1"/>
          <c:tx>
            <c:strRef>
              <c:f>'S Table 3 - raw data - T. cas'!$D$207</c:f>
              <c:strCache>
                <c:ptCount val="1"/>
              </c:strCache>
            </c:strRef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squar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cas'!$BR$207:$BY$207</c:f>
              <c:numCache>
                <c:formatCode>General</c:formatCode>
                <c:ptCount val="8"/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ADFD-430A-B53B-DD629F6EF694}"/>
            </c:ext>
          </c:extLst>
        </c:ser>
        <c:ser>
          <c:idx val="2"/>
          <c:order val="2"/>
          <c:tx>
            <c:strRef>
              <c:f>'S Table 3 - raw data - T. cas'!$D$208</c:f>
              <c:strCache>
                <c:ptCount val="1"/>
              </c:strCache>
            </c:strRef>
          </c:tx>
          <c:spPr>
            <a:ln w="1270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circl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cas'!$BR$208:$BY$208</c:f>
              <c:numCache>
                <c:formatCode>General</c:formatCode>
                <c:ptCount val="8"/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ADFD-430A-B53B-DD629F6EF694}"/>
            </c:ext>
          </c:extLst>
        </c:ser>
        <c:ser>
          <c:idx val="3"/>
          <c:order val="3"/>
          <c:tx>
            <c:strRef>
              <c:f>'S Table 3 - raw data - T. cas'!$D$209</c:f>
              <c:strCache>
                <c:ptCount val="1"/>
              </c:strCache>
            </c:strRef>
          </c:tx>
          <c:spPr>
            <a:ln w="12700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cas'!$BR$209:$BY$209</c:f>
              <c:numCache>
                <c:formatCode>General</c:formatCode>
                <c:ptCount val="8"/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ADFD-430A-B53B-DD629F6EF6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2921256"/>
        <c:axId val="742921648"/>
      </c:lineChart>
      <c:catAx>
        <c:axId val="7429212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Titel</a:t>
                </a:r>
              </a:p>
            </c:rich>
          </c:tx>
          <c:layout>
            <c:manualLayout>
              <c:xMode val="edge"/>
              <c:yMode val="edge"/>
              <c:x val="0.29913617818317795"/>
              <c:y val="0.828734648805826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921648"/>
        <c:crosses val="autoZero"/>
        <c:auto val="1"/>
        <c:lblAlgn val="ctr"/>
        <c:lblOffset val="100"/>
        <c:noMultiLvlLbl val="0"/>
      </c:catAx>
      <c:valAx>
        <c:axId val="742921648"/>
        <c:scaling>
          <c:orientation val="minMax"/>
          <c:max val="1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Titel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921256"/>
        <c:crosses val="autoZero"/>
        <c:crossBetween val="midCat"/>
        <c:majorUnit val="25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6818782831484205"/>
          <c:y val="0.30183335351728074"/>
          <c:w val="0.34217754564909031"/>
          <c:h val="0.558237199145242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600">
          <a:solidFill>
            <a:sysClr val="windowText" lastClr="000000"/>
          </a:solidFill>
        </a:defRPr>
      </a:pPr>
      <a:endParaRPr lang="en-US"/>
    </a:p>
  </c:txPr>
  <c:printSettings>
    <c:headerFooter/>
    <c:pageMargins b="0.78740157499999996" l="0.7" r="0.7" t="0.78740157499999996" header="0.3" footer="0.3"/>
    <c:pageSetup/>
  </c:printSettings>
  <c:userShapes r:id="rId4"/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strRef>
          <c:f>'S Table 3 - raw data - T. cas'!$C$90:$C$93</c:f>
          <c:strCache>
            <c:ptCount val="4"/>
            <c:pt idx="0">
              <c:v>mam</c:v>
            </c:pt>
          </c:strCache>
        </c:strRef>
      </c:tx>
      <c:layout>
        <c:manualLayout>
          <c:xMode val="edge"/>
          <c:yMode val="edge"/>
          <c:x val="0.69915718404589744"/>
          <c:y val="6.61512598038641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2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707952411797022"/>
          <c:y val="9.7191566495689094E-2"/>
          <c:w val="0.38980616803333429"/>
          <c:h val="0.5946269029881357"/>
        </c:manualLayout>
      </c:layout>
      <c:lineChart>
        <c:grouping val="standard"/>
        <c:varyColors val="0"/>
        <c:ser>
          <c:idx val="0"/>
          <c:order val="0"/>
          <c:tx>
            <c:strRef>
              <c:f>'S Table 3 - raw data - T. cas'!$D$90</c:f>
              <c:strCache>
                <c:ptCount val="1"/>
                <c:pt idx="0">
                  <c:v>250 ng/µl</c:v>
                </c:pt>
              </c:strCache>
            </c:strRef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diamond"/>
            <c:size val="2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cas'!$BR$90:$BY$90</c:f>
              <c:numCache>
                <c:formatCode>General</c:formatCode>
                <c:ptCount val="8"/>
                <c:pt idx="0">
                  <c:v>100</c:v>
                </c:pt>
                <c:pt idx="1">
                  <c:v>77.777777777777786</c:v>
                </c:pt>
                <c:pt idx="2">
                  <c:v>58.333333333333336</c:v>
                </c:pt>
                <c:pt idx="3">
                  <c:v>22.222222222222225</c:v>
                </c:pt>
                <c:pt idx="4">
                  <c:v>13.888888888888891</c:v>
                </c:pt>
                <c:pt idx="5">
                  <c:v>5.5555555555555562</c:v>
                </c:pt>
                <c:pt idx="6">
                  <c:v>5.5555555555555562</c:v>
                </c:pt>
                <c:pt idx="7">
                  <c:v>5.5555555555555562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91A8-43F6-A886-B6937E076CCE}"/>
            </c:ext>
          </c:extLst>
        </c:ser>
        <c:ser>
          <c:idx val="1"/>
          <c:order val="1"/>
          <c:tx>
            <c:strRef>
              <c:f>'S Table 3 - raw data - T. cas'!$D$91</c:f>
              <c:strCache>
                <c:ptCount val="1"/>
                <c:pt idx="0">
                  <c:v>1 ng/µl</c:v>
                </c:pt>
              </c:strCache>
            </c:strRef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squar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cas'!$BR$91:$BY$91</c:f>
              <c:numCache>
                <c:formatCode>General</c:formatCode>
                <c:ptCount val="8"/>
                <c:pt idx="0">
                  <c:v>100</c:v>
                </c:pt>
                <c:pt idx="1">
                  <c:v>83.333333333333329</c:v>
                </c:pt>
                <c:pt idx="2">
                  <c:v>69.444444444444443</c:v>
                </c:pt>
                <c:pt idx="3">
                  <c:v>58.333333333333336</c:v>
                </c:pt>
                <c:pt idx="4">
                  <c:v>55.555555555555564</c:v>
                </c:pt>
                <c:pt idx="5">
                  <c:v>52.777777777777779</c:v>
                </c:pt>
                <c:pt idx="6">
                  <c:v>52.777777777777779</c:v>
                </c:pt>
                <c:pt idx="7">
                  <c:v>52.777777777777779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91A8-43F6-A886-B6937E076CCE}"/>
            </c:ext>
          </c:extLst>
        </c:ser>
        <c:ser>
          <c:idx val="2"/>
          <c:order val="2"/>
          <c:tx>
            <c:strRef>
              <c:f>'S Table 3 - raw data - T. cas'!$D$92</c:f>
              <c:strCache>
                <c:ptCount val="1"/>
                <c:pt idx="0">
                  <c:v>0,1 ng/µl</c:v>
                </c:pt>
              </c:strCache>
            </c:strRef>
          </c:tx>
          <c:spPr>
            <a:ln w="1270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circl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cas'!$BR$92:$BY$92</c:f>
              <c:numCache>
                <c:formatCode>General</c:formatCode>
                <c:ptCount val="8"/>
                <c:pt idx="0">
                  <c:v>100</c:v>
                </c:pt>
                <c:pt idx="1">
                  <c:v>83.333333333333329</c:v>
                </c:pt>
                <c:pt idx="2">
                  <c:v>66.666666666666671</c:v>
                </c:pt>
                <c:pt idx="3">
                  <c:v>52.777777777777779</c:v>
                </c:pt>
                <c:pt idx="4">
                  <c:v>47.222222222222229</c:v>
                </c:pt>
                <c:pt idx="5">
                  <c:v>47.222222222222229</c:v>
                </c:pt>
                <c:pt idx="6">
                  <c:v>47.222222222222229</c:v>
                </c:pt>
                <c:pt idx="7">
                  <c:v>41.666666666666664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91A8-43F6-A886-B6937E076CCE}"/>
            </c:ext>
          </c:extLst>
        </c:ser>
        <c:ser>
          <c:idx val="3"/>
          <c:order val="3"/>
          <c:tx>
            <c:strRef>
              <c:f>'S Table 3 - raw data - T. cas'!$D$93</c:f>
              <c:strCache>
                <c:ptCount val="1"/>
                <c:pt idx="0">
                  <c:v>0,01 ng/µl</c:v>
                </c:pt>
              </c:strCache>
            </c:strRef>
          </c:tx>
          <c:spPr>
            <a:ln w="12700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cas'!$BR$93:$BY$93</c:f>
              <c:numCache>
                <c:formatCode>General</c:formatCode>
                <c:ptCount val="8"/>
                <c:pt idx="0">
                  <c:v>100</c:v>
                </c:pt>
                <c:pt idx="1">
                  <c:v>88.8888888888889</c:v>
                </c:pt>
                <c:pt idx="2">
                  <c:v>77.777777777777786</c:v>
                </c:pt>
                <c:pt idx="3">
                  <c:v>77.777777777777786</c:v>
                </c:pt>
                <c:pt idx="4">
                  <c:v>63.888888888888893</c:v>
                </c:pt>
                <c:pt idx="5">
                  <c:v>52.777777777777779</c:v>
                </c:pt>
                <c:pt idx="6">
                  <c:v>52.777777777777779</c:v>
                </c:pt>
                <c:pt idx="7">
                  <c:v>50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91A8-43F6-A886-B6937E076C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2922432"/>
        <c:axId val="742641608"/>
      </c:lineChart>
      <c:catAx>
        <c:axId val="7429224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Titel</a:t>
                </a:r>
              </a:p>
            </c:rich>
          </c:tx>
          <c:layout>
            <c:manualLayout>
              <c:xMode val="edge"/>
              <c:yMode val="edge"/>
              <c:x val="0.29913617818317795"/>
              <c:y val="0.828734648805826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641608"/>
        <c:crosses val="autoZero"/>
        <c:auto val="1"/>
        <c:lblAlgn val="ctr"/>
        <c:lblOffset val="100"/>
        <c:noMultiLvlLbl val="0"/>
      </c:catAx>
      <c:valAx>
        <c:axId val="742641608"/>
        <c:scaling>
          <c:orientation val="minMax"/>
          <c:max val="1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Titel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922432"/>
        <c:crosses val="autoZero"/>
        <c:crossBetween val="midCat"/>
        <c:majorUnit val="25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6818782831484205"/>
          <c:y val="0.30183335351728074"/>
          <c:w val="0.34217754564909031"/>
          <c:h val="0.558237199145242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600">
          <a:solidFill>
            <a:sysClr val="windowText" lastClr="000000"/>
          </a:solidFill>
        </a:defRPr>
      </a:pPr>
      <a:endParaRPr lang="en-US"/>
    </a:p>
  </c:txPr>
  <c:printSettings>
    <c:headerFooter/>
    <c:pageMargins b="0.78740157499999996" l="0.7" r="0.7" t="0.78740157499999996" header="0.3" footer="0.3"/>
    <c:pageSetup/>
  </c:printSettings>
  <c:userShapes r:id="rId4"/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strRef>
          <c:f>'S Table 3 - raw data - T. cas'!$C$86:$C$89</c:f>
          <c:strCache>
            <c:ptCount val="4"/>
            <c:pt idx="0">
              <c:v>l(3)72Ab</c:v>
            </c:pt>
          </c:strCache>
        </c:strRef>
      </c:tx>
      <c:layout>
        <c:manualLayout>
          <c:xMode val="edge"/>
          <c:yMode val="edge"/>
          <c:x val="0.69915718404589744"/>
          <c:y val="6.61512598038641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2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707952411797022"/>
          <c:y val="9.7191566495689094E-2"/>
          <c:w val="0.38980616803333429"/>
          <c:h val="0.5946269029881357"/>
        </c:manualLayout>
      </c:layout>
      <c:lineChart>
        <c:grouping val="standard"/>
        <c:varyColors val="0"/>
        <c:ser>
          <c:idx val="0"/>
          <c:order val="0"/>
          <c:tx>
            <c:strRef>
              <c:f>'S Table 3 - raw data - T. cas'!$D$86</c:f>
              <c:strCache>
                <c:ptCount val="1"/>
                <c:pt idx="0">
                  <c:v>250 ng/µl</c:v>
                </c:pt>
              </c:strCache>
            </c:strRef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diamond"/>
            <c:size val="2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cas'!$BR$86:$BY$86</c:f>
              <c:numCache>
                <c:formatCode>General</c:formatCode>
                <c:ptCount val="8"/>
                <c:pt idx="0">
                  <c:v>100</c:v>
                </c:pt>
                <c:pt idx="1">
                  <c:v>55.555555555555564</c:v>
                </c:pt>
                <c:pt idx="2">
                  <c:v>25</c:v>
                </c:pt>
                <c:pt idx="3">
                  <c:v>13.888888888888891</c:v>
                </c:pt>
                <c:pt idx="4">
                  <c:v>2.7777777777777781</c:v>
                </c:pt>
                <c:pt idx="5">
                  <c:v>2.7777777777777781</c:v>
                </c:pt>
                <c:pt idx="6">
                  <c:v>2.7777777777777781</c:v>
                </c:pt>
                <c:pt idx="7">
                  <c:v>2.7777777777777781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1DA1-4509-981F-1D3D799D7705}"/>
            </c:ext>
          </c:extLst>
        </c:ser>
        <c:ser>
          <c:idx val="1"/>
          <c:order val="1"/>
          <c:tx>
            <c:strRef>
              <c:f>'S Table 3 - raw data - T. cas'!$D$87</c:f>
              <c:strCache>
                <c:ptCount val="1"/>
                <c:pt idx="0">
                  <c:v>1 ng/µl</c:v>
                </c:pt>
              </c:strCache>
            </c:strRef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squar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cas'!$BR$87:$BY$87</c:f>
              <c:numCache>
                <c:formatCode>General</c:formatCode>
                <c:ptCount val="8"/>
                <c:pt idx="0">
                  <c:v>100</c:v>
                </c:pt>
                <c:pt idx="1">
                  <c:v>75</c:v>
                </c:pt>
                <c:pt idx="2">
                  <c:v>55.555555555555564</c:v>
                </c:pt>
                <c:pt idx="3">
                  <c:v>52.777777777777779</c:v>
                </c:pt>
                <c:pt idx="4">
                  <c:v>19.444444444444446</c:v>
                </c:pt>
                <c:pt idx="5">
                  <c:v>16.666666666666668</c:v>
                </c:pt>
                <c:pt idx="6">
                  <c:v>11.111111111111112</c:v>
                </c:pt>
                <c:pt idx="7">
                  <c:v>11.111111111111112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1DA1-4509-981F-1D3D799D7705}"/>
            </c:ext>
          </c:extLst>
        </c:ser>
        <c:ser>
          <c:idx val="2"/>
          <c:order val="2"/>
          <c:tx>
            <c:strRef>
              <c:f>'S Table 3 - raw data - T. cas'!$D$88</c:f>
              <c:strCache>
                <c:ptCount val="1"/>
                <c:pt idx="0">
                  <c:v>0,1 ng/µl</c:v>
                </c:pt>
              </c:strCache>
            </c:strRef>
          </c:tx>
          <c:spPr>
            <a:ln w="1270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circl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cas'!$BR$88:$BY$88</c:f>
              <c:numCache>
                <c:formatCode>General</c:formatCode>
                <c:ptCount val="8"/>
                <c:pt idx="0">
                  <c:v>100</c:v>
                </c:pt>
                <c:pt idx="1">
                  <c:v>83.333333333333343</c:v>
                </c:pt>
                <c:pt idx="2">
                  <c:v>80.555555555555557</c:v>
                </c:pt>
                <c:pt idx="3">
                  <c:v>75</c:v>
                </c:pt>
                <c:pt idx="4">
                  <c:v>66.666666666666671</c:v>
                </c:pt>
                <c:pt idx="5">
                  <c:v>63.888888888888893</c:v>
                </c:pt>
                <c:pt idx="6">
                  <c:v>63.888888888888893</c:v>
                </c:pt>
                <c:pt idx="7">
                  <c:v>63.888888888888893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1DA1-4509-981F-1D3D799D7705}"/>
            </c:ext>
          </c:extLst>
        </c:ser>
        <c:ser>
          <c:idx val="3"/>
          <c:order val="3"/>
          <c:tx>
            <c:strRef>
              <c:f>'S Table 3 - raw data - T. cas'!$D$89</c:f>
              <c:strCache>
                <c:ptCount val="1"/>
                <c:pt idx="0">
                  <c:v>0,01 ng/µl</c:v>
                </c:pt>
              </c:strCache>
            </c:strRef>
          </c:tx>
          <c:spPr>
            <a:ln w="12700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'S Table 3 - raw data - T. cas'!$BR$5:$BY$5</c:f>
              <c:numCache>
                <c:formatCode>General</c:formatCode>
                <c:ptCount val="8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</c:numCache>
            </c:numRef>
          </c:cat>
          <c:val>
            <c:numRef>
              <c:f>'S Table 3 - raw data - T. cas'!$BR$89:$BY$89</c:f>
              <c:numCache>
                <c:formatCode>General</c:formatCode>
                <c:ptCount val="8"/>
                <c:pt idx="0">
                  <c:v>100</c:v>
                </c:pt>
                <c:pt idx="1">
                  <c:v>80.555555555555557</c:v>
                </c:pt>
                <c:pt idx="2">
                  <c:v>75</c:v>
                </c:pt>
                <c:pt idx="3">
                  <c:v>72.222222222222229</c:v>
                </c:pt>
                <c:pt idx="4">
                  <c:v>69.444444444444457</c:v>
                </c:pt>
                <c:pt idx="5">
                  <c:v>66.666666666666671</c:v>
                </c:pt>
                <c:pt idx="6">
                  <c:v>66.666666666666671</c:v>
                </c:pt>
                <c:pt idx="7">
                  <c:v>66.666666666666671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1DA1-4509-981F-1D3D799D77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2642392"/>
        <c:axId val="742642784"/>
      </c:lineChart>
      <c:catAx>
        <c:axId val="7426423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Titel</a:t>
                </a:r>
              </a:p>
            </c:rich>
          </c:tx>
          <c:layout>
            <c:manualLayout>
              <c:xMode val="edge"/>
              <c:yMode val="edge"/>
              <c:x val="0.29913617818317795"/>
              <c:y val="0.828734648805826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642784"/>
        <c:crosses val="autoZero"/>
        <c:auto val="1"/>
        <c:lblAlgn val="ctr"/>
        <c:lblOffset val="100"/>
        <c:noMultiLvlLbl val="0"/>
      </c:catAx>
      <c:valAx>
        <c:axId val="742642784"/>
        <c:scaling>
          <c:orientation val="minMax"/>
          <c:max val="1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Titel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642392"/>
        <c:crosses val="autoZero"/>
        <c:crossBetween val="midCat"/>
        <c:majorUnit val="25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6818782831484205"/>
          <c:y val="0.30183335351728074"/>
          <c:w val="0.34217754564909031"/>
          <c:h val="0.558237199145242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600">
          <a:solidFill>
            <a:sysClr val="windowText" lastClr="000000"/>
          </a:solidFill>
        </a:defRPr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26" Type="http://schemas.openxmlformats.org/officeDocument/2006/relationships/chart" Target="../charts/chart26.xml"/><Relationship Id="rId39" Type="http://schemas.openxmlformats.org/officeDocument/2006/relationships/chart" Target="../charts/chart39.xm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34" Type="http://schemas.openxmlformats.org/officeDocument/2006/relationships/chart" Target="../charts/chart34.xml"/><Relationship Id="rId42" Type="http://schemas.openxmlformats.org/officeDocument/2006/relationships/chart" Target="../charts/chart42.xml"/><Relationship Id="rId47" Type="http://schemas.openxmlformats.org/officeDocument/2006/relationships/chart" Target="../charts/chart47.xml"/><Relationship Id="rId50" Type="http://schemas.openxmlformats.org/officeDocument/2006/relationships/chart" Target="../charts/chart50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33" Type="http://schemas.openxmlformats.org/officeDocument/2006/relationships/chart" Target="../charts/chart33.xml"/><Relationship Id="rId38" Type="http://schemas.openxmlformats.org/officeDocument/2006/relationships/chart" Target="../charts/chart38.xml"/><Relationship Id="rId46" Type="http://schemas.openxmlformats.org/officeDocument/2006/relationships/chart" Target="../charts/chart46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29" Type="http://schemas.openxmlformats.org/officeDocument/2006/relationships/chart" Target="../charts/chart29.xml"/><Relationship Id="rId41" Type="http://schemas.openxmlformats.org/officeDocument/2006/relationships/chart" Target="../charts/chart41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32" Type="http://schemas.openxmlformats.org/officeDocument/2006/relationships/chart" Target="../charts/chart32.xml"/><Relationship Id="rId37" Type="http://schemas.openxmlformats.org/officeDocument/2006/relationships/chart" Target="../charts/chart37.xml"/><Relationship Id="rId40" Type="http://schemas.openxmlformats.org/officeDocument/2006/relationships/chart" Target="../charts/chart40.xml"/><Relationship Id="rId45" Type="http://schemas.openxmlformats.org/officeDocument/2006/relationships/chart" Target="../charts/chart45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28" Type="http://schemas.openxmlformats.org/officeDocument/2006/relationships/chart" Target="../charts/chart28.xml"/><Relationship Id="rId36" Type="http://schemas.openxmlformats.org/officeDocument/2006/relationships/chart" Target="../charts/chart36.xml"/><Relationship Id="rId49" Type="http://schemas.openxmlformats.org/officeDocument/2006/relationships/chart" Target="../charts/chart49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31" Type="http://schemas.openxmlformats.org/officeDocument/2006/relationships/chart" Target="../charts/chart31.xml"/><Relationship Id="rId44" Type="http://schemas.openxmlformats.org/officeDocument/2006/relationships/chart" Target="../charts/chart44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Relationship Id="rId30" Type="http://schemas.openxmlformats.org/officeDocument/2006/relationships/chart" Target="../charts/chart30.xml"/><Relationship Id="rId35" Type="http://schemas.openxmlformats.org/officeDocument/2006/relationships/chart" Target="../charts/chart35.xml"/><Relationship Id="rId43" Type="http://schemas.openxmlformats.org/officeDocument/2006/relationships/chart" Target="../charts/chart43.xml"/><Relationship Id="rId48" Type="http://schemas.openxmlformats.org/officeDocument/2006/relationships/chart" Target="../charts/chart48.xml"/><Relationship Id="rId8" Type="http://schemas.openxmlformats.org/officeDocument/2006/relationships/chart" Target="../charts/chart8.xml"/><Relationship Id="rId51" Type="http://schemas.openxmlformats.org/officeDocument/2006/relationships/chart" Target="../charts/chart5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86</xdr:col>
      <xdr:colOff>0</xdr:colOff>
      <xdr:row>5</xdr:row>
      <xdr:rowOff>0</xdr:rowOff>
    </xdr:from>
    <xdr:to>
      <xdr:col>88</xdr:col>
      <xdr:colOff>733551</xdr:colOff>
      <xdr:row>9</xdr:row>
      <xdr:rowOff>3847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86</xdr:col>
      <xdr:colOff>0</xdr:colOff>
      <xdr:row>9</xdr:row>
      <xdr:rowOff>0</xdr:rowOff>
    </xdr:from>
    <xdr:to>
      <xdr:col>88</xdr:col>
      <xdr:colOff>733551</xdr:colOff>
      <xdr:row>13</xdr:row>
      <xdr:rowOff>3847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86</xdr:col>
      <xdr:colOff>0</xdr:colOff>
      <xdr:row>13</xdr:row>
      <xdr:rowOff>0</xdr:rowOff>
    </xdr:from>
    <xdr:to>
      <xdr:col>88</xdr:col>
      <xdr:colOff>733551</xdr:colOff>
      <xdr:row>17</xdr:row>
      <xdr:rowOff>3847</xdr:rowOff>
    </xdr:to>
    <xdr:graphicFrame macro="">
      <xdr:nvGraphicFramePr>
        <xdr:cNvPr id="6" name="Diagramm 5">
          <a:extLst>
            <a:ext uri="{FF2B5EF4-FFF2-40B4-BE49-F238E27FC236}">
              <a16:creationId xmlns:a16="http://schemas.microsoft.com/office/drawing/2014/main" xmlns="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86</xdr:col>
      <xdr:colOff>0</xdr:colOff>
      <xdr:row>17</xdr:row>
      <xdr:rowOff>0</xdr:rowOff>
    </xdr:from>
    <xdr:to>
      <xdr:col>88</xdr:col>
      <xdr:colOff>733551</xdr:colOff>
      <xdr:row>21</xdr:row>
      <xdr:rowOff>3847</xdr:rowOff>
    </xdr:to>
    <xdr:graphicFrame macro="">
      <xdr:nvGraphicFramePr>
        <xdr:cNvPr id="7" name="Diagramm 6">
          <a:extLst>
            <a:ext uri="{FF2B5EF4-FFF2-40B4-BE49-F238E27FC236}">
              <a16:creationId xmlns:a16="http://schemas.microsoft.com/office/drawing/2014/main" xmlns="" id="{00000000-0008-0000-02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86</xdr:col>
      <xdr:colOff>0</xdr:colOff>
      <xdr:row>21</xdr:row>
      <xdr:rowOff>0</xdr:rowOff>
    </xdr:from>
    <xdr:to>
      <xdr:col>88</xdr:col>
      <xdr:colOff>733551</xdr:colOff>
      <xdr:row>25</xdr:row>
      <xdr:rowOff>3847</xdr:rowOff>
    </xdr:to>
    <xdr:graphicFrame macro="">
      <xdr:nvGraphicFramePr>
        <xdr:cNvPr id="8" name="Diagramm 7">
          <a:extLst>
            <a:ext uri="{FF2B5EF4-FFF2-40B4-BE49-F238E27FC236}">
              <a16:creationId xmlns:a16="http://schemas.microsoft.com/office/drawing/2014/main" xmlns="" id="{00000000-0008-0000-02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86</xdr:col>
      <xdr:colOff>0</xdr:colOff>
      <xdr:row>25</xdr:row>
      <xdr:rowOff>0</xdr:rowOff>
    </xdr:from>
    <xdr:to>
      <xdr:col>88</xdr:col>
      <xdr:colOff>733551</xdr:colOff>
      <xdr:row>29</xdr:row>
      <xdr:rowOff>3847</xdr:rowOff>
    </xdr:to>
    <xdr:graphicFrame macro="">
      <xdr:nvGraphicFramePr>
        <xdr:cNvPr id="9" name="Diagramm 8">
          <a:extLst>
            <a:ext uri="{FF2B5EF4-FFF2-40B4-BE49-F238E27FC236}">
              <a16:creationId xmlns:a16="http://schemas.microsoft.com/office/drawing/2014/main" xmlns="" id="{00000000-0008-0000-02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86</xdr:col>
      <xdr:colOff>0</xdr:colOff>
      <xdr:row>29</xdr:row>
      <xdr:rowOff>0</xdr:rowOff>
    </xdr:from>
    <xdr:to>
      <xdr:col>88</xdr:col>
      <xdr:colOff>733551</xdr:colOff>
      <xdr:row>33</xdr:row>
      <xdr:rowOff>3847</xdr:rowOff>
    </xdr:to>
    <xdr:graphicFrame macro="">
      <xdr:nvGraphicFramePr>
        <xdr:cNvPr id="10" name="Diagramm 9">
          <a:extLst>
            <a:ext uri="{FF2B5EF4-FFF2-40B4-BE49-F238E27FC236}">
              <a16:creationId xmlns:a16="http://schemas.microsoft.com/office/drawing/2014/main" xmlns="" id="{00000000-0008-0000-02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86</xdr:col>
      <xdr:colOff>0</xdr:colOff>
      <xdr:row>33</xdr:row>
      <xdr:rowOff>0</xdr:rowOff>
    </xdr:from>
    <xdr:to>
      <xdr:col>88</xdr:col>
      <xdr:colOff>733551</xdr:colOff>
      <xdr:row>37</xdr:row>
      <xdr:rowOff>3847</xdr:rowOff>
    </xdr:to>
    <xdr:graphicFrame macro="">
      <xdr:nvGraphicFramePr>
        <xdr:cNvPr id="11" name="Diagramm 10">
          <a:extLst>
            <a:ext uri="{FF2B5EF4-FFF2-40B4-BE49-F238E27FC236}">
              <a16:creationId xmlns:a16="http://schemas.microsoft.com/office/drawing/2014/main" xmlns="" id="{00000000-0008-0000-02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86</xdr:col>
      <xdr:colOff>0</xdr:colOff>
      <xdr:row>37</xdr:row>
      <xdr:rowOff>0</xdr:rowOff>
    </xdr:from>
    <xdr:to>
      <xdr:col>88</xdr:col>
      <xdr:colOff>733551</xdr:colOff>
      <xdr:row>41</xdr:row>
      <xdr:rowOff>3847</xdr:rowOff>
    </xdr:to>
    <xdr:graphicFrame macro="">
      <xdr:nvGraphicFramePr>
        <xdr:cNvPr id="12" name="Diagramm 11">
          <a:extLst>
            <a:ext uri="{FF2B5EF4-FFF2-40B4-BE49-F238E27FC236}">
              <a16:creationId xmlns:a16="http://schemas.microsoft.com/office/drawing/2014/main" xmlns="" id="{00000000-0008-0000-02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86</xdr:col>
      <xdr:colOff>0</xdr:colOff>
      <xdr:row>41</xdr:row>
      <xdr:rowOff>0</xdr:rowOff>
    </xdr:from>
    <xdr:to>
      <xdr:col>88</xdr:col>
      <xdr:colOff>733551</xdr:colOff>
      <xdr:row>45</xdr:row>
      <xdr:rowOff>3847</xdr:rowOff>
    </xdr:to>
    <xdr:graphicFrame macro="">
      <xdr:nvGraphicFramePr>
        <xdr:cNvPr id="13" name="Diagramm 12">
          <a:extLst>
            <a:ext uri="{FF2B5EF4-FFF2-40B4-BE49-F238E27FC236}">
              <a16:creationId xmlns:a16="http://schemas.microsoft.com/office/drawing/2014/main" xmlns="" id="{00000000-0008-0000-02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86</xdr:col>
      <xdr:colOff>0</xdr:colOff>
      <xdr:row>45</xdr:row>
      <xdr:rowOff>0</xdr:rowOff>
    </xdr:from>
    <xdr:to>
      <xdr:col>88</xdr:col>
      <xdr:colOff>733551</xdr:colOff>
      <xdr:row>49</xdr:row>
      <xdr:rowOff>3847</xdr:rowOff>
    </xdr:to>
    <xdr:graphicFrame macro="">
      <xdr:nvGraphicFramePr>
        <xdr:cNvPr id="14" name="Diagramm 13">
          <a:extLst>
            <a:ext uri="{FF2B5EF4-FFF2-40B4-BE49-F238E27FC236}">
              <a16:creationId xmlns:a16="http://schemas.microsoft.com/office/drawing/2014/main" xmlns="" id="{00000000-0008-0000-02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86</xdr:col>
      <xdr:colOff>0</xdr:colOff>
      <xdr:row>49</xdr:row>
      <xdr:rowOff>0</xdr:rowOff>
    </xdr:from>
    <xdr:to>
      <xdr:col>88</xdr:col>
      <xdr:colOff>733551</xdr:colOff>
      <xdr:row>53</xdr:row>
      <xdr:rowOff>3847</xdr:rowOff>
    </xdr:to>
    <xdr:graphicFrame macro="">
      <xdr:nvGraphicFramePr>
        <xdr:cNvPr id="15" name="Diagramm 14">
          <a:extLst>
            <a:ext uri="{FF2B5EF4-FFF2-40B4-BE49-F238E27FC236}">
              <a16:creationId xmlns:a16="http://schemas.microsoft.com/office/drawing/2014/main" xmlns="" id="{00000000-0008-0000-02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86</xdr:col>
      <xdr:colOff>0</xdr:colOff>
      <xdr:row>53</xdr:row>
      <xdr:rowOff>0</xdr:rowOff>
    </xdr:from>
    <xdr:to>
      <xdr:col>88</xdr:col>
      <xdr:colOff>733551</xdr:colOff>
      <xdr:row>57</xdr:row>
      <xdr:rowOff>3847</xdr:rowOff>
    </xdr:to>
    <xdr:graphicFrame macro="">
      <xdr:nvGraphicFramePr>
        <xdr:cNvPr id="16" name="Diagramm 15">
          <a:extLst>
            <a:ext uri="{FF2B5EF4-FFF2-40B4-BE49-F238E27FC236}">
              <a16:creationId xmlns:a16="http://schemas.microsoft.com/office/drawing/2014/main" xmlns="" id="{00000000-0008-0000-02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86</xdr:col>
      <xdr:colOff>0</xdr:colOff>
      <xdr:row>57</xdr:row>
      <xdr:rowOff>0</xdr:rowOff>
    </xdr:from>
    <xdr:to>
      <xdr:col>88</xdr:col>
      <xdr:colOff>733551</xdr:colOff>
      <xdr:row>61</xdr:row>
      <xdr:rowOff>3847</xdr:rowOff>
    </xdr:to>
    <xdr:graphicFrame macro="">
      <xdr:nvGraphicFramePr>
        <xdr:cNvPr id="17" name="Diagramm 16">
          <a:extLst>
            <a:ext uri="{FF2B5EF4-FFF2-40B4-BE49-F238E27FC236}">
              <a16:creationId xmlns:a16="http://schemas.microsoft.com/office/drawing/2014/main" xmlns="" id="{00000000-0008-0000-02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86</xdr:col>
      <xdr:colOff>0</xdr:colOff>
      <xdr:row>61</xdr:row>
      <xdr:rowOff>0</xdr:rowOff>
    </xdr:from>
    <xdr:to>
      <xdr:col>88</xdr:col>
      <xdr:colOff>733551</xdr:colOff>
      <xdr:row>65</xdr:row>
      <xdr:rowOff>3847</xdr:rowOff>
    </xdr:to>
    <xdr:graphicFrame macro="">
      <xdr:nvGraphicFramePr>
        <xdr:cNvPr id="18" name="Diagramm 17">
          <a:extLst>
            <a:ext uri="{FF2B5EF4-FFF2-40B4-BE49-F238E27FC236}">
              <a16:creationId xmlns:a16="http://schemas.microsoft.com/office/drawing/2014/main" xmlns="" id="{00000000-0008-0000-02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86</xdr:col>
      <xdr:colOff>0</xdr:colOff>
      <xdr:row>65</xdr:row>
      <xdr:rowOff>0</xdr:rowOff>
    </xdr:from>
    <xdr:to>
      <xdr:col>88</xdr:col>
      <xdr:colOff>733551</xdr:colOff>
      <xdr:row>69</xdr:row>
      <xdr:rowOff>3847</xdr:rowOff>
    </xdr:to>
    <xdr:graphicFrame macro="">
      <xdr:nvGraphicFramePr>
        <xdr:cNvPr id="19" name="Diagramm 18">
          <a:extLst>
            <a:ext uri="{FF2B5EF4-FFF2-40B4-BE49-F238E27FC236}">
              <a16:creationId xmlns:a16="http://schemas.microsoft.com/office/drawing/2014/main" xmlns="" id="{00000000-0008-0000-02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86</xdr:col>
      <xdr:colOff>0</xdr:colOff>
      <xdr:row>69</xdr:row>
      <xdr:rowOff>0</xdr:rowOff>
    </xdr:from>
    <xdr:to>
      <xdr:col>88</xdr:col>
      <xdr:colOff>733551</xdr:colOff>
      <xdr:row>73</xdr:row>
      <xdr:rowOff>3847</xdr:rowOff>
    </xdr:to>
    <xdr:graphicFrame macro="">
      <xdr:nvGraphicFramePr>
        <xdr:cNvPr id="20" name="Diagramm 19">
          <a:extLst>
            <a:ext uri="{FF2B5EF4-FFF2-40B4-BE49-F238E27FC236}">
              <a16:creationId xmlns:a16="http://schemas.microsoft.com/office/drawing/2014/main" xmlns="" id="{00000000-0008-0000-02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86</xdr:col>
      <xdr:colOff>0</xdr:colOff>
      <xdr:row>73</xdr:row>
      <xdr:rowOff>0</xdr:rowOff>
    </xdr:from>
    <xdr:to>
      <xdr:col>88</xdr:col>
      <xdr:colOff>733551</xdr:colOff>
      <xdr:row>77</xdr:row>
      <xdr:rowOff>3847</xdr:rowOff>
    </xdr:to>
    <xdr:graphicFrame macro="">
      <xdr:nvGraphicFramePr>
        <xdr:cNvPr id="21" name="Diagramm 20">
          <a:extLst>
            <a:ext uri="{FF2B5EF4-FFF2-40B4-BE49-F238E27FC236}">
              <a16:creationId xmlns:a16="http://schemas.microsoft.com/office/drawing/2014/main" xmlns="" id="{00000000-0008-0000-02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86</xdr:col>
      <xdr:colOff>0</xdr:colOff>
      <xdr:row>77</xdr:row>
      <xdr:rowOff>0</xdr:rowOff>
    </xdr:from>
    <xdr:to>
      <xdr:col>88</xdr:col>
      <xdr:colOff>733551</xdr:colOff>
      <xdr:row>81</xdr:row>
      <xdr:rowOff>3847</xdr:rowOff>
    </xdr:to>
    <xdr:graphicFrame macro="">
      <xdr:nvGraphicFramePr>
        <xdr:cNvPr id="22" name="Diagramm 21">
          <a:extLst>
            <a:ext uri="{FF2B5EF4-FFF2-40B4-BE49-F238E27FC236}">
              <a16:creationId xmlns:a16="http://schemas.microsoft.com/office/drawing/2014/main" xmlns="" id="{00000000-0008-0000-0200-00001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86</xdr:col>
      <xdr:colOff>0</xdr:colOff>
      <xdr:row>81</xdr:row>
      <xdr:rowOff>0</xdr:rowOff>
    </xdr:from>
    <xdr:to>
      <xdr:col>88</xdr:col>
      <xdr:colOff>733551</xdr:colOff>
      <xdr:row>85</xdr:row>
      <xdr:rowOff>0</xdr:rowOff>
    </xdr:to>
    <xdr:graphicFrame macro="">
      <xdr:nvGraphicFramePr>
        <xdr:cNvPr id="23" name="Diagramm 22">
          <a:extLst>
            <a:ext uri="{FF2B5EF4-FFF2-40B4-BE49-F238E27FC236}">
              <a16:creationId xmlns:a16="http://schemas.microsoft.com/office/drawing/2014/main" xmlns="" id="{00000000-0008-0000-0200-00001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86</xdr:col>
      <xdr:colOff>0</xdr:colOff>
      <xdr:row>93</xdr:row>
      <xdr:rowOff>0</xdr:rowOff>
    </xdr:from>
    <xdr:to>
      <xdr:col>88</xdr:col>
      <xdr:colOff>733551</xdr:colOff>
      <xdr:row>97</xdr:row>
      <xdr:rowOff>3847</xdr:rowOff>
    </xdr:to>
    <xdr:graphicFrame macro="">
      <xdr:nvGraphicFramePr>
        <xdr:cNvPr id="26" name="Diagramm 25">
          <a:extLst>
            <a:ext uri="{FF2B5EF4-FFF2-40B4-BE49-F238E27FC236}">
              <a16:creationId xmlns:a16="http://schemas.microsoft.com/office/drawing/2014/main" xmlns="" id="{00000000-0008-0000-0200-00001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86</xdr:col>
      <xdr:colOff>0</xdr:colOff>
      <xdr:row>97</xdr:row>
      <xdr:rowOff>0</xdr:rowOff>
    </xdr:from>
    <xdr:to>
      <xdr:col>88</xdr:col>
      <xdr:colOff>733551</xdr:colOff>
      <xdr:row>101</xdr:row>
      <xdr:rowOff>3847</xdr:rowOff>
    </xdr:to>
    <xdr:graphicFrame macro="">
      <xdr:nvGraphicFramePr>
        <xdr:cNvPr id="27" name="Diagramm 26">
          <a:extLst>
            <a:ext uri="{FF2B5EF4-FFF2-40B4-BE49-F238E27FC236}">
              <a16:creationId xmlns:a16="http://schemas.microsoft.com/office/drawing/2014/main" xmlns="" id="{00000000-0008-0000-0200-00001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86</xdr:col>
      <xdr:colOff>0</xdr:colOff>
      <xdr:row>101</xdr:row>
      <xdr:rowOff>0</xdr:rowOff>
    </xdr:from>
    <xdr:to>
      <xdr:col>88</xdr:col>
      <xdr:colOff>733551</xdr:colOff>
      <xdr:row>105</xdr:row>
      <xdr:rowOff>3847</xdr:rowOff>
    </xdr:to>
    <xdr:graphicFrame macro="">
      <xdr:nvGraphicFramePr>
        <xdr:cNvPr id="28" name="Diagramm 27">
          <a:extLst>
            <a:ext uri="{FF2B5EF4-FFF2-40B4-BE49-F238E27FC236}">
              <a16:creationId xmlns:a16="http://schemas.microsoft.com/office/drawing/2014/main" xmlns="" id="{00000000-0008-0000-0200-00001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86</xdr:col>
      <xdr:colOff>0</xdr:colOff>
      <xdr:row>105</xdr:row>
      <xdr:rowOff>0</xdr:rowOff>
    </xdr:from>
    <xdr:to>
      <xdr:col>88</xdr:col>
      <xdr:colOff>733551</xdr:colOff>
      <xdr:row>109</xdr:row>
      <xdr:rowOff>3847</xdr:rowOff>
    </xdr:to>
    <xdr:graphicFrame macro="">
      <xdr:nvGraphicFramePr>
        <xdr:cNvPr id="29" name="Diagramm 28">
          <a:extLst>
            <a:ext uri="{FF2B5EF4-FFF2-40B4-BE49-F238E27FC236}">
              <a16:creationId xmlns:a16="http://schemas.microsoft.com/office/drawing/2014/main" xmlns="" id="{00000000-0008-0000-0200-00001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86</xdr:col>
      <xdr:colOff>0</xdr:colOff>
      <xdr:row>109</xdr:row>
      <xdr:rowOff>0</xdr:rowOff>
    </xdr:from>
    <xdr:to>
      <xdr:col>88</xdr:col>
      <xdr:colOff>733551</xdr:colOff>
      <xdr:row>113</xdr:row>
      <xdr:rowOff>3847</xdr:rowOff>
    </xdr:to>
    <xdr:graphicFrame macro="">
      <xdr:nvGraphicFramePr>
        <xdr:cNvPr id="30" name="Diagramm 29">
          <a:extLst>
            <a:ext uri="{FF2B5EF4-FFF2-40B4-BE49-F238E27FC236}">
              <a16:creationId xmlns:a16="http://schemas.microsoft.com/office/drawing/2014/main" xmlns="" id="{00000000-0008-0000-0200-00001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86</xdr:col>
      <xdr:colOff>0</xdr:colOff>
      <xdr:row>113</xdr:row>
      <xdr:rowOff>0</xdr:rowOff>
    </xdr:from>
    <xdr:to>
      <xdr:col>88</xdr:col>
      <xdr:colOff>733551</xdr:colOff>
      <xdr:row>117</xdr:row>
      <xdr:rowOff>3847</xdr:rowOff>
    </xdr:to>
    <xdr:graphicFrame macro="">
      <xdr:nvGraphicFramePr>
        <xdr:cNvPr id="31" name="Diagramm 30">
          <a:extLst>
            <a:ext uri="{FF2B5EF4-FFF2-40B4-BE49-F238E27FC236}">
              <a16:creationId xmlns:a16="http://schemas.microsoft.com/office/drawing/2014/main" xmlns="" id="{00000000-0008-0000-0200-00001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86</xdr:col>
      <xdr:colOff>0</xdr:colOff>
      <xdr:row>117</xdr:row>
      <xdr:rowOff>0</xdr:rowOff>
    </xdr:from>
    <xdr:to>
      <xdr:col>88</xdr:col>
      <xdr:colOff>733551</xdr:colOff>
      <xdr:row>121</xdr:row>
      <xdr:rowOff>3847</xdr:rowOff>
    </xdr:to>
    <xdr:graphicFrame macro="">
      <xdr:nvGraphicFramePr>
        <xdr:cNvPr id="32" name="Diagramm 31">
          <a:extLst>
            <a:ext uri="{FF2B5EF4-FFF2-40B4-BE49-F238E27FC236}">
              <a16:creationId xmlns:a16="http://schemas.microsoft.com/office/drawing/2014/main" xmlns="" id="{00000000-0008-0000-0200-00002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86</xdr:col>
      <xdr:colOff>0</xdr:colOff>
      <xdr:row>121</xdr:row>
      <xdr:rowOff>0</xdr:rowOff>
    </xdr:from>
    <xdr:to>
      <xdr:col>88</xdr:col>
      <xdr:colOff>733551</xdr:colOff>
      <xdr:row>125</xdr:row>
      <xdr:rowOff>3847</xdr:rowOff>
    </xdr:to>
    <xdr:graphicFrame macro="">
      <xdr:nvGraphicFramePr>
        <xdr:cNvPr id="33" name="Diagramm 32">
          <a:extLst>
            <a:ext uri="{FF2B5EF4-FFF2-40B4-BE49-F238E27FC236}">
              <a16:creationId xmlns:a16="http://schemas.microsoft.com/office/drawing/2014/main" xmlns="" id="{00000000-0008-0000-0200-00002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86</xdr:col>
      <xdr:colOff>0</xdr:colOff>
      <xdr:row>125</xdr:row>
      <xdr:rowOff>0</xdr:rowOff>
    </xdr:from>
    <xdr:to>
      <xdr:col>88</xdr:col>
      <xdr:colOff>733551</xdr:colOff>
      <xdr:row>129</xdr:row>
      <xdr:rowOff>3847</xdr:rowOff>
    </xdr:to>
    <xdr:graphicFrame macro="">
      <xdr:nvGraphicFramePr>
        <xdr:cNvPr id="34" name="Diagramm 33">
          <a:extLst>
            <a:ext uri="{FF2B5EF4-FFF2-40B4-BE49-F238E27FC236}">
              <a16:creationId xmlns:a16="http://schemas.microsoft.com/office/drawing/2014/main" xmlns="" id="{00000000-0008-0000-0200-00002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86</xdr:col>
      <xdr:colOff>0</xdr:colOff>
      <xdr:row>129</xdr:row>
      <xdr:rowOff>0</xdr:rowOff>
    </xdr:from>
    <xdr:to>
      <xdr:col>88</xdr:col>
      <xdr:colOff>733551</xdr:colOff>
      <xdr:row>133</xdr:row>
      <xdr:rowOff>3847</xdr:rowOff>
    </xdr:to>
    <xdr:graphicFrame macro="">
      <xdr:nvGraphicFramePr>
        <xdr:cNvPr id="35" name="Diagramm 34">
          <a:extLst>
            <a:ext uri="{FF2B5EF4-FFF2-40B4-BE49-F238E27FC236}">
              <a16:creationId xmlns:a16="http://schemas.microsoft.com/office/drawing/2014/main" xmlns="" id="{00000000-0008-0000-0200-00002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86</xdr:col>
      <xdr:colOff>0</xdr:colOff>
      <xdr:row>133</xdr:row>
      <xdr:rowOff>0</xdr:rowOff>
    </xdr:from>
    <xdr:to>
      <xdr:col>88</xdr:col>
      <xdr:colOff>733551</xdr:colOff>
      <xdr:row>137</xdr:row>
      <xdr:rowOff>3847</xdr:rowOff>
    </xdr:to>
    <xdr:graphicFrame macro="">
      <xdr:nvGraphicFramePr>
        <xdr:cNvPr id="36" name="Diagramm 35">
          <a:extLst>
            <a:ext uri="{FF2B5EF4-FFF2-40B4-BE49-F238E27FC236}">
              <a16:creationId xmlns:a16="http://schemas.microsoft.com/office/drawing/2014/main" xmlns="" id="{00000000-0008-0000-0200-00002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86</xdr:col>
      <xdr:colOff>0</xdr:colOff>
      <xdr:row>137</xdr:row>
      <xdr:rowOff>0</xdr:rowOff>
    </xdr:from>
    <xdr:to>
      <xdr:col>88</xdr:col>
      <xdr:colOff>733551</xdr:colOff>
      <xdr:row>141</xdr:row>
      <xdr:rowOff>3847</xdr:rowOff>
    </xdr:to>
    <xdr:graphicFrame macro="">
      <xdr:nvGraphicFramePr>
        <xdr:cNvPr id="37" name="Diagramm 36">
          <a:extLst>
            <a:ext uri="{FF2B5EF4-FFF2-40B4-BE49-F238E27FC236}">
              <a16:creationId xmlns:a16="http://schemas.microsoft.com/office/drawing/2014/main" xmlns="" id="{00000000-0008-0000-0200-00002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86</xdr:col>
      <xdr:colOff>0</xdr:colOff>
      <xdr:row>141</xdr:row>
      <xdr:rowOff>0</xdr:rowOff>
    </xdr:from>
    <xdr:to>
      <xdr:col>88</xdr:col>
      <xdr:colOff>733551</xdr:colOff>
      <xdr:row>145</xdr:row>
      <xdr:rowOff>3847</xdr:rowOff>
    </xdr:to>
    <xdr:graphicFrame macro="">
      <xdr:nvGraphicFramePr>
        <xdr:cNvPr id="38" name="Diagramm 37">
          <a:extLst>
            <a:ext uri="{FF2B5EF4-FFF2-40B4-BE49-F238E27FC236}">
              <a16:creationId xmlns:a16="http://schemas.microsoft.com/office/drawing/2014/main" xmlns="" id="{00000000-0008-0000-0200-00002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86</xdr:col>
      <xdr:colOff>0</xdr:colOff>
      <xdr:row>145</xdr:row>
      <xdr:rowOff>0</xdr:rowOff>
    </xdr:from>
    <xdr:to>
      <xdr:col>88</xdr:col>
      <xdr:colOff>733551</xdr:colOff>
      <xdr:row>149</xdr:row>
      <xdr:rowOff>3847</xdr:rowOff>
    </xdr:to>
    <xdr:graphicFrame macro="">
      <xdr:nvGraphicFramePr>
        <xdr:cNvPr id="39" name="Diagramm 38">
          <a:extLst>
            <a:ext uri="{FF2B5EF4-FFF2-40B4-BE49-F238E27FC236}">
              <a16:creationId xmlns:a16="http://schemas.microsoft.com/office/drawing/2014/main" xmlns="" id="{00000000-0008-0000-0200-00002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86</xdr:col>
      <xdr:colOff>0</xdr:colOff>
      <xdr:row>149</xdr:row>
      <xdr:rowOff>0</xdr:rowOff>
    </xdr:from>
    <xdr:to>
      <xdr:col>88</xdr:col>
      <xdr:colOff>733551</xdr:colOff>
      <xdr:row>153</xdr:row>
      <xdr:rowOff>3847</xdr:rowOff>
    </xdr:to>
    <xdr:graphicFrame macro="">
      <xdr:nvGraphicFramePr>
        <xdr:cNvPr id="40" name="Diagramm 39">
          <a:extLst>
            <a:ext uri="{FF2B5EF4-FFF2-40B4-BE49-F238E27FC236}">
              <a16:creationId xmlns:a16="http://schemas.microsoft.com/office/drawing/2014/main" xmlns="" id="{00000000-0008-0000-0200-00002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86</xdr:col>
      <xdr:colOff>0</xdr:colOff>
      <xdr:row>153</xdr:row>
      <xdr:rowOff>0</xdr:rowOff>
    </xdr:from>
    <xdr:to>
      <xdr:col>88</xdr:col>
      <xdr:colOff>733551</xdr:colOff>
      <xdr:row>157</xdr:row>
      <xdr:rowOff>3847</xdr:rowOff>
    </xdr:to>
    <xdr:graphicFrame macro="">
      <xdr:nvGraphicFramePr>
        <xdr:cNvPr id="41" name="Diagramm 40">
          <a:extLst>
            <a:ext uri="{FF2B5EF4-FFF2-40B4-BE49-F238E27FC236}">
              <a16:creationId xmlns:a16="http://schemas.microsoft.com/office/drawing/2014/main" xmlns="" id="{00000000-0008-0000-0200-00002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86</xdr:col>
      <xdr:colOff>0</xdr:colOff>
      <xdr:row>157</xdr:row>
      <xdr:rowOff>0</xdr:rowOff>
    </xdr:from>
    <xdr:to>
      <xdr:col>88</xdr:col>
      <xdr:colOff>733551</xdr:colOff>
      <xdr:row>161</xdr:row>
      <xdr:rowOff>3847</xdr:rowOff>
    </xdr:to>
    <xdr:graphicFrame macro="">
      <xdr:nvGraphicFramePr>
        <xdr:cNvPr id="42" name="Diagramm 41">
          <a:extLst>
            <a:ext uri="{FF2B5EF4-FFF2-40B4-BE49-F238E27FC236}">
              <a16:creationId xmlns:a16="http://schemas.microsoft.com/office/drawing/2014/main" xmlns="" id="{00000000-0008-0000-0200-00002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86</xdr:col>
      <xdr:colOff>0</xdr:colOff>
      <xdr:row>161</xdr:row>
      <xdr:rowOff>0</xdr:rowOff>
    </xdr:from>
    <xdr:to>
      <xdr:col>88</xdr:col>
      <xdr:colOff>733551</xdr:colOff>
      <xdr:row>165</xdr:row>
      <xdr:rowOff>3847</xdr:rowOff>
    </xdr:to>
    <xdr:graphicFrame macro="">
      <xdr:nvGraphicFramePr>
        <xdr:cNvPr id="43" name="Diagramm 42">
          <a:extLst>
            <a:ext uri="{FF2B5EF4-FFF2-40B4-BE49-F238E27FC236}">
              <a16:creationId xmlns:a16="http://schemas.microsoft.com/office/drawing/2014/main" xmlns="" id="{00000000-0008-0000-0200-00002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86</xdr:col>
      <xdr:colOff>0</xdr:colOff>
      <xdr:row>165</xdr:row>
      <xdr:rowOff>0</xdr:rowOff>
    </xdr:from>
    <xdr:to>
      <xdr:col>88</xdr:col>
      <xdr:colOff>733551</xdr:colOff>
      <xdr:row>169</xdr:row>
      <xdr:rowOff>3847</xdr:rowOff>
    </xdr:to>
    <xdr:graphicFrame macro="">
      <xdr:nvGraphicFramePr>
        <xdr:cNvPr id="44" name="Diagramm 43">
          <a:extLst>
            <a:ext uri="{FF2B5EF4-FFF2-40B4-BE49-F238E27FC236}">
              <a16:creationId xmlns:a16="http://schemas.microsoft.com/office/drawing/2014/main" xmlns="" id="{00000000-0008-0000-0200-00002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86</xdr:col>
      <xdr:colOff>0</xdr:colOff>
      <xdr:row>169</xdr:row>
      <xdr:rowOff>0</xdr:rowOff>
    </xdr:from>
    <xdr:to>
      <xdr:col>88</xdr:col>
      <xdr:colOff>733551</xdr:colOff>
      <xdr:row>173</xdr:row>
      <xdr:rowOff>3847</xdr:rowOff>
    </xdr:to>
    <xdr:graphicFrame macro="">
      <xdr:nvGraphicFramePr>
        <xdr:cNvPr id="45" name="Diagramm 44">
          <a:extLst>
            <a:ext uri="{FF2B5EF4-FFF2-40B4-BE49-F238E27FC236}">
              <a16:creationId xmlns:a16="http://schemas.microsoft.com/office/drawing/2014/main" xmlns="" id="{00000000-0008-0000-0200-00002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>
    <xdr:from>
      <xdr:col>86</xdr:col>
      <xdr:colOff>0</xdr:colOff>
      <xdr:row>173</xdr:row>
      <xdr:rowOff>0</xdr:rowOff>
    </xdr:from>
    <xdr:to>
      <xdr:col>88</xdr:col>
      <xdr:colOff>733551</xdr:colOff>
      <xdr:row>177</xdr:row>
      <xdr:rowOff>3847</xdr:rowOff>
    </xdr:to>
    <xdr:graphicFrame macro="">
      <xdr:nvGraphicFramePr>
        <xdr:cNvPr id="46" name="Diagramm 45">
          <a:extLst>
            <a:ext uri="{FF2B5EF4-FFF2-40B4-BE49-F238E27FC236}">
              <a16:creationId xmlns:a16="http://schemas.microsoft.com/office/drawing/2014/main" xmlns="" id="{00000000-0008-0000-0200-00002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>
    <xdr:from>
      <xdr:col>86</xdr:col>
      <xdr:colOff>0</xdr:colOff>
      <xdr:row>177</xdr:row>
      <xdr:rowOff>0</xdr:rowOff>
    </xdr:from>
    <xdr:to>
      <xdr:col>88</xdr:col>
      <xdr:colOff>733551</xdr:colOff>
      <xdr:row>181</xdr:row>
      <xdr:rowOff>3847</xdr:rowOff>
    </xdr:to>
    <xdr:graphicFrame macro="">
      <xdr:nvGraphicFramePr>
        <xdr:cNvPr id="47" name="Diagramm 46">
          <a:extLst>
            <a:ext uri="{FF2B5EF4-FFF2-40B4-BE49-F238E27FC236}">
              <a16:creationId xmlns:a16="http://schemas.microsoft.com/office/drawing/2014/main" xmlns="" id="{00000000-0008-0000-0200-00002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>
    <xdr:from>
      <xdr:col>86</xdr:col>
      <xdr:colOff>0</xdr:colOff>
      <xdr:row>181</xdr:row>
      <xdr:rowOff>0</xdr:rowOff>
    </xdr:from>
    <xdr:to>
      <xdr:col>88</xdr:col>
      <xdr:colOff>733551</xdr:colOff>
      <xdr:row>185</xdr:row>
      <xdr:rowOff>3847</xdr:rowOff>
    </xdr:to>
    <xdr:graphicFrame macro="">
      <xdr:nvGraphicFramePr>
        <xdr:cNvPr id="48" name="Diagramm 47">
          <a:extLst>
            <a:ext uri="{FF2B5EF4-FFF2-40B4-BE49-F238E27FC236}">
              <a16:creationId xmlns:a16="http://schemas.microsoft.com/office/drawing/2014/main" xmlns="" id="{00000000-0008-0000-0200-00003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>
    <xdr:from>
      <xdr:col>86</xdr:col>
      <xdr:colOff>0</xdr:colOff>
      <xdr:row>185</xdr:row>
      <xdr:rowOff>0</xdr:rowOff>
    </xdr:from>
    <xdr:to>
      <xdr:col>88</xdr:col>
      <xdr:colOff>733551</xdr:colOff>
      <xdr:row>189</xdr:row>
      <xdr:rowOff>3847</xdr:rowOff>
    </xdr:to>
    <xdr:graphicFrame macro="">
      <xdr:nvGraphicFramePr>
        <xdr:cNvPr id="49" name="Diagramm 48">
          <a:extLst>
            <a:ext uri="{FF2B5EF4-FFF2-40B4-BE49-F238E27FC236}">
              <a16:creationId xmlns:a16="http://schemas.microsoft.com/office/drawing/2014/main" xmlns="" id="{00000000-0008-0000-0200-00003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>
    <xdr:from>
      <xdr:col>86</xdr:col>
      <xdr:colOff>0</xdr:colOff>
      <xdr:row>189</xdr:row>
      <xdr:rowOff>0</xdr:rowOff>
    </xdr:from>
    <xdr:to>
      <xdr:col>88</xdr:col>
      <xdr:colOff>733551</xdr:colOff>
      <xdr:row>193</xdr:row>
      <xdr:rowOff>3847</xdr:rowOff>
    </xdr:to>
    <xdr:graphicFrame macro="">
      <xdr:nvGraphicFramePr>
        <xdr:cNvPr id="50" name="Diagramm 49">
          <a:extLst>
            <a:ext uri="{FF2B5EF4-FFF2-40B4-BE49-F238E27FC236}">
              <a16:creationId xmlns:a16="http://schemas.microsoft.com/office/drawing/2014/main" xmlns="" id="{00000000-0008-0000-0200-00003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>
    <xdr:from>
      <xdr:col>86</xdr:col>
      <xdr:colOff>0</xdr:colOff>
      <xdr:row>193</xdr:row>
      <xdr:rowOff>0</xdr:rowOff>
    </xdr:from>
    <xdr:to>
      <xdr:col>88</xdr:col>
      <xdr:colOff>733551</xdr:colOff>
      <xdr:row>197</xdr:row>
      <xdr:rowOff>3847</xdr:rowOff>
    </xdr:to>
    <xdr:graphicFrame macro="">
      <xdr:nvGraphicFramePr>
        <xdr:cNvPr id="51" name="Diagramm 50">
          <a:extLst>
            <a:ext uri="{FF2B5EF4-FFF2-40B4-BE49-F238E27FC236}">
              <a16:creationId xmlns:a16="http://schemas.microsoft.com/office/drawing/2014/main" xmlns="" id="{00000000-0008-0000-0200-00003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>
    <xdr:from>
      <xdr:col>86</xdr:col>
      <xdr:colOff>0</xdr:colOff>
      <xdr:row>197</xdr:row>
      <xdr:rowOff>0</xdr:rowOff>
    </xdr:from>
    <xdr:to>
      <xdr:col>88</xdr:col>
      <xdr:colOff>733551</xdr:colOff>
      <xdr:row>201</xdr:row>
      <xdr:rowOff>3847</xdr:rowOff>
    </xdr:to>
    <xdr:graphicFrame macro="">
      <xdr:nvGraphicFramePr>
        <xdr:cNvPr id="52" name="Diagramm 51">
          <a:extLst>
            <a:ext uri="{FF2B5EF4-FFF2-40B4-BE49-F238E27FC236}">
              <a16:creationId xmlns:a16="http://schemas.microsoft.com/office/drawing/2014/main" xmlns="" id="{00000000-0008-0000-0200-00003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>
    <xdr:from>
      <xdr:col>86</xdr:col>
      <xdr:colOff>0</xdr:colOff>
      <xdr:row>201</xdr:row>
      <xdr:rowOff>0</xdr:rowOff>
    </xdr:from>
    <xdr:to>
      <xdr:col>88</xdr:col>
      <xdr:colOff>733551</xdr:colOff>
      <xdr:row>205</xdr:row>
      <xdr:rowOff>3847</xdr:rowOff>
    </xdr:to>
    <xdr:graphicFrame macro="">
      <xdr:nvGraphicFramePr>
        <xdr:cNvPr id="53" name="Diagramm 52">
          <a:extLst>
            <a:ext uri="{FF2B5EF4-FFF2-40B4-BE49-F238E27FC236}">
              <a16:creationId xmlns:a16="http://schemas.microsoft.com/office/drawing/2014/main" xmlns="" id="{00000000-0008-0000-0200-00003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  <xdr:twoCellAnchor>
    <xdr:from>
      <xdr:col>86</xdr:col>
      <xdr:colOff>0</xdr:colOff>
      <xdr:row>205</xdr:row>
      <xdr:rowOff>0</xdr:rowOff>
    </xdr:from>
    <xdr:to>
      <xdr:col>88</xdr:col>
      <xdr:colOff>733551</xdr:colOff>
      <xdr:row>209</xdr:row>
      <xdr:rowOff>3847</xdr:rowOff>
    </xdr:to>
    <xdr:graphicFrame macro="">
      <xdr:nvGraphicFramePr>
        <xdr:cNvPr id="54" name="Diagramm 53">
          <a:extLst>
            <a:ext uri="{FF2B5EF4-FFF2-40B4-BE49-F238E27FC236}">
              <a16:creationId xmlns:a16="http://schemas.microsoft.com/office/drawing/2014/main" xmlns="" id="{00000000-0008-0000-0200-00003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twoCellAnchor>
  <xdr:twoCellAnchor>
    <xdr:from>
      <xdr:col>86</xdr:col>
      <xdr:colOff>0</xdr:colOff>
      <xdr:row>89</xdr:row>
      <xdr:rowOff>0</xdr:rowOff>
    </xdr:from>
    <xdr:to>
      <xdr:col>88</xdr:col>
      <xdr:colOff>733551</xdr:colOff>
      <xdr:row>93</xdr:row>
      <xdr:rowOff>3847</xdr:rowOff>
    </xdr:to>
    <xdr:graphicFrame macro="">
      <xdr:nvGraphicFramePr>
        <xdr:cNvPr id="62" name="Diagramm 61">
          <a:extLst>
            <a:ext uri="{FF2B5EF4-FFF2-40B4-BE49-F238E27FC236}">
              <a16:creationId xmlns:a16="http://schemas.microsoft.com/office/drawing/2014/main" xmlns="" id="{00000000-0008-0000-0200-00001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twoCellAnchor>
  <xdr:twoCellAnchor>
    <xdr:from>
      <xdr:col>86</xdr:col>
      <xdr:colOff>0</xdr:colOff>
      <xdr:row>85</xdr:row>
      <xdr:rowOff>0</xdr:rowOff>
    </xdr:from>
    <xdr:to>
      <xdr:col>88</xdr:col>
      <xdr:colOff>733551</xdr:colOff>
      <xdr:row>89</xdr:row>
      <xdr:rowOff>3847</xdr:rowOff>
    </xdr:to>
    <xdr:graphicFrame macro="">
      <xdr:nvGraphicFramePr>
        <xdr:cNvPr id="63" name="Diagramm 62">
          <a:extLst>
            <a:ext uri="{FF2B5EF4-FFF2-40B4-BE49-F238E27FC236}">
              <a16:creationId xmlns:a16="http://schemas.microsoft.com/office/drawing/2014/main" xmlns="" id="{00000000-0008-0000-0200-00001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0.12778</cdr:x>
      <cdr:y>0.39088</cdr:y>
    </cdr:from>
    <cdr:to>
      <cdr:x>0.52318</cdr:x>
      <cdr:y>0.39088</cdr:y>
    </cdr:to>
    <cdr:cxnSp macro="">
      <cdr:nvCxnSpPr>
        <cdr:cNvPr id="2" name="Gerader Verbinder 1">
          <a:extLst xmlns:a="http://schemas.openxmlformats.org/drawingml/2006/main">
            <a:ext uri="{FF2B5EF4-FFF2-40B4-BE49-F238E27FC236}">
              <a16:creationId xmlns:a16="http://schemas.microsoft.com/office/drawing/2014/main" xmlns="" id="{A1EC3A95-3AB4-48DF-87EA-7D8C6B512E61}"/>
            </a:ext>
          </a:extLst>
        </cdr:cNvPr>
        <cdr:cNvCxnSpPr/>
      </cdr:nvCxnSpPr>
      <cdr:spPr>
        <a:xfrm xmlns:a="http://schemas.openxmlformats.org/drawingml/2006/main">
          <a:off x="288470" y="299358"/>
          <a:ext cx="892629" cy="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0.13019</cdr:x>
      <cdr:y>0.38378</cdr:y>
    </cdr:from>
    <cdr:to>
      <cdr:x>0.52559</cdr:x>
      <cdr:y>0.38378</cdr:y>
    </cdr:to>
    <cdr:cxnSp macro="">
      <cdr:nvCxnSpPr>
        <cdr:cNvPr id="2" name="Gerader Verbinder 1">
          <a:extLst xmlns:a="http://schemas.openxmlformats.org/drawingml/2006/main">
            <a:ext uri="{FF2B5EF4-FFF2-40B4-BE49-F238E27FC236}">
              <a16:creationId xmlns:a16="http://schemas.microsoft.com/office/drawing/2014/main" xmlns="" id="{11A68A97-53BC-460A-967B-F7A028943AE9}"/>
            </a:ext>
          </a:extLst>
        </cdr:cNvPr>
        <cdr:cNvCxnSpPr/>
      </cdr:nvCxnSpPr>
      <cdr:spPr>
        <a:xfrm xmlns:a="http://schemas.openxmlformats.org/drawingml/2006/main">
          <a:off x="293913" y="293915"/>
          <a:ext cx="892629" cy="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0.13019</cdr:x>
      <cdr:y>0.39088</cdr:y>
    </cdr:from>
    <cdr:to>
      <cdr:x>0.52559</cdr:x>
      <cdr:y>0.39088</cdr:y>
    </cdr:to>
    <cdr:cxnSp macro="">
      <cdr:nvCxnSpPr>
        <cdr:cNvPr id="2" name="Gerader Verbinder 1">
          <a:extLst xmlns:a="http://schemas.openxmlformats.org/drawingml/2006/main">
            <a:ext uri="{FF2B5EF4-FFF2-40B4-BE49-F238E27FC236}">
              <a16:creationId xmlns:a16="http://schemas.microsoft.com/office/drawing/2014/main" xmlns="" id="{BEACF599-72DB-4C2F-8943-C4367D558743}"/>
            </a:ext>
          </a:extLst>
        </cdr:cNvPr>
        <cdr:cNvCxnSpPr/>
      </cdr:nvCxnSpPr>
      <cdr:spPr>
        <a:xfrm xmlns:a="http://schemas.openxmlformats.org/drawingml/2006/main">
          <a:off x="293913" y="299357"/>
          <a:ext cx="892629" cy="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0.12778</cdr:x>
      <cdr:y>0.39088</cdr:y>
    </cdr:from>
    <cdr:to>
      <cdr:x>0.52318</cdr:x>
      <cdr:y>0.39088</cdr:y>
    </cdr:to>
    <cdr:cxnSp macro="">
      <cdr:nvCxnSpPr>
        <cdr:cNvPr id="2" name="Gerader Verbinder 1">
          <a:extLst xmlns:a="http://schemas.openxmlformats.org/drawingml/2006/main">
            <a:ext uri="{FF2B5EF4-FFF2-40B4-BE49-F238E27FC236}">
              <a16:creationId xmlns:a16="http://schemas.microsoft.com/office/drawing/2014/main" xmlns="" id="{A2C723A0-3308-49A1-8462-8EEB1084856C}"/>
            </a:ext>
          </a:extLst>
        </cdr:cNvPr>
        <cdr:cNvCxnSpPr/>
      </cdr:nvCxnSpPr>
      <cdr:spPr>
        <a:xfrm xmlns:a="http://schemas.openxmlformats.org/drawingml/2006/main">
          <a:off x="288470" y="299358"/>
          <a:ext cx="892629" cy="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0.12858</cdr:x>
      <cdr:y>0.39325</cdr:y>
    </cdr:from>
    <cdr:to>
      <cdr:x>0.52398</cdr:x>
      <cdr:y>0.39325</cdr:y>
    </cdr:to>
    <cdr:cxnSp macro="">
      <cdr:nvCxnSpPr>
        <cdr:cNvPr id="2" name="Gerader Verbinder 1">
          <a:extLst xmlns:a="http://schemas.openxmlformats.org/drawingml/2006/main">
            <a:ext uri="{FF2B5EF4-FFF2-40B4-BE49-F238E27FC236}">
              <a16:creationId xmlns:a16="http://schemas.microsoft.com/office/drawing/2014/main" xmlns="" id="{7415A025-5882-4EA5-A730-EFF5D88E47D2}"/>
            </a:ext>
          </a:extLst>
        </cdr:cNvPr>
        <cdr:cNvCxnSpPr/>
      </cdr:nvCxnSpPr>
      <cdr:spPr>
        <a:xfrm xmlns:a="http://schemas.openxmlformats.org/drawingml/2006/main">
          <a:off x="290284" y="301172"/>
          <a:ext cx="892629" cy="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0.12617</cdr:x>
      <cdr:y>0.38615</cdr:y>
    </cdr:from>
    <cdr:to>
      <cdr:x>0.52157</cdr:x>
      <cdr:y>0.38615</cdr:y>
    </cdr:to>
    <cdr:cxnSp macro="">
      <cdr:nvCxnSpPr>
        <cdr:cNvPr id="2" name="Gerader Verbinder 1">
          <a:extLst xmlns:a="http://schemas.openxmlformats.org/drawingml/2006/main">
            <a:ext uri="{FF2B5EF4-FFF2-40B4-BE49-F238E27FC236}">
              <a16:creationId xmlns:a16="http://schemas.microsoft.com/office/drawing/2014/main" xmlns="" id="{1CD106EF-94D7-46BE-9492-1CD019DE3F94}"/>
            </a:ext>
          </a:extLst>
        </cdr:cNvPr>
        <cdr:cNvCxnSpPr/>
      </cdr:nvCxnSpPr>
      <cdr:spPr>
        <a:xfrm xmlns:a="http://schemas.openxmlformats.org/drawingml/2006/main">
          <a:off x="284841" y="295729"/>
          <a:ext cx="892629" cy="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0.13099</cdr:x>
      <cdr:y>0.39325</cdr:y>
    </cdr:from>
    <cdr:to>
      <cdr:x>0.52639</cdr:x>
      <cdr:y>0.39325</cdr:y>
    </cdr:to>
    <cdr:cxnSp macro="">
      <cdr:nvCxnSpPr>
        <cdr:cNvPr id="2" name="Gerader Verbinder 1">
          <a:extLst xmlns:a="http://schemas.openxmlformats.org/drawingml/2006/main">
            <a:ext uri="{FF2B5EF4-FFF2-40B4-BE49-F238E27FC236}">
              <a16:creationId xmlns:a16="http://schemas.microsoft.com/office/drawing/2014/main" xmlns="" id="{DBF09AB2-2E6B-4843-82B9-6AA1D5CE9BB5}"/>
            </a:ext>
          </a:extLst>
        </cdr:cNvPr>
        <cdr:cNvCxnSpPr/>
      </cdr:nvCxnSpPr>
      <cdr:spPr>
        <a:xfrm xmlns:a="http://schemas.openxmlformats.org/drawingml/2006/main">
          <a:off x="295727" y="301172"/>
          <a:ext cx="892629" cy="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0.12617</cdr:x>
      <cdr:y>0.38615</cdr:y>
    </cdr:from>
    <cdr:to>
      <cdr:x>0.52157</cdr:x>
      <cdr:y>0.38615</cdr:y>
    </cdr:to>
    <cdr:cxnSp macro="">
      <cdr:nvCxnSpPr>
        <cdr:cNvPr id="2" name="Gerader Verbinder 1">
          <a:extLst xmlns:a="http://schemas.openxmlformats.org/drawingml/2006/main">
            <a:ext uri="{FF2B5EF4-FFF2-40B4-BE49-F238E27FC236}">
              <a16:creationId xmlns:a16="http://schemas.microsoft.com/office/drawing/2014/main" xmlns="" id="{2E65BDE6-F560-4689-A022-CC8695B90DF8}"/>
            </a:ext>
          </a:extLst>
        </cdr:cNvPr>
        <cdr:cNvCxnSpPr/>
      </cdr:nvCxnSpPr>
      <cdr:spPr>
        <a:xfrm xmlns:a="http://schemas.openxmlformats.org/drawingml/2006/main">
          <a:off x="284842" y="295730"/>
          <a:ext cx="892629" cy="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0.13099</cdr:x>
      <cdr:y>0.39325</cdr:y>
    </cdr:from>
    <cdr:to>
      <cdr:x>0.52639</cdr:x>
      <cdr:y>0.39325</cdr:y>
    </cdr:to>
    <cdr:cxnSp macro="">
      <cdr:nvCxnSpPr>
        <cdr:cNvPr id="2" name="Gerader Verbinder 1">
          <a:extLst xmlns:a="http://schemas.openxmlformats.org/drawingml/2006/main">
            <a:ext uri="{FF2B5EF4-FFF2-40B4-BE49-F238E27FC236}">
              <a16:creationId xmlns:a16="http://schemas.microsoft.com/office/drawing/2014/main" xmlns="" id="{3376C78B-661A-4E1E-97C5-43CBEFA361BE}"/>
            </a:ext>
          </a:extLst>
        </cdr:cNvPr>
        <cdr:cNvCxnSpPr/>
      </cdr:nvCxnSpPr>
      <cdr:spPr>
        <a:xfrm xmlns:a="http://schemas.openxmlformats.org/drawingml/2006/main">
          <a:off x="295727" y="301173"/>
          <a:ext cx="892629" cy="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0.13099</cdr:x>
      <cdr:y>0.39325</cdr:y>
    </cdr:from>
    <cdr:to>
      <cdr:x>0.52639</cdr:x>
      <cdr:y>0.39325</cdr:y>
    </cdr:to>
    <cdr:cxnSp macro="">
      <cdr:nvCxnSpPr>
        <cdr:cNvPr id="2" name="Gerader Verbinder 1">
          <a:extLst xmlns:a="http://schemas.openxmlformats.org/drawingml/2006/main">
            <a:ext uri="{FF2B5EF4-FFF2-40B4-BE49-F238E27FC236}">
              <a16:creationId xmlns:a16="http://schemas.microsoft.com/office/drawing/2014/main" xmlns="" id="{4D22FFC4-D606-4F0E-8C09-A0029F4ECA87}"/>
            </a:ext>
          </a:extLst>
        </cdr:cNvPr>
        <cdr:cNvCxnSpPr/>
      </cdr:nvCxnSpPr>
      <cdr:spPr>
        <a:xfrm xmlns:a="http://schemas.openxmlformats.org/drawingml/2006/main">
          <a:off x="295727" y="301173"/>
          <a:ext cx="892629" cy="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0.12858</cdr:x>
      <cdr:y>0.39325</cdr:y>
    </cdr:from>
    <cdr:to>
      <cdr:x>0.52398</cdr:x>
      <cdr:y>0.39325</cdr:y>
    </cdr:to>
    <cdr:cxnSp macro="">
      <cdr:nvCxnSpPr>
        <cdr:cNvPr id="2" name="Gerader Verbinder 1">
          <a:extLst xmlns:a="http://schemas.openxmlformats.org/drawingml/2006/main">
            <a:ext uri="{FF2B5EF4-FFF2-40B4-BE49-F238E27FC236}">
              <a16:creationId xmlns:a16="http://schemas.microsoft.com/office/drawing/2014/main" xmlns="" id="{63A6FA66-E154-4AF1-9F4E-6B5162D25AAE}"/>
            </a:ext>
          </a:extLst>
        </cdr:cNvPr>
        <cdr:cNvCxnSpPr/>
      </cdr:nvCxnSpPr>
      <cdr:spPr>
        <a:xfrm xmlns:a="http://schemas.openxmlformats.org/drawingml/2006/main">
          <a:off x="290284" y="301172"/>
          <a:ext cx="892629" cy="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0.13099</cdr:x>
      <cdr:y>0.39325</cdr:y>
    </cdr:from>
    <cdr:to>
      <cdr:x>0.52639</cdr:x>
      <cdr:y>0.39325</cdr:y>
    </cdr:to>
    <cdr:cxnSp macro="">
      <cdr:nvCxnSpPr>
        <cdr:cNvPr id="2" name="Gerader Verbinder 1">
          <a:extLst xmlns:a="http://schemas.openxmlformats.org/drawingml/2006/main">
            <a:ext uri="{FF2B5EF4-FFF2-40B4-BE49-F238E27FC236}">
              <a16:creationId xmlns:a16="http://schemas.microsoft.com/office/drawing/2014/main" xmlns="" id="{DFC63045-5873-45CF-A4E0-B16D1F74FCB7}"/>
            </a:ext>
          </a:extLst>
        </cdr:cNvPr>
        <cdr:cNvCxnSpPr/>
      </cdr:nvCxnSpPr>
      <cdr:spPr>
        <a:xfrm xmlns:a="http://schemas.openxmlformats.org/drawingml/2006/main">
          <a:off x="295727" y="301172"/>
          <a:ext cx="892629" cy="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0.12858</cdr:x>
      <cdr:y>0.39325</cdr:y>
    </cdr:from>
    <cdr:to>
      <cdr:x>0.52398</cdr:x>
      <cdr:y>0.39325</cdr:y>
    </cdr:to>
    <cdr:cxnSp macro="">
      <cdr:nvCxnSpPr>
        <cdr:cNvPr id="2" name="Gerader Verbinder 1">
          <a:extLst xmlns:a="http://schemas.openxmlformats.org/drawingml/2006/main">
            <a:ext uri="{FF2B5EF4-FFF2-40B4-BE49-F238E27FC236}">
              <a16:creationId xmlns:a16="http://schemas.microsoft.com/office/drawing/2014/main" xmlns="" id="{B559A33D-59DB-4E13-87D0-EA39A7EAB714}"/>
            </a:ext>
          </a:extLst>
        </cdr:cNvPr>
        <cdr:cNvCxnSpPr/>
      </cdr:nvCxnSpPr>
      <cdr:spPr>
        <a:xfrm xmlns:a="http://schemas.openxmlformats.org/drawingml/2006/main">
          <a:off x="290284" y="301172"/>
          <a:ext cx="892629" cy="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15.xml><?xml version="1.0" encoding="utf-8"?>
<c:userShapes xmlns:c="http://schemas.openxmlformats.org/drawingml/2006/chart">
  <cdr:relSizeAnchor xmlns:cdr="http://schemas.openxmlformats.org/drawingml/2006/chartDrawing">
    <cdr:from>
      <cdr:x>0.13099</cdr:x>
      <cdr:y>0.39325</cdr:y>
    </cdr:from>
    <cdr:to>
      <cdr:x>0.52639</cdr:x>
      <cdr:y>0.39325</cdr:y>
    </cdr:to>
    <cdr:cxnSp macro="">
      <cdr:nvCxnSpPr>
        <cdr:cNvPr id="2" name="Gerader Verbinder 1">
          <a:extLst xmlns:a="http://schemas.openxmlformats.org/drawingml/2006/main">
            <a:ext uri="{FF2B5EF4-FFF2-40B4-BE49-F238E27FC236}">
              <a16:creationId xmlns:a16="http://schemas.microsoft.com/office/drawing/2014/main" xmlns="" id="{3B31CF88-E3F9-4AEC-AB20-E4A640EF69AC}"/>
            </a:ext>
          </a:extLst>
        </cdr:cNvPr>
        <cdr:cNvCxnSpPr/>
      </cdr:nvCxnSpPr>
      <cdr:spPr>
        <a:xfrm xmlns:a="http://schemas.openxmlformats.org/drawingml/2006/main">
          <a:off x="295727" y="301172"/>
          <a:ext cx="892629" cy="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0.12858</cdr:x>
      <cdr:y>0.39325</cdr:y>
    </cdr:from>
    <cdr:to>
      <cdr:x>0.52398</cdr:x>
      <cdr:y>0.39325</cdr:y>
    </cdr:to>
    <cdr:cxnSp macro="">
      <cdr:nvCxnSpPr>
        <cdr:cNvPr id="2" name="Gerader Verbinder 1">
          <a:extLst xmlns:a="http://schemas.openxmlformats.org/drawingml/2006/main">
            <a:ext uri="{FF2B5EF4-FFF2-40B4-BE49-F238E27FC236}">
              <a16:creationId xmlns:a16="http://schemas.microsoft.com/office/drawing/2014/main" xmlns="" id="{5D185D04-C611-41E1-8E27-8AADABBCFD47}"/>
            </a:ext>
          </a:extLst>
        </cdr:cNvPr>
        <cdr:cNvCxnSpPr/>
      </cdr:nvCxnSpPr>
      <cdr:spPr>
        <a:xfrm xmlns:a="http://schemas.openxmlformats.org/drawingml/2006/main">
          <a:off x="290284" y="301173"/>
          <a:ext cx="892629" cy="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17.xml><?xml version="1.0" encoding="utf-8"?>
<c:userShapes xmlns:c="http://schemas.openxmlformats.org/drawingml/2006/chart">
  <cdr:relSizeAnchor xmlns:cdr="http://schemas.openxmlformats.org/drawingml/2006/chartDrawing">
    <cdr:from>
      <cdr:x>0.11894</cdr:x>
      <cdr:y>0.39325</cdr:y>
    </cdr:from>
    <cdr:to>
      <cdr:x>0.51434</cdr:x>
      <cdr:y>0.39325</cdr:y>
    </cdr:to>
    <cdr:cxnSp macro="">
      <cdr:nvCxnSpPr>
        <cdr:cNvPr id="2" name="Gerader Verbinder 1">
          <a:extLst xmlns:a="http://schemas.openxmlformats.org/drawingml/2006/main">
            <a:ext uri="{FF2B5EF4-FFF2-40B4-BE49-F238E27FC236}">
              <a16:creationId xmlns:a16="http://schemas.microsoft.com/office/drawing/2014/main" xmlns="" id="{D40FDE7B-A7A8-40FE-8761-CDB420992EA0}"/>
            </a:ext>
          </a:extLst>
        </cdr:cNvPr>
        <cdr:cNvCxnSpPr/>
      </cdr:nvCxnSpPr>
      <cdr:spPr>
        <a:xfrm xmlns:a="http://schemas.openxmlformats.org/drawingml/2006/main">
          <a:off x="268513" y="301172"/>
          <a:ext cx="892629" cy="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18.xml><?xml version="1.0" encoding="utf-8"?>
<c:userShapes xmlns:c="http://schemas.openxmlformats.org/drawingml/2006/chart">
  <cdr:relSizeAnchor xmlns:cdr="http://schemas.openxmlformats.org/drawingml/2006/chartDrawing">
    <cdr:from>
      <cdr:x>0.12858</cdr:x>
      <cdr:y>0.38615</cdr:y>
    </cdr:from>
    <cdr:to>
      <cdr:x>0.52398</cdr:x>
      <cdr:y>0.38615</cdr:y>
    </cdr:to>
    <cdr:cxnSp macro="">
      <cdr:nvCxnSpPr>
        <cdr:cNvPr id="2" name="Gerader Verbinder 1">
          <a:extLst xmlns:a="http://schemas.openxmlformats.org/drawingml/2006/main">
            <a:ext uri="{FF2B5EF4-FFF2-40B4-BE49-F238E27FC236}">
              <a16:creationId xmlns:a16="http://schemas.microsoft.com/office/drawing/2014/main" xmlns="" id="{ADF4E10C-3583-4858-B006-953CE0750E4C}"/>
            </a:ext>
          </a:extLst>
        </cdr:cNvPr>
        <cdr:cNvCxnSpPr/>
      </cdr:nvCxnSpPr>
      <cdr:spPr>
        <a:xfrm xmlns:a="http://schemas.openxmlformats.org/drawingml/2006/main">
          <a:off x="290284" y="295729"/>
          <a:ext cx="892629" cy="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19.xml><?xml version="1.0" encoding="utf-8"?>
<c:userShapes xmlns:c="http://schemas.openxmlformats.org/drawingml/2006/chart">
  <cdr:relSizeAnchor xmlns:cdr="http://schemas.openxmlformats.org/drawingml/2006/chartDrawing">
    <cdr:from>
      <cdr:x>0.13099</cdr:x>
      <cdr:y>0.39325</cdr:y>
    </cdr:from>
    <cdr:to>
      <cdr:x>0.52639</cdr:x>
      <cdr:y>0.39325</cdr:y>
    </cdr:to>
    <cdr:cxnSp macro="">
      <cdr:nvCxnSpPr>
        <cdr:cNvPr id="2" name="Gerader Verbinder 1">
          <a:extLst xmlns:a="http://schemas.openxmlformats.org/drawingml/2006/main">
            <a:ext uri="{FF2B5EF4-FFF2-40B4-BE49-F238E27FC236}">
              <a16:creationId xmlns:a16="http://schemas.microsoft.com/office/drawing/2014/main" xmlns="" id="{56940B09-BB35-4EB7-8291-378467F0B20C}"/>
            </a:ext>
          </a:extLst>
        </cdr:cNvPr>
        <cdr:cNvCxnSpPr/>
      </cdr:nvCxnSpPr>
      <cdr:spPr>
        <a:xfrm xmlns:a="http://schemas.openxmlformats.org/drawingml/2006/main">
          <a:off x="295727" y="301173"/>
          <a:ext cx="892629" cy="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20.xml><?xml version="1.0" encoding="utf-8"?>
<c:userShapes xmlns:c="http://schemas.openxmlformats.org/drawingml/2006/chart">
  <cdr:relSizeAnchor xmlns:cdr="http://schemas.openxmlformats.org/drawingml/2006/chartDrawing">
    <cdr:from>
      <cdr:x>0.11492</cdr:x>
      <cdr:y>0.38852</cdr:y>
    </cdr:from>
    <cdr:to>
      <cdr:x>0.51032</cdr:x>
      <cdr:y>0.38852</cdr:y>
    </cdr:to>
    <cdr:cxnSp macro="">
      <cdr:nvCxnSpPr>
        <cdr:cNvPr id="2" name="Gerader Verbinder 1">
          <a:extLst xmlns:a="http://schemas.openxmlformats.org/drawingml/2006/main">
            <a:ext uri="{FF2B5EF4-FFF2-40B4-BE49-F238E27FC236}">
              <a16:creationId xmlns:a16="http://schemas.microsoft.com/office/drawing/2014/main" xmlns="" id="{2D324336-7766-41DB-A141-475A51D895AA}"/>
            </a:ext>
          </a:extLst>
        </cdr:cNvPr>
        <cdr:cNvCxnSpPr/>
      </cdr:nvCxnSpPr>
      <cdr:spPr>
        <a:xfrm xmlns:a="http://schemas.openxmlformats.org/drawingml/2006/main">
          <a:off x="259441" y="297546"/>
          <a:ext cx="892629" cy="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21.xml><?xml version="1.0" encoding="utf-8"?>
<c:userShapes xmlns:c="http://schemas.openxmlformats.org/drawingml/2006/chart">
  <cdr:relSizeAnchor xmlns:cdr="http://schemas.openxmlformats.org/drawingml/2006/chartDrawing">
    <cdr:from>
      <cdr:x>0.1318</cdr:x>
      <cdr:y>0.38852</cdr:y>
    </cdr:from>
    <cdr:to>
      <cdr:x>0.5272</cdr:x>
      <cdr:y>0.38852</cdr:y>
    </cdr:to>
    <cdr:cxnSp macro="">
      <cdr:nvCxnSpPr>
        <cdr:cNvPr id="2" name="Gerader Verbinder 1">
          <a:extLst xmlns:a="http://schemas.openxmlformats.org/drawingml/2006/main">
            <a:ext uri="{FF2B5EF4-FFF2-40B4-BE49-F238E27FC236}">
              <a16:creationId xmlns:a16="http://schemas.microsoft.com/office/drawing/2014/main" xmlns="" id="{1E630744-DF5D-460D-8161-432AF46DC867}"/>
            </a:ext>
          </a:extLst>
        </cdr:cNvPr>
        <cdr:cNvCxnSpPr/>
      </cdr:nvCxnSpPr>
      <cdr:spPr>
        <a:xfrm xmlns:a="http://schemas.openxmlformats.org/drawingml/2006/main">
          <a:off x="297541" y="297545"/>
          <a:ext cx="892629" cy="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22.xml><?xml version="1.0" encoding="utf-8"?>
<c:userShapes xmlns:c="http://schemas.openxmlformats.org/drawingml/2006/chart">
  <cdr:relSizeAnchor xmlns:cdr="http://schemas.openxmlformats.org/drawingml/2006/chartDrawing">
    <cdr:from>
      <cdr:x>0.1252</cdr:x>
      <cdr:y>0.38623</cdr:y>
    </cdr:from>
    <cdr:to>
      <cdr:x>0.5206</cdr:x>
      <cdr:y>0.38623</cdr:y>
    </cdr:to>
    <cdr:cxnSp macro="">
      <cdr:nvCxnSpPr>
        <cdr:cNvPr id="2" name="Gerader Verbinder 1">
          <a:extLst xmlns:a="http://schemas.openxmlformats.org/drawingml/2006/main">
            <a:ext uri="{FF2B5EF4-FFF2-40B4-BE49-F238E27FC236}">
              <a16:creationId xmlns:a16="http://schemas.microsoft.com/office/drawing/2014/main" xmlns="" id="{B0325C55-0278-4616-9901-BAA581D2E0CC}"/>
            </a:ext>
          </a:extLst>
        </cdr:cNvPr>
        <cdr:cNvCxnSpPr/>
      </cdr:nvCxnSpPr>
      <cdr:spPr>
        <a:xfrm xmlns:a="http://schemas.openxmlformats.org/drawingml/2006/main">
          <a:off x="282652" y="295793"/>
          <a:ext cx="892629" cy="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23.xml><?xml version="1.0" encoding="utf-8"?>
<c:userShapes xmlns:c="http://schemas.openxmlformats.org/drawingml/2006/chart">
  <cdr:relSizeAnchor xmlns:cdr="http://schemas.openxmlformats.org/drawingml/2006/chartDrawing">
    <cdr:from>
      <cdr:x>0.1252</cdr:x>
      <cdr:y>0.39481</cdr:y>
    </cdr:from>
    <cdr:to>
      <cdr:x>0.5206</cdr:x>
      <cdr:y>0.39481</cdr:y>
    </cdr:to>
    <cdr:cxnSp macro="">
      <cdr:nvCxnSpPr>
        <cdr:cNvPr id="2" name="Gerader Verbinder 1">
          <a:extLst xmlns:a="http://schemas.openxmlformats.org/drawingml/2006/main">
            <a:ext uri="{FF2B5EF4-FFF2-40B4-BE49-F238E27FC236}">
              <a16:creationId xmlns:a16="http://schemas.microsoft.com/office/drawing/2014/main" xmlns="" id="{2C298017-E870-495C-9DC8-895833BB5BC8}"/>
            </a:ext>
          </a:extLst>
        </cdr:cNvPr>
        <cdr:cNvCxnSpPr/>
      </cdr:nvCxnSpPr>
      <cdr:spPr>
        <a:xfrm xmlns:a="http://schemas.openxmlformats.org/drawingml/2006/main">
          <a:off x="282651" y="302362"/>
          <a:ext cx="892629" cy="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24.xml><?xml version="1.0" encoding="utf-8"?>
<c:userShapes xmlns:c="http://schemas.openxmlformats.org/drawingml/2006/chart">
  <cdr:relSizeAnchor xmlns:cdr="http://schemas.openxmlformats.org/drawingml/2006/chartDrawing">
    <cdr:from>
      <cdr:x>0.12811</cdr:x>
      <cdr:y>0.39481</cdr:y>
    </cdr:from>
    <cdr:to>
      <cdr:x>0.52351</cdr:x>
      <cdr:y>0.39481</cdr:y>
    </cdr:to>
    <cdr:cxnSp macro="">
      <cdr:nvCxnSpPr>
        <cdr:cNvPr id="2" name="Gerader Verbinder 1">
          <a:extLst xmlns:a="http://schemas.openxmlformats.org/drawingml/2006/main">
            <a:ext uri="{FF2B5EF4-FFF2-40B4-BE49-F238E27FC236}">
              <a16:creationId xmlns:a16="http://schemas.microsoft.com/office/drawing/2014/main" xmlns="" id="{4FB8F9FD-AAFD-4155-B3D4-490FAFE59205}"/>
            </a:ext>
          </a:extLst>
        </cdr:cNvPr>
        <cdr:cNvCxnSpPr/>
      </cdr:nvCxnSpPr>
      <cdr:spPr>
        <a:xfrm xmlns:a="http://schemas.openxmlformats.org/drawingml/2006/main">
          <a:off x="289220" y="302362"/>
          <a:ext cx="892629" cy="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25.xml><?xml version="1.0" encoding="utf-8"?>
<c:userShapes xmlns:c="http://schemas.openxmlformats.org/drawingml/2006/chart">
  <cdr:relSizeAnchor xmlns:cdr="http://schemas.openxmlformats.org/drawingml/2006/chartDrawing">
    <cdr:from>
      <cdr:x>0.13102</cdr:x>
      <cdr:y>0.39481</cdr:y>
    </cdr:from>
    <cdr:to>
      <cdr:x>0.52642</cdr:x>
      <cdr:y>0.39481</cdr:y>
    </cdr:to>
    <cdr:cxnSp macro="">
      <cdr:nvCxnSpPr>
        <cdr:cNvPr id="2" name="Gerader Verbinder 1">
          <a:extLst xmlns:a="http://schemas.openxmlformats.org/drawingml/2006/main">
            <a:ext uri="{FF2B5EF4-FFF2-40B4-BE49-F238E27FC236}">
              <a16:creationId xmlns:a16="http://schemas.microsoft.com/office/drawing/2014/main" xmlns="" id="{14F797B6-A9B2-468B-936B-B4EA82F57F25}"/>
            </a:ext>
          </a:extLst>
        </cdr:cNvPr>
        <cdr:cNvCxnSpPr/>
      </cdr:nvCxnSpPr>
      <cdr:spPr>
        <a:xfrm xmlns:a="http://schemas.openxmlformats.org/drawingml/2006/main">
          <a:off x="295789" y="302362"/>
          <a:ext cx="892629" cy="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26.xml><?xml version="1.0" encoding="utf-8"?>
<c:userShapes xmlns:c="http://schemas.openxmlformats.org/drawingml/2006/chart">
  <cdr:relSizeAnchor xmlns:cdr="http://schemas.openxmlformats.org/drawingml/2006/chartDrawing">
    <cdr:from>
      <cdr:x>0.13102</cdr:x>
      <cdr:y>0.39481</cdr:y>
    </cdr:from>
    <cdr:to>
      <cdr:x>0.52642</cdr:x>
      <cdr:y>0.39481</cdr:y>
    </cdr:to>
    <cdr:cxnSp macro="">
      <cdr:nvCxnSpPr>
        <cdr:cNvPr id="2" name="Gerader Verbinder 1">
          <a:extLst xmlns:a="http://schemas.openxmlformats.org/drawingml/2006/main">
            <a:ext uri="{FF2B5EF4-FFF2-40B4-BE49-F238E27FC236}">
              <a16:creationId xmlns:a16="http://schemas.microsoft.com/office/drawing/2014/main" xmlns="" id="{75AA9F69-3404-4FBA-BB82-E8B6480D7F32}"/>
            </a:ext>
          </a:extLst>
        </cdr:cNvPr>
        <cdr:cNvCxnSpPr/>
      </cdr:nvCxnSpPr>
      <cdr:spPr>
        <a:xfrm xmlns:a="http://schemas.openxmlformats.org/drawingml/2006/main">
          <a:off x="295790" y="302362"/>
          <a:ext cx="892629" cy="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27.xml><?xml version="1.0" encoding="utf-8"?>
<c:userShapes xmlns:c="http://schemas.openxmlformats.org/drawingml/2006/chart">
  <cdr:relSizeAnchor xmlns:cdr="http://schemas.openxmlformats.org/drawingml/2006/chartDrawing">
    <cdr:from>
      <cdr:x>0.12811</cdr:x>
      <cdr:y>0.39481</cdr:y>
    </cdr:from>
    <cdr:to>
      <cdr:x>0.52351</cdr:x>
      <cdr:y>0.39481</cdr:y>
    </cdr:to>
    <cdr:cxnSp macro="">
      <cdr:nvCxnSpPr>
        <cdr:cNvPr id="2" name="Gerader Verbinder 1">
          <a:extLst xmlns:a="http://schemas.openxmlformats.org/drawingml/2006/main">
            <a:ext uri="{FF2B5EF4-FFF2-40B4-BE49-F238E27FC236}">
              <a16:creationId xmlns:a16="http://schemas.microsoft.com/office/drawing/2014/main" xmlns="" id="{73F28BCA-8C01-41ED-8C8D-38D46B207576}"/>
            </a:ext>
          </a:extLst>
        </cdr:cNvPr>
        <cdr:cNvCxnSpPr/>
      </cdr:nvCxnSpPr>
      <cdr:spPr>
        <a:xfrm xmlns:a="http://schemas.openxmlformats.org/drawingml/2006/main">
          <a:off x="289220" y="302362"/>
          <a:ext cx="892629" cy="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28.xml><?xml version="1.0" encoding="utf-8"?>
<c:userShapes xmlns:c="http://schemas.openxmlformats.org/drawingml/2006/chart">
  <cdr:relSizeAnchor xmlns:cdr="http://schemas.openxmlformats.org/drawingml/2006/chartDrawing">
    <cdr:from>
      <cdr:x>0.12811</cdr:x>
      <cdr:y>0.39481</cdr:y>
    </cdr:from>
    <cdr:to>
      <cdr:x>0.52351</cdr:x>
      <cdr:y>0.39481</cdr:y>
    </cdr:to>
    <cdr:cxnSp macro="">
      <cdr:nvCxnSpPr>
        <cdr:cNvPr id="2" name="Gerader Verbinder 1">
          <a:extLst xmlns:a="http://schemas.openxmlformats.org/drawingml/2006/main">
            <a:ext uri="{FF2B5EF4-FFF2-40B4-BE49-F238E27FC236}">
              <a16:creationId xmlns:a16="http://schemas.microsoft.com/office/drawing/2014/main" xmlns="" id="{7FC92A78-829E-44E9-9BED-736C7F6DCC70}"/>
            </a:ext>
          </a:extLst>
        </cdr:cNvPr>
        <cdr:cNvCxnSpPr/>
      </cdr:nvCxnSpPr>
      <cdr:spPr>
        <a:xfrm xmlns:a="http://schemas.openxmlformats.org/drawingml/2006/main">
          <a:off x="289220" y="302362"/>
          <a:ext cx="892629" cy="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29.xml><?xml version="1.0" encoding="utf-8"?>
<c:userShapes xmlns:c="http://schemas.openxmlformats.org/drawingml/2006/chart">
  <cdr:relSizeAnchor xmlns:cdr="http://schemas.openxmlformats.org/drawingml/2006/chartDrawing">
    <cdr:from>
      <cdr:x>0.11356</cdr:x>
      <cdr:y>0.39481</cdr:y>
    </cdr:from>
    <cdr:to>
      <cdr:x>0.50896</cdr:x>
      <cdr:y>0.39481</cdr:y>
    </cdr:to>
    <cdr:cxnSp macro="">
      <cdr:nvCxnSpPr>
        <cdr:cNvPr id="2" name="Gerader Verbinder 1">
          <a:extLst xmlns:a="http://schemas.openxmlformats.org/drawingml/2006/main">
            <a:ext uri="{FF2B5EF4-FFF2-40B4-BE49-F238E27FC236}">
              <a16:creationId xmlns:a16="http://schemas.microsoft.com/office/drawing/2014/main" xmlns="" id="{B70B9C72-1CE0-44BB-9C90-76E766E5BEE7}"/>
            </a:ext>
          </a:extLst>
        </cdr:cNvPr>
        <cdr:cNvCxnSpPr/>
      </cdr:nvCxnSpPr>
      <cdr:spPr>
        <a:xfrm xmlns:a="http://schemas.openxmlformats.org/drawingml/2006/main">
          <a:off x="256375" y="302362"/>
          <a:ext cx="892629" cy="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30.xml><?xml version="1.0" encoding="utf-8"?>
<c:userShapes xmlns:c="http://schemas.openxmlformats.org/drawingml/2006/chart">
  <cdr:relSizeAnchor xmlns:cdr="http://schemas.openxmlformats.org/drawingml/2006/chartDrawing">
    <cdr:from>
      <cdr:x>0.13102</cdr:x>
      <cdr:y>0.39481</cdr:y>
    </cdr:from>
    <cdr:to>
      <cdr:x>0.52642</cdr:x>
      <cdr:y>0.39481</cdr:y>
    </cdr:to>
    <cdr:cxnSp macro="">
      <cdr:nvCxnSpPr>
        <cdr:cNvPr id="2" name="Gerader Verbinder 1">
          <a:extLst xmlns:a="http://schemas.openxmlformats.org/drawingml/2006/main">
            <a:ext uri="{FF2B5EF4-FFF2-40B4-BE49-F238E27FC236}">
              <a16:creationId xmlns:a16="http://schemas.microsoft.com/office/drawing/2014/main" xmlns="" id="{5F82E426-1190-4BA6-BF6C-AB44598C8E7E}"/>
            </a:ext>
          </a:extLst>
        </cdr:cNvPr>
        <cdr:cNvCxnSpPr/>
      </cdr:nvCxnSpPr>
      <cdr:spPr>
        <a:xfrm xmlns:a="http://schemas.openxmlformats.org/drawingml/2006/main">
          <a:off x="295789" y="302362"/>
          <a:ext cx="892629" cy="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31.xml><?xml version="1.0" encoding="utf-8"?>
<c:userShapes xmlns:c="http://schemas.openxmlformats.org/drawingml/2006/chart">
  <cdr:relSizeAnchor xmlns:cdr="http://schemas.openxmlformats.org/drawingml/2006/chartDrawing">
    <cdr:from>
      <cdr:x>0.12811</cdr:x>
      <cdr:y>0.39481</cdr:y>
    </cdr:from>
    <cdr:to>
      <cdr:x>0.52351</cdr:x>
      <cdr:y>0.39481</cdr:y>
    </cdr:to>
    <cdr:cxnSp macro="">
      <cdr:nvCxnSpPr>
        <cdr:cNvPr id="2" name="Gerader Verbinder 1">
          <a:extLst xmlns:a="http://schemas.openxmlformats.org/drawingml/2006/main">
            <a:ext uri="{FF2B5EF4-FFF2-40B4-BE49-F238E27FC236}">
              <a16:creationId xmlns:a16="http://schemas.microsoft.com/office/drawing/2014/main" xmlns="" id="{25C7B0CB-8592-4731-8596-6411343DB24A}"/>
            </a:ext>
          </a:extLst>
        </cdr:cNvPr>
        <cdr:cNvCxnSpPr/>
      </cdr:nvCxnSpPr>
      <cdr:spPr>
        <a:xfrm xmlns:a="http://schemas.openxmlformats.org/drawingml/2006/main">
          <a:off x="289220" y="302362"/>
          <a:ext cx="892629" cy="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32.xml><?xml version="1.0" encoding="utf-8"?>
<c:userShapes xmlns:c="http://schemas.openxmlformats.org/drawingml/2006/chart">
  <cdr:relSizeAnchor xmlns:cdr="http://schemas.openxmlformats.org/drawingml/2006/chartDrawing">
    <cdr:from>
      <cdr:x>0.12811</cdr:x>
      <cdr:y>0.38623</cdr:y>
    </cdr:from>
    <cdr:to>
      <cdr:x>0.52351</cdr:x>
      <cdr:y>0.38623</cdr:y>
    </cdr:to>
    <cdr:cxnSp macro="">
      <cdr:nvCxnSpPr>
        <cdr:cNvPr id="2" name="Gerader Verbinder 1">
          <a:extLst xmlns:a="http://schemas.openxmlformats.org/drawingml/2006/main">
            <a:ext uri="{FF2B5EF4-FFF2-40B4-BE49-F238E27FC236}">
              <a16:creationId xmlns:a16="http://schemas.microsoft.com/office/drawing/2014/main" xmlns="" id="{E1465B58-B344-42F6-90F8-471AA4B87F7B}"/>
            </a:ext>
          </a:extLst>
        </cdr:cNvPr>
        <cdr:cNvCxnSpPr/>
      </cdr:nvCxnSpPr>
      <cdr:spPr>
        <a:xfrm xmlns:a="http://schemas.openxmlformats.org/drawingml/2006/main">
          <a:off x="289220" y="295793"/>
          <a:ext cx="892629" cy="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33.xml><?xml version="1.0" encoding="utf-8"?>
<c:userShapes xmlns:c="http://schemas.openxmlformats.org/drawingml/2006/chart">
  <cdr:relSizeAnchor xmlns:cdr="http://schemas.openxmlformats.org/drawingml/2006/chartDrawing">
    <cdr:from>
      <cdr:x>0.12811</cdr:x>
      <cdr:y>0.39481</cdr:y>
    </cdr:from>
    <cdr:to>
      <cdr:x>0.52351</cdr:x>
      <cdr:y>0.39481</cdr:y>
    </cdr:to>
    <cdr:cxnSp macro="">
      <cdr:nvCxnSpPr>
        <cdr:cNvPr id="2" name="Gerader Verbinder 1">
          <a:extLst xmlns:a="http://schemas.openxmlformats.org/drawingml/2006/main">
            <a:ext uri="{FF2B5EF4-FFF2-40B4-BE49-F238E27FC236}">
              <a16:creationId xmlns:a16="http://schemas.microsoft.com/office/drawing/2014/main" xmlns="" id="{4DFC57F5-AD3F-4C30-B336-A970058F6257}"/>
            </a:ext>
          </a:extLst>
        </cdr:cNvPr>
        <cdr:cNvCxnSpPr/>
      </cdr:nvCxnSpPr>
      <cdr:spPr>
        <a:xfrm xmlns:a="http://schemas.openxmlformats.org/drawingml/2006/main">
          <a:off x="289221" y="302362"/>
          <a:ext cx="892629" cy="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34.xml><?xml version="1.0" encoding="utf-8"?>
<c:userShapes xmlns:c="http://schemas.openxmlformats.org/drawingml/2006/chart">
  <cdr:relSizeAnchor xmlns:cdr="http://schemas.openxmlformats.org/drawingml/2006/chartDrawing">
    <cdr:from>
      <cdr:x>0.12811</cdr:x>
      <cdr:y>0.38623</cdr:y>
    </cdr:from>
    <cdr:to>
      <cdr:x>0.52351</cdr:x>
      <cdr:y>0.38623</cdr:y>
    </cdr:to>
    <cdr:cxnSp macro="">
      <cdr:nvCxnSpPr>
        <cdr:cNvPr id="2" name="Gerader Verbinder 1">
          <a:extLst xmlns:a="http://schemas.openxmlformats.org/drawingml/2006/main">
            <a:ext uri="{FF2B5EF4-FFF2-40B4-BE49-F238E27FC236}">
              <a16:creationId xmlns:a16="http://schemas.microsoft.com/office/drawing/2014/main" xmlns="" id="{A9430622-52E5-4BAC-ABF0-946D838B1E10}"/>
            </a:ext>
          </a:extLst>
        </cdr:cNvPr>
        <cdr:cNvCxnSpPr/>
      </cdr:nvCxnSpPr>
      <cdr:spPr>
        <a:xfrm xmlns:a="http://schemas.openxmlformats.org/drawingml/2006/main">
          <a:off x="289220" y="295793"/>
          <a:ext cx="892629" cy="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35.xml><?xml version="1.0" encoding="utf-8"?>
<c:userShapes xmlns:c="http://schemas.openxmlformats.org/drawingml/2006/chart">
  <cdr:relSizeAnchor xmlns:cdr="http://schemas.openxmlformats.org/drawingml/2006/chartDrawing">
    <cdr:from>
      <cdr:x>0.12811</cdr:x>
      <cdr:y>0.39481</cdr:y>
    </cdr:from>
    <cdr:to>
      <cdr:x>0.52351</cdr:x>
      <cdr:y>0.39481</cdr:y>
    </cdr:to>
    <cdr:cxnSp macro="">
      <cdr:nvCxnSpPr>
        <cdr:cNvPr id="2" name="Gerader Verbinder 1">
          <a:extLst xmlns:a="http://schemas.openxmlformats.org/drawingml/2006/main">
            <a:ext uri="{FF2B5EF4-FFF2-40B4-BE49-F238E27FC236}">
              <a16:creationId xmlns:a16="http://schemas.microsoft.com/office/drawing/2014/main" xmlns="" id="{CC6E9FA3-8311-4988-889F-699243A1D668}"/>
            </a:ext>
          </a:extLst>
        </cdr:cNvPr>
        <cdr:cNvCxnSpPr/>
      </cdr:nvCxnSpPr>
      <cdr:spPr>
        <a:xfrm xmlns:a="http://schemas.openxmlformats.org/drawingml/2006/main">
          <a:off x="289220" y="302362"/>
          <a:ext cx="892629" cy="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36.xml><?xml version="1.0" encoding="utf-8"?>
<c:userShapes xmlns:c="http://schemas.openxmlformats.org/drawingml/2006/chart">
  <cdr:relSizeAnchor xmlns:cdr="http://schemas.openxmlformats.org/drawingml/2006/chartDrawing">
    <cdr:from>
      <cdr:x>0.12229</cdr:x>
      <cdr:y>0.39481</cdr:y>
    </cdr:from>
    <cdr:to>
      <cdr:x>0.51769</cdr:x>
      <cdr:y>0.39481</cdr:y>
    </cdr:to>
    <cdr:cxnSp macro="">
      <cdr:nvCxnSpPr>
        <cdr:cNvPr id="2" name="Gerader Verbinder 1">
          <a:extLst xmlns:a="http://schemas.openxmlformats.org/drawingml/2006/main">
            <a:ext uri="{FF2B5EF4-FFF2-40B4-BE49-F238E27FC236}">
              <a16:creationId xmlns:a16="http://schemas.microsoft.com/office/drawing/2014/main" xmlns="" id="{45116103-1AC8-4EF2-97E3-AD26006E7C26}"/>
            </a:ext>
          </a:extLst>
        </cdr:cNvPr>
        <cdr:cNvCxnSpPr/>
      </cdr:nvCxnSpPr>
      <cdr:spPr>
        <a:xfrm xmlns:a="http://schemas.openxmlformats.org/drawingml/2006/main">
          <a:off x="276082" y="302362"/>
          <a:ext cx="892629" cy="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37.xml><?xml version="1.0" encoding="utf-8"?>
<c:userShapes xmlns:c="http://schemas.openxmlformats.org/drawingml/2006/chart">
  <cdr:relSizeAnchor xmlns:cdr="http://schemas.openxmlformats.org/drawingml/2006/chartDrawing">
    <cdr:from>
      <cdr:x>0.1252</cdr:x>
      <cdr:y>0.39481</cdr:y>
    </cdr:from>
    <cdr:to>
      <cdr:x>0.5206</cdr:x>
      <cdr:y>0.39481</cdr:y>
    </cdr:to>
    <cdr:cxnSp macro="">
      <cdr:nvCxnSpPr>
        <cdr:cNvPr id="2" name="Gerader Verbinder 1">
          <a:extLst xmlns:a="http://schemas.openxmlformats.org/drawingml/2006/main">
            <a:ext uri="{FF2B5EF4-FFF2-40B4-BE49-F238E27FC236}">
              <a16:creationId xmlns:a16="http://schemas.microsoft.com/office/drawing/2014/main" xmlns="" id="{15907020-12C1-4063-9318-E2F0E987D551}"/>
            </a:ext>
          </a:extLst>
        </cdr:cNvPr>
        <cdr:cNvCxnSpPr/>
      </cdr:nvCxnSpPr>
      <cdr:spPr>
        <a:xfrm xmlns:a="http://schemas.openxmlformats.org/drawingml/2006/main">
          <a:off x="282652" y="302362"/>
          <a:ext cx="892629" cy="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38.xml><?xml version="1.0" encoding="utf-8"?>
<c:userShapes xmlns:c="http://schemas.openxmlformats.org/drawingml/2006/chart">
  <cdr:relSizeAnchor xmlns:cdr="http://schemas.openxmlformats.org/drawingml/2006/chartDrawing">
    <cdr:from>
      <cdr:x>0.12811</cdr:x>
      <cdr:y>0.38623</cdr:y>
    </cdr:from>
    <cdr:to>
      <cdr:x>0.52351</cdr:x>
      <cdr:y>0.38623</cdr:y>
    </cdr:to>
    <cdr:cxnSp macro="">
      <cdr:nvCxnSpPr>
        <cdr:cNvPr id="2" name="Gerader Verbinder 1">
          <a:extLst xmlns:a="http://schemas.openxmlformats.org/drawingml/2006/main">
            <a:ext uri="{FF2B5EF4-FFF2-40B4-BE49-F238E27FC236}">
              <a16:creationId xmlns:a16="http://schemas.microsoft.com/office/drawing/2014/main" xmlns="" id="{B3F80EF1-66BD-4C2E-9D45-47A96001906B}"/>
            </a:ext>
          </a:extLst>
        </cdr:cNvPr>
        <cdr:cNvCxnSpPr/>
      </cdr:nvCxnSpPr>
      <cdr:spPr>
        <a:xfrm xmlns:a="http://schemas.openxmlformats.org/drawingml/2006/main">
          <a:off x="289220" y="295793"/>
          <a:ext cx="892629" cy="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39.xml><?xml version="1.0" encoding="utf-8"?>
<c:userShapes xmlns:c="http://schemas.openxmlformats.org/drawingml/2006/chart">
  <cdr:relSizeAnchor xmlns:cdr="http://schemas.openxmlformats.org/drawingml/2006/chartDrawing">
    <cdr:from>
      <cdr:x>0.13102</cdr:x>
      <cdr:y>0.38623</cdr:y>
    </cdr:from>
    <cdr:to>
      <cdr:x>0.52642</cdr:x>
      <cdr:y>0.38623</cdr:y>
    </cdr:to>
    <cdr:cxnSp macro="">
      <cdr:nvCxnSpPr>
        <cdr:cNvPr id="2" name="Gerader Verbinder 1">
          <a:extLst xmlns:a="http://schemas.openxmlformats.org/drawingml/2006/main">
            <a:ext uri="{FF2B5EF4-FFF2-40B4-BE49-F238E27FC236}">
              <a16:creationId xmlns:a16="http://schemas.microsoft.com/office/drawing/2014/main" xmlns="" id="{72217371-D2AA-45BA-83DC-2D721D6BDE42}"/>
            </a:ext>
          </a:extLst>
        </cdr:cNvPr>
        <cdr:cNvCxnSpPr/>
      </cdr:nvCxnSpPr>
      <cdr:spPr>
        <a:xfrm xmlns:a="http://schemas.openxmlformats.org/drawingml/2006/main">
          <a:off x="295789" y="295793"/>
          <a:ext cx="892629" cy="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40.xml><?xml version="1.0" encoding="utf-8"?>
<c:userShapes xmlns:c="http://schemas.openxmlformats.org/drawingml/2006/chart">
  <cdr:relSizeAnchor xmlns:cdr="http://schemas.openxmlformats.org/drawingml/2006/chartDrawing">
    <cdr:from>
      <cdr:x>0.13102</cdr:x>
      <cdr:y>0.39481</cdr:y>
    </cdr:from>
    <cdr:to>
      <cdr:x>0.52642</cdr:x>
      <cdr:y>0.39481</cdr:y>
    </cdr:to>
    <cdr:cxnSp macro="">
      <cdr:nvCxnSpPr>
        <cdr:cNvPr id="2" name="Gerader Verbinder 1">
          <a:extLst xmlns:a="http://schemas.openxmlformats.org/drawingml/2006/main">
            <a:ext uri="{FF2B5EF4-FFF2-40B4-BE49-F238E27FC236}">
              <a16:creationId xmlns:a16="http://schemas.microsoft.com/office/drawing/2014/main" xmlns="" id="{1438AB43-DFDB-49E2-BE73-6E3EE869D9D6}"/>
            </a:ext>
          </a:extLst>
        </cdr:cNvPr>
        <cdr:cNvCxnSpPr/>
      </cdr:nvCxnSpPr>
      <cdr:spPr>
        <a:xfrm xmlns:a="http://schemas.openxmlformats.org/drawingml/2006/main">
          <a:off x="295789" y="302362"/>
          <a:ext cx="892629" cy="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41.xml><?xml version="1.0" encoding="utf-8"?>
<c:userShapes xmlns:c="http://schemas.openxmlformats.org/drawingml/2006/chart">
  <cdr:relSizeAnchor xmlns:cdr="http://schemas.openxmlformats.org/drawingml/2006/chartDrawing">
    <cdr:from>
      <cdr:x>0.11938</cdr:x>
      <cdr:y>0.38623</cdr:y>
    </cdr:from>
    <cdr:to>
      <cdr:x>0.51478</cdr:x>
      <cdr:y>0.38623</cdr:y>
    </cdr:to>
    <cdr:cxnSp macro="">
      <cdr:nvCxnSpPr>
        <cdr:cNvPr id="2" name="Gerader Verbinder 1">
          <a:extLst xmlns:a="http://schemas.openxmlformats.org/drawingml/2006/main">
            <a:ext uri="{FF2B5EF4-FFF2-40B4-BE49-F238E27FC236}">
              <a16:creationId xmlns:a16="http://schemas.microsoft.com/office/drawing/2014/main" xmlns="" id="{C3C36FC9-2816-4386-83E2-183F1FA63B7B}"/>
            </a:ext>
          </a:extLst>
        </cdr:cNvPr>
        <cdr:cNvCxnSpPr/>
      </cdr:nvCxnSpPr>
      <cdr:spPr>
        <a:xfrm xmlns:a="http://schemas.openxmlformats.org/drawingml/2006/main">
          <a:off x="269513" y="295793"/>
          <a:ext cx="892629" cy="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42.xml><?xml version="1.0" encoding="utf-8"?>
<c:userShapes xmlns:c="http://schemas.openxmlformats.org/drawingml/2006/chart">
  <cdr:relSizeAnchor xmlns:cdr="http://schemas.openxmlformats.org/drawingml/2006/chartDrawing">
    <cdr:from>
      <cdr:x>0.1252</cdr:x>
      <cdr:y>0.38623</cdr:y>
    </cdr:from>
    <cdr:to>
      <cdr:x>0.5206</cdr:x>
      <cdr:y>0.38623</cdr:y>
    </cdr:to>
    <cdr:cxnSp macro="">
      <cdr:nvCxnSpPr>
        <cdr:cNvPr id="2" name="Gerader Verbinder 1">
          <a:extLst xmlns:a="http://schemas.openxmlformats.org/drawingml/2006/main">
            <a:ext uri="{FF2B5EF4-FFF2-40B4-BE49-F238E27FC236}">
              <a16:creationId xmlns:a16="http://schemas.microsoft.com/office/drawing/2014/main" xmlns="" id="{9502A3A1-51A2-49AB-A8EF-BD9138A93CCE}"/>
            </a:ext>
          </a:extLst>
        </cdr:cNvPr>
        <cdr:cNvCxnSpPr/>
      </cdr:nvCxnSpPr>
      <cdr:spPr>
        <a:xfrm xmlns:a="http://schemas.openxmlformats.org/drawingml/2006/main">
          <a:off x="282652" y="295793"/>
          <a:ext cx="892629" cy="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43.xml><?xml version="1.0" encoding="utf-8"?>
<c:userShapes xmlns:c="http://schemas.openxmlformats.org/drawingml/2006/chart">
  <cdr:relSizeAnchor xmlns:cdr="http://schemas.openxmlformats.org/drawingml/2006/chartDrawing">
    <cdr:from>
      <cdr:x>0.13102</cdr:x>
      <cdr:y>0.39481</cdr:y>
    </cdr:from>
    <cdr:to>
      <cdr:x>0.52642</cdr:x>
      <cdr:y>0.39481</cdr:y>
    </cdr:to>
    <cdr:cxnSp macro="">
      <cdr:nvCxnSpPr>
        <cdr:cNvPr id="2" name="Gerader Verbinder 1">
          <a:extLst xmlns:a="http://schemas.openxmlformats.org/drawingml/2006/main">
            <a:ext uri="{FF2B5EF4-FFF2-40B4-BE49-F238E27FC236}">
              <a16:creationId xmlns:a16="http://schemas.microsoft.com/office/drawing/2014/main" xmlns="" id="{F542578C-78E0-40BC-B25F-0A3E5A0B0C0A}"/>
            </a:ext>
          </a:extLst>
        </cdr:cNvPr>
        <cdr:cNvCxnSpPr/>
      </cdr:nvCxnSpPr>
      <cdr:spPr>
        <a:xfrm xmlns:a="http://schemas.openxmlformats.org/drawingml/2006/main">
          <a:off x="295789" y="302362"/>
          <a:ext cx="892629" cy="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44.xml><?xml version="1.0" encoding="utf-8"?>
<c:userShapes xmlns:c="http://schemas.openxmlformats.org/drawingml/2006/chart">
  <cdr:relSizeAnchor xmlns:cdr="http://schemas.openxmlformats.org/drawingml/2006/chartDrawing">
    <cdr:from>
      <cdr:x>0.13102</cdr:x>
      <cdr:y>0.39481</cdr:y>
    </cdr:from>
    <cdr:to>
      <cdr:x>0.52642</cdr:x>
      <cdr:y>0.39481</cdr:y>
    </cdr:to>
    <cdr:cxnSp macro="">
      <cdr:nvCxnSpPr>
        <cdr:cNvPr id="2" name="Gerader Verbinder 1">
          <a:extLst xmlns:a="http://schemas.openxmlformats.org/drawingml/2006/main">
            <a:ext uri="{FF2B5EF4-FFF2-40B4-BE49-F238E27FC236}">
              <a16:creationId xmlns:a16="http://schemas.microsoft.com/office/drawing/2014/main" xmlns="" id="{340A3DC5-EAD0-4D30-B925-992143964382}"/>
            </a:ext>
          </a:extLst>
        </cdr:cNvPr>
        <cdr:cNvCxnSpPr/>
      </cdr:nvCxnSpPr>
      <cdr:spPr>
        <a:xfrm xmlns:a="http://schemas.openxmlformats.org/drawingml/2006/main">
          <a:off x="295790" y="302362"/>
          <a:ext cx="892629" cy="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45.xml><?xml version="1.0" encoding="utf-8"?>
<c:userShapes xmlns:c="http://schemas.openxmlformats.org/drawingml/2006/chart">
  <cdr:relSizeAnchor xmlns:cdr="http://schemas.openxmlformats.org/drawingml/2006/chartDrawing">
    <cdr:from>
      <cdr:x>0.13102</cdr:x>
      <cdr:y>0.39481</cdr:y>
    </cdr:from>
    <cdr:to>
      <cdr:x>0.52642</cdr:x>
      <cdr:y>0.39481</cdr:y>
    </cdr:to>
    <cdr:cxnSp macro="">
      <cdr:nvCxnSpPr>
        <cdr:cNvPr id="2" name="Gerader Verbinder 1">
          <a:extLst xmlns:a="http://schemas.openxmlformats.org/drawingml/2006/main">
            <a:ext uri="{FF2B5EF4-FFF2-40B4-BE49-F238E27FC236}">
              <a16:creationId xmlns:a16="http://schemas.microsoft.com/office/drawing/2014/main" xmlns="" id="{F499719E-181B-4C1B-8D05-B264F20C9E38}"/>
            </a:ext>
          </a:extLst>
        </cdr:cNvPr>
        <cdr:cNvCxnSpPr/>
      </cdr:nvCxnSpPr>
      <cdr:spPr>
        <a:xfrm xmlns:a="http://schemas.openxmlformats.org/drawingml/2006/main">
          <a:off x="295789" y="302362"/>
          <a:ext cx="892629" cy="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46.xml><?xml version="1.0" encoding="utf-8"?>
<c:userShapes xmlns:c="http://schemas.openxmlformats.org/drawingml/2006/chart">
  <cdr:relSizeAnchor xmlns:cdr="http://schemas.openxmlformats.org/drawingml/2006/chartDrawing">
    <cdr:from>
      <cdr:x>0.1252</cdr:x>
      <cdr:y>0.39481</cdr:y>
    </cdr:from>
    <cdr:to>
      <cdr:x>0.5206</cdr:x>
      <cdr:y>0.39481</cdr:y>
    </cdr:to>
    <cdr:cxnSp macro="">
      <cdr:nvCxnSpPr>
        <cdr:cNvPr id="2" name="Gerader Verbinder 1">
          <a:extLst xmlns:a="http://schemas.openxmlformats.org/drawingml/2006/main">
            <a:ext uri="{FF2B5EF4-FFF2-40B4-BE49-F238E27FC236}">
              <a16:creationId xmlns:a16="http://schemas.microsoft.com/office/drawing/2014/main" xmlns="" id="{5BD52426-98D4-401C-95FD-8D220D9FB8D0}"/>
            </a:ext>
          </a:extLst>
        </cdr:cNvPr>
        <cdr:cNvCxnSpPr/>
      </cdr:nvCxnSpPr>
      <cdr:spPr>
        <a:xfrm xmlns:a="http://schemas.openxmlformats.org/drawingml/2006/main">
          <a:off x="282651" y="302362"/>
          <a:ext cx="892629" cy="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47.xml><?xml version="1.0" encoding="utf-8"?>
<c:userShapes xmlns:c="http://schemas.openxmlformats.org/drawingml/2006/chart">
  <cdr:relSizeAnchor xmlns:cdr="http://schemas.openxmlformats.org/drawingml/2006/chartDrawing">
    <cdr:from>
      <cdr:x>0.12229</cdr:x>
      <cdr:y>0.39481</cdr:y>
    </cdr:from>
    <cdr:to>
      <cdr:x>0.51769</cdr:x>
      <cdr:y>0.39481</cdr:y>
    </cdr:to>
    <cdr:cxnSp macro="">
      <cdr:nvCxnSpPr>
        <cdr:cNvPr id="2" name="Gerader Verbinder 1">
          <a:extLst xmlns:a="http://schemas.openxmlformats.org/drawingml/2006/main">
            <a:ext uri="{FF2B5EF4-FFF2-40B4-BE49-F238E27FC236}">
              <a16:creationId xmlns:a16="http://schemas.microsoft.com/office/drawing/2014/main" xmlns="" id="{6153BE3B-7DA3-4C8F-A2A2-F222F1EB1090}"/>
            </a:ext>
          </a:extLst>
        </cdr:cNvPr>
        <cdr:cNvCxnSpPr/>
      </cdr:nvCxnSpPr>
      <cdr:spPr>
        <a:xfrm xmlns:a="http://schemas.openxmlformats.org/drawingml/2006/main">
          <a:off x="276082" y="302362"/>
          <a:ext cx="892629" cy="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48.xml><?xml version="1.0" encoding="utf-8"?>
<c:userShapes xmlns:c="http://schemas.openxmlformats.org/drawingml/2006/chart">
  <cdr:relSizeAnchor xmlns:cdr="http://schemas.openxmlformats.org/drawingml/2006/chartDrawing">
    <cdr:from>
      <cdr:x>0.12811</cdr:x>
      <cdr:y>0.39481</cdr:y>
    </cdr:from>
    <cdr:to>
      <cdr:x>0.52351</cdr:x>
      <cdr:y>0.39481</cdr:y>
    </cdr:to>
    <cdr:cxnSp macro="">
      <cdr:nvCxnSpPr>
        <cdr:cNvPr id="2" name="Gerader Verbinder 1">
          <a:extLst xmlns:a="http://schemas.openxmlformats.org/drawingml/2006/main">
            <a:ext uri="{FF2B5EF4-FFF2-40B4-BE49-F238E27FC236}">
              <a16:creationId xmlns:a16="http://schemas.microsoft.com/office/drawing/2014/main" xmlns="" id="{4A411B06-2772-4807-B044-A86FC1F9B744}"/>
            </a:ext>
          </a:extLst>
        </cdr:cNvPr>
        <cdr:cNvCxnSpPr/>
      </cdr:nvCxnSpPr>
      <cdr:spPr>
        <a:xfrm xmlns:a="http://schemas.openxmlformats.org/drawingml/2006/main">
          <a:off x="289220" y="302362"/>
          <a:ext cx="892629" cy="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49.xml><?xml version="1.0" encoding="utf-8"?>
<c:userShapes xmlns:c="http://schemas.openxmlformats.org/drawingml/2006/chart">
  <cdr:relSizeAnchor xmlns:cdr="http://schemas.openxmlformats.org/drawingml/2006/chartDrawing">
    <cdr:from>
      <cdr:x>0.13102</cdr:x>
      <cdr:y>0.39481</cdr:y>
    </cdr:from>
    <cdr:to>
      <cdr:x>0.52642</cdr:x>
      <cdr:y>0.39481</cdr:y>
    </cdr:to>
    <cdr:cxnSp macro="">
      <cdr:nvCxnSpPr>
        <cdr:cNvPr id="2" name="Gerader Verbinder 1">
          <a:extLst xmlns:a="http://schemas.openxmlformats.org/drawingml/2006/main">
            <a:ext uri="{FF2B5EF4-FFF2-40B4-BE49-F238E27FC236}">
              <a16:creationId xmlns:a16="http://schemas.microsoft.com/office/drawing/2014/main" xmlns="" id="{4512EFE5-6F57-4EC7-8DA1-4BB582E95C4F}"/>
            </a:ext>
          </a:extLst>
        </cdr:cNvPr>
        <cdr:cNvCxnSpPr/>
      </cdr:nvCxnSpPr>
      <cdr:spPr>
        <a:xfrm xmlns:a="http://schemas.openxmlformats.org/drawingml/2006/main">
          <a:off x="295790" y="302362"/>
          <a:ext cx="892629" cy="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50.xml><?xml version="1.0" encoding="utf-8"?>
<c:userShapes xmlns:c="http://schemas.openxmlformats.org/drawingml/2006/chart">
  <cdr:relSizeAnchor xmlns:cdr="http://schemas.openxmlformats.org/drawingml/2006/chartDrawing">
    <cdr:from>
      <cdr:x>0.12229</cdr:x>
      <cdr:y>0.39481</cdr:y>
    </cdr:from>
    <cdr:to>
      <cdr:x>0.51769</cdr:x>
      <cdr:y>0.39481</cdr:y>
    </cdr:to>
    <cdr:cxnSp macro="">
      <cdr:nvCxnSpPr>
        <cdr:cNvPr id="2" name="Gerader Verbinder 1">
          <a:extLst xmlns:a="http://schemas.openxmlformats.org/drawingml/2006/main">
            <a:ext uri="{FF2B5EF4-FFF2-40B4-BE49-F238E27FC236}">
              <a16:creationId xmlns:a16="http://schemas.microsoft.com/office/drawing/2014/main" xmlns="" id="{C81F85CB-0390-48BC-945F-8A36C6420F59}"/>
            </a:ext>
          </a:extLst>
        </cdr:cNvPr>
        <cdr:cNvCxnSpPr/>
      </cdr:nvCxnSpPr>
      <cdr:spPr>
        <a:xfrm xmlns:a="http://schemas.openxmlformats.org/drawingml/2006/main">
          <a:off x="276083" y="302362"/>
          <a:ext cx="892629" cy="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51.xml><?xml version="1.0" encoding="utf-8"?>
<c:userShapes xmlns:c="http://schemas.openxmlformats.org/drawingml/2006/chart">
  <cdr:relSizeAnchor xmlns:cdr="http://schemas.openxmlformats.org/drawingml/2006/chartDrawing">
    <cdr:from>
      <cdr:x>0.13102</cdr:x>
      <cdr:y>0.39481</cdr:y>
    </cdr:from>
    <cdr:to>
      <cdr:x>0.52642</cdr:x>
      <cdr:y>0.39481</cdr:y>
    </cdr:to>
    <cdr:cxnSp macro="">
      <cdr:nvCxnSpPr>
        <cdr:cNvPr id="2" name="Gerader Verbinder 1">
          <a:extLst xmlns:a="http://schemas.openxmlformats.org/drawingml/2006/main">
            <a:ext uri="{FF2B5EF4-FFF2-40B4-BE49-F238E27FC236}">
              <a16:creationId xmlns:a16="http://schemas.microsoft.com/office/drawing/2014/main" xmlns="" id="{A8C3095C-6AAE-4F40-BCCE-4DAC32D3AF1C}"/>
            </a:ext>
          </a:extLst>
        </cdr:cNvPr>
        <cdr:cNvCxnSpPr/>
      </cdr:nvCxnSpPr>
      <cdr:spPr>
        <a:xfrm xmlns:a="http://schemas.openxmlformats.org/drawingml/2006/main">
          <a:off x="295789" y="302362"/>
          <a:ext cx="892629" cy="0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tx1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2"/>
  <sheetViews>
    <sheetView zoomScale="70" zoomScaleNormal="70" workbookViewId="0">
      <pane xSplit="3" ySplit="5" topLeftCell="D41" activePane="bottomRight" state="frozen"/>
      <selection pane="topRight" activeCell="C1" sqref="C1"/>
      <selection pane="bottomLeft" activeCell="A2" sqref="A2"/>
      <selection pane="bottomRight" activeCell="E48" sqref="E48"/>
    </sheetView>
  </sheetViews>
  <sheetFormatPr defaultColWidth="11.44140625" defaultRowHeight="14.4" x14ac:dyDescent="0.3"/>
  <cols>
    <col min="1" max="1" width="3.44140625" style="87" customWidth="1"/>
    <col min="2" max="2" width="3.88671875" style="87" bestFit="1" customWidth="1"/>
    <col min="3" max="3" width="16" style="87" bestFit="1" customWidth="1"/>
    <col min="4" max="4" width="17.6640625" style="87" customWidth="1"/>
    <col min="5" max="5" width="15" style="87" customWidth="1"/>
    <col min="6" max="6" width="12.88671875" style="87" customWidth="1"/>
    <col min="7" max="8" width="15" style="87" customWidth="1"/>
    <col min="9" max="9" width="22.5546875" style="87" customWidth="1"/>
    <col min="10" max="10" width="20.44140625" style="87" customWidth="1"/>
    <col min="11" max="11" width="17.33203125" style="87" customWidth="1"/>
    <col min="12" max="12" width="27.109375" style="87" hidden="1" customWidth="1"/>
    <col min="13" max="13" width="23.88671875" style="87" customWidth="1"/>
    <col min="14" max="14" width="11" style="95" hidden="1" customWidth="1"/>
    <col min="15" max="15" width="14.33203125" style="67" hidden="1" customWidth="1"/>
    <col min="16" max="16" width="13.5546875" style="95" hidden="1" customWidth="1"/>
    <col min="17" max="17" width="13" style="95" hidden="1" customWidth="1"/>
    <col min="18" max="18" width="11" style="95" hidden="1" customWidth="1"/>
    <col min="19" max="19" width="243.33203125" style="97" hidden="1" customWidth="1"/>
    <col min="20" max="20" width="69.5546875" style="87" hidden="1" customWidth="1"/>
    <col min="21" max="26" width="11.44140625" style="87" customWidth="1"/>
    <col min="27" max="16384" width="11.44140625" style="87"/>
  </cols>
  <sheetData>
    <row r="1" spans="1:22" x14ac:dyDescent="0.3">
      <c r="M1" s="67"/>
      <c r="P1" s="114"/>
    </row>
    <row r="2" spans="1:22" s="301" customFormat="1" ht="18" x14ac:dyDescent="0.35">
      <c r="B2" s="392" t="s">
        <v>1135</v>
      </c>
      <c r="C2" s="392"/>
      <c r="D2" s="392"/>
      <c r="E2" s="392"/>
      <c r="F2" s="392"/>
      <c r="G2" s="392"/>
      <c r="H2" s="392"/>
      <c r="I2" s="392"/>
      <c r="J2" s="392"/>
      <c r="K2" s="392"/>
      <c r="L2" s="392"/>
      <c r="M2" s="392"/>
      <c r="N2" s="485"/>
      <c r="O2" s="485"/>
      <c r="P2" s="485"/>
      <c r="Q2" s="485"/>
      <c r="R2" s="485"/>
      <c r="S2" s="485"/>
      <c r="T2" s="485"/>
    </row>
    <row r="3" spans="1:22" ht="15" thickBot="1" x14ac:dyDescent="0.35">
      <c r="M3" s="67"/>
    </row>
    <row r="4" spans="1:22" x14ac:dyDescent="0.3">
      <c r="B4" s="395"/>
      <c r="C4" s="393" t="s">
        <v>20</v>
      </c>
      <c r="D4" s="397" t="s">
        <v>1079</v>
      </c>
      <c r="E4" s="398"/>
      <c r="F4" s="398"/>
      <c r="G4" s="399"/>
      <c r="H4" s="397" t="s">
        <v>1086</v>
      </c>
      <c r="I4" s="399"/>
      <c r="J4" s="281"/>
      <c r="K4" s="398" t="s">
        <v>1080</v>
      </c>
      <c r="L4" s="398"/>
      <c r="M4" s="398"/>
      <c r="N4" s="398"/>
      <c r="O4" s="398"/>
      <c r="P4" s="398"/>
      <c r="Q4" s="398"/>
      <c r="R4" s="398"/>
      <c r="S4" s="398"/>
      <c r="T4" s="399"/>
    </row>
    <row r="5" spans="1:22" s="113" customFormat="1" ht="43.8" thickBot="1" x14ac:dyDescent="0.35">
      <c r="B5" s="396"/>
      <c r="C5" s="394"/>
      <c r="D5" s="290" t="s">
        <v>21</v>
      </c>
      <c r="E5" s="291" t="s">
        <v>22</v>
      </c>
      <c r="F5" s="291" t="s">
        <v>23</v>
      </c>
      <c r="G5" s="292" t="s">
        <v>1085</v>
      </c>
      <c r="H5" s="328" t="s">
        <v>23</v>
      </c>
      <c r="I5" s="292" t="s">
        <v>1085</v>
      </c>
      <c r="J5" s="293" t="s">
        <v>24</v>
      </c>
      <c r="K5" s="291" t="s">
        <v>1081</v>
      </c>
      <c r="L5" s="293" t="s">
        <v>25</v>
      </c>
      <c r="M5" s="291" t="s">
        <v>1082</v>
      </c>
      <c r="N5" s="291" t="s">
        <v>1078</v>
      </c>
      <c r="O5" s="291" t="s">
        <v>1083</v>
      </c>
      <c r="P5" s="291" t="s">
        <v>26</v>
      </c>
      <c r="Q5" s="291" t="s">
        <v>1047</v>
      </c>
      <c r="R5" s="291" t="s">
        <v>1076</v>
      </c>
      <c r="S5" s="291" t="s">
        <v>23</v>
      </c>
      <c r="T5" s="294" t="s">
        <v>27</v>
      </c>
    </row>
    <row r="6" spans="1:22" ht="19.5" customHeight="1" x14ac:dyDescent="0.3">
      <c r="A6" s="67"/>
      <c r="B6" s="272">
        <v>1</v>
      </c>
      <c r="C6" s="269" t="s">
        <v>28</v>
      </c>
      <c r="D6" s="307" t="s">
        <v>29</v>
      </c>
      <c r="E6" s="307" t="s">
        <v>30</v>
      </c>
      <c r="F6" s="326" t="s">
        <v>31</v>
      </c>
      <c r="G6" s="324" t="s">
        <v>32</v>
      </c>
      <c r="H6" s="365" t="s">
        <v>295</v>
      </c>
      <c r="I6" s="364" t="s">
        <v>295</v>
      </c>
      <c r="J6" s="62" t="s">
        <v>33</v>
      </c>
      <c r="K6" s="62" t="s">
        <v>34</v>
      </c>
      <c r="L6" s="62" t="s">
        <v>35</v>
      </c>
      <c r="M6" s="267" t="s">
        <v>1190</v>
      </c>
      <c r="N6" s="308" t="s">
        <v>38</v>
      </c>
      <c r="O6" s="267" t="s">
        <v>36</v>
      </c>
      <c r="P6" s="309" t="s">
        <v>37</v>
      </c>
      <c r="Q6" s="308" t="s">
        <v>39</v>
      </c>
      <c r="R6" s="308" t="s">
        <v>38</v>
      </c>
      <c r="S6" s="268" t="s">
        <v>998</v>
      </c>
      <c r="T6" s="269" t="s">
        <v>40</v>
      </c>
    </row>
    <row r="7" spans="1:22" ht="19.5" customHeight="1" x14ac:dyDescent="0.3">
      <c r="A7" s="67"/>
      <c r="B7" s="273">
        <v>2</v>
      </c>
      <c r="C7" s="263" t="s">
        <v>51</v>
      </c>
      <c r="D7" s="260" t="s">
        <v>52</v>
      </c>
      <c r="E7" s="260" t="s">
        <v>53</v>
      </c>
      <c r="F7" s="323" t="s">
        <v>54</v>
      </c>
      <c r="G7" s="288" t="s">
        <v>55</v>
      </c>
      <c r="H7" s="358" t="s">
        <v>295</v>
      </c>
      <c r="I7" s="363" t="s">
        <v>295</v>
      </c>
      <c r="J7" s="253" t="s">
        <v>56</v>
      </c>
      <c r="K7" s="253" t="s">
        <v>57</v>
      </c>
      <c r="L7" s="253" t="s">
        <v>58</v>
      </c>
      <c r="M7" s="254" t="s">
        <v>59</v>
      </c>
      <c r="N7" s="310" t="s">
        <v>62</v>
      </c>
      <c r="O7" s="254" t="s">
        <v>60</v>
      </c>
      <c r="P7" s="310" t="s">
        <v>61</v>
      </c>
      <c r="Q7" s="310" t="s">
        <v>63</v>
      </c>
      <c r="R7" s="311" t="s">
        <v>38</v>
      </c>
      <c r="S7" s="255" t="s">
        <v>1000</v>
      </c>
      <c r="T7" s="263" t="s">
        <v>40</v>
      </c>
    </row>
    <row r="8" spans="1:22" ht="19.5" customHeight="1" x14ac:dyDescent="0.3">
      <c r="A8" s="67"/>
      <c r="B8" s="274">
        <v>3</v>
      </c>
      <c r="C8" s="116" t="s">
        <v>64</v>
      </c>
      <c r="D8" s="252" t="s">
        <v>65</v>
      </c>
      <c r="E8" s="252" t="s">
        <v>66</v>
      </c>
      <c r="F8" s="322" t="s">
        <v>67</v>
      </c>
      <c r="G8" s="287" t="s">
        <v>32</v>
      </c>
      <c r="H8" s="361" t="s">
        <v>295</v>
      </c>
      <c r="I8" s="362" t="s">
        <v>295</v>
      </c>
      <c r="J8" s="67" t="s">
        <v>68</v>
      </c>
      <c r="K8" s="67" t="s">
        <v>69</v>
      </c>
      <c r="L8" s="67" t="s">
        <v>70</v>
      </c>
      <c r="M8" s="98" t="s">
        <v>71</v>
      </c>
      <c r="N8" s="312">
        <v>1</v>
      </c>
      <c r="O8" s="98" t="s">
        <v>72</v>
      </c>
      <c r="P8" s="312" t="s">
        <v>73</v>
      </c>
      <c r="Q8" s="312" t="s">
        <v>74</v>
      </c>
      <c r="R8" s="313" t="s">
        <v>38</v>
      </c>
      <c r="S8" s="115" t="s">
        <v>1001</v>
      </c>
      <c r="T8" s="116" t="s">
        <v>40</v>
      </c>
    </row>
    <row r="9" spans="1:22" ht="19.5" customHeight="1" x14ac:dyDescent="0.3">
      <c r="A9" s="67"/>
      <c r="B9" s="273">
        <v>4</v>
      </c>
      <c r="C9" s="263" t="s">
        <v>75</v>
      </c>
      <c r="D9" s="260" t="s">
        <v>76</v>
      </c>
      <c r="E9" s="260" t="s">
        <v>77</v>
      </c>
      <c r="F9" s="323" t="s">
        <v>78</v>
      </c>
      <c r="G9" s="288" t="s">
        <v>32</v>
      </c>
      <c r="H9" s="358" t="s">
        <v>295</v>
      </c>
      <c r="I9" s="363" t="s">
        <v>295</v>
      </c>
      <c r="J9" s="329" t="s">
        <v>79</v>
      </c>
      <c r="K9" s="253" t="s">
        <v>80</v>
      </c>
      <c r="L9" s="253" t="s">
        <v>81</v>
      </c>
      <c r="M9" s="254" t="s">
        <v>1192</v>
      </c>
      <c r="N9" s="310" t="s">
        <v>38</v>
      </c>
      <c r="O9" s="254" t="s">
        <v>82</v>
      </c>
      <c r="P9" s="310" t="s">
        <v>668</v>
      </c>
      <c r="Q9" s="310" t="s">
        <v>669</v>
      </c>
      <c r="R9" s="311" t="s">
        <v>38</v>
      </c>
      <c r="S9" s="255" t="s">
        <v>1002</v>
      </c>
      <c r="T9" s="263" t="s">
        <v>40</v>
      </c>
      <c r="V9" s="87" t="s">
        <v>84</v>
      </c>
    </row>
    <row r="10" spans="1:22" ht="19.5" customHeight="1" x14ac:dyDescent="0.3">
      <c r="A10" s="67"/>
      <c r="B10" s="380">
        <v>5</v>
      </c>
      <c r="C10" s="382" t="s">
        <v>85</v>
      </c>
      <c r="D10" s="387" t="s">
        <v>86</v>
      </c>
      <c r="E10" s="374" t="s">
        <v>87</v>
      </c>
      <c r="F10" s="376" t="s">
        <v>88</v>
      </c>
      <c r="G10" s="378" t="s">
        <v>32</v>
      </c>
      <c r="H10" s="400" t="s">
        <v>295</v>
      </c>
      <c r="I10" s="402" t="s">
        <v>295</v>
      </c>
      <c r="J10" s="67" t="s">
        <v>89</v>
      </c>
      <c r="K10" s="67" t="s">
        <v>90</v>
      </c>
      <c r="L10" s="67" t="s">
        <v>91</v>
      </c>
      <c r="M10" s="98" t="s">
        <v>92</v>
      </c>
      <c r="N10" s="312">
        <v>1</v>
      </c>
      <c r="O10" s="98" t="s">
        <v>93</v>
      </c>
      <c r="P10" s="312" t="s">
        <v>670</v>
      </c>
      <c r="Q10" s="312" t="s">
        <v>187</v>
      </c>
      <c r="R10" s="313" t="s">
        <v>38</v>
      </c>
      <c r="S10" s="115" t="s">
        <v>1003</v>
      </c>
      <c r="T10" s="116" t="s">
        <v>94</v>
      </c>
    </row>
    <row r="11" spans="1:22" ht="19.5" customHeight="1" x14ac:dyDescent="0.3">
      <c r="A11" s="67"/>
      <c r="B11" s="381"/>
      <c r="C11" s="383"/>
      <c r="D11" s="388"/>
      <c r="E11" s="375"/>
      <c r="F11" s="377"/>
      <c r="G11" s="379"/>
      <c r="H11" s="401"/>
      <c r="I11" s="403"/>
      <c r="J11" s="67" t="s">
        <v>95</v>
      </c>
      <c r="K11" s="67" t="s">
        <v>96</v>
      </c>
      <c r="L11" s="67" t="s">
        <v>97</v>
      </c>
      <c r="M11" s="98" t="s">
        <v>98</v>
      </c>
      <c r="N11" s="312" t="s">
        <v>672</v>
      </c>
      <c r="O11" s="98" t="s">
        <v>99</v>
      </c>
      <c r="P11" s="312" t="s">
        <v>671</v>
      </c>
      <c r="Q11" s="312" t="s">
        <v>83</v>
      </c>
      <c r="R11" s="313" t="s">
        <v>38</v>
      </c>
      <c r="S11" s="115" t="s">
        <v>1004</v>
      </c>
      <c r="T11" s="116" t="s">
        <v>94</v>
      </c>
    </row>
    <row r="12" spans="1:22" ht="19.5" customHeight="1" x14ac:dyDescent="0.3">
      <c r="A12" s="67"/>
      <c r="B12" s="380">
        <v>6</v>
      </c>
      <c r="C12" s="382" t="s">
        <v>101</v>
      </c>
      <c r="D12" s="387" t="s">
        <v>102</v>
      </c>
      <c r="E12" s="374" t="s">
        <v>103</v>
      </c>
      <c r="F12" s="376" t="s">
        <v>104</v>
      </c>
      <c r="G12" s="378" t="s">
        <v>105</v>
      </c>
      <c r="H12" s="400" t="s">
        <v>295</v>
      </c>
      <c r="I12" s="402" t="s">
        <v>295</v>
      </c>
      <c r="J12" s="79" t="s">
        <v>106</v>
      </c>
      <c r="K12" s="79" t="s">
        <v>107</v>
      </c>
      <c r="L12" s="79" t="s">
        <v>108</v>
      </c>
      <c r="M12" s="256" t="s">
        <v>109</v>
      </c>
      <c r="N12" s="314" t="s">
        <v>672</v>
      </c>
      <c r="O12" s="256" t="s">
        <v>110</v>
      </c>
      <c r="P12" s="314" t="s">
        <v>671</v>
      </c>
      <c r="Q12" s="314" t="s">
        <v>673</v>
      </c>
      <c r="R12" s="315">
        <v>2.9999999999999997E-4</v>
      </c>
      <c r="S12" s="257" t="s">
        <v>1005</v>
      </c>
      <c r="T12" s="264" t="s">
        <v>94</v>
      </c>
    </row>
    <row r="13" spans="1:22" ht="19.5" customHeight="1" x14ac:dyDescent="0.3">
      <c r="A13" s="67"/>
      <c r="B13" s="381"/>
      <c r="C13" s="383"/>
      <c r="D13" s="388"/>
      <c r="E13" s="375"/>
      <c r="F13" s="377"/>
      <c r="G13" s="379"/>
      <c r="H13" s="401"/>
      <c r="I13" s="403"/>
      <c r="J13" s="73" t="s">
        <v>111</v>
      </c>
      <c r="K13" s="73" t="s">
        <v>112</v>
      </c>
      <c r="L13" s="73" t="s">
        <v>113</v>
      </c>
      <c r="M13" s="258" t="s">
        <v>114</v>
      </c>
      <c r="N13" s="316" t="s">
        <v>675</v>
      </c>
      <c r="O13" s="258" t="s">
        <v>115</v>
      </c>
      <c r="P13" s="316" t="s">
        <v>674</v>
      </c>
      <c r="Q13" s="316" t="s">
        <v>136</v>
      </c>
      <c r="R13" s="317">
        <v>9.4999999999999998E-3</v>
      </c>
      <c r="S13" s="259" t="s">
        <v>1006</v>
      </c>
      <c r="T13" s="265" t="s">
        <v>94</v>
      </c>
    </row>
    <row r="14" spans="1:22" ht="19.5" customHeight="1" x14ac:dyDescent="0.3">
      <c r="A14" s="67"/>
      <c r="B14" s="274">
        <v>7</v>
      </c>
      <c r="C14" s="264" t="s">
        <v>117</v>
      </c>
      <c r="D14" s="261" t="s">
        <v>118</v>
      </c>
      <c r="E14" s="252" t="s">
        <v>119</v>
      </c>
      <c r="F14" s="322" t="s">
        <v>120</v>
      </c>
      <c r="G14" s="287" t="s">
        <v>121</v>
      </c>
      <c r="H14" s="359" t="s">
        <v>295</v>
      </c>
      <c r="I14" s="362" t="s">
        <v>295</v>
      </c>
      <c r="J14" s="67" t="s">
        <v>122</v>
      </c>
      <c r="K14" s="67" t="s">
        <v>123</v>
      </c>
      <c r="L14" s="67" t="s">
        <v>124</v>
      </c>
      <c r="M14" s="98" t="s">
        <v>125</v>
      </c>
      <c r="N14" s="312">
        <v>1</v>
      </c>
      <c r="O14" s="98" t="s">
        <v>126</v>
      </c>
      <c r="P14" s="312" t="s">
        <v>676</v>
      </c>
      <c r="Q14" s="312" t="s">
        <v>551</v>
      </c>
      <c r="R14" s="313" t="s">
        <v>38</v>
      </c>
      <c r="S14" s="115" t="s">
        <v>1007</v>
      </c>
      <c r="T14" s="116" t="s">
        <v>40</v>
      </c>
    </row>
    <row r="15" spans="1:22" ht="19.5" customHeight="1" x14ac:dyDescent="0.3">
      <c r="A15" s="67"/>
      <c r="B15" s="273">
        <v>8</v>
      </c>
      <c r="C15" s="263" t="s">
        <v>127</v>
      </c>
      <c r="D15" s="260" t="s">
        <v>128</v>
      </c>
      <c r="E15" s="260" t="s">
        <v>129</v>
      </c>
      <c r="F15" s="323" t="s">
        <v>130</v>
      </c>
      <c r="G15" s="288" t="s">
        <v>131</v>
      </c>
      <c r="H15" s="358" t="s">
        <v>295</v>
      </c>
      <c r="I15" s="363" t="s">
        <v>295</v>
      </c>
      <c r="J15" s="253" t="s">
        <v>132</v>
      </c>
      <c r="K15" s="253" t="s">
        <v>132</v>
      </c>
      <c r="L15" s="253" t="s">
        <v>133</v>
      </c>
      <c r="M15" s="254" t="s">
        <v>134</v>
      </c>
      <c r="N15" s="310">
        <v>1</v>
      </c>
      <c r="O15" s="254" t="s">
        <v>135</v>
      </c>
      <c r="P15" s="310" t="s">
        <v>677</v>
      </c>
      <c r="Q15" s="310" t="s">
        <v>678</v>
      </c>
      <c r="R15" s="311">
        <v>8.9800000000000005E-2</v>
      </c>
      <c r="S15" s="255" t="s">
        <v>137</v>
      </c>
      <c r="T15" s="263" t="s">
        <v>40</v>
      </c>
    </row>
    <row r="16" spans="1:22" ht="19.5" customHeight="1" x14ac:dyDescent="0.3">
      <c r="A16" s="67"/>
      <c r="B16" s="274">
        <v>9</v>
      </c>
      <c r="C16" s="265" t="s">
        <v>138</v>
      </c>
      <c r="D16" s="262" t="s">
        <v>139</v>
      </c>
      <c r="E16" s="252" t="s">
        <v>140</v>
      </c>
      <c r="F16" s="252" t="s">
        <v>141</v>
      </c>
      <c r="G16" s="287" t="s">
        <v>32</v>
      </c>
      <c r="H16" s="360" t="s">
        <v>295</v>
      </c>
      <c r="I16" s="362" t="s">
        <v>295</v>
      </c>
      <c r="J16" s="67" t="s">
        <v>142</v>
      </c>
      <c r="K16" s="67" t="s">
        <v>143</v>
      </c>
      <c r="L16" s="67" t="s">
        <v>144</v>
      </c>
      <c r="M16" s="98" t="s">
        <v>145</v>
      </c>
      <c r="N16" s="312">
        <v>1</v>
      </c>
      <c r="O16" s="98" t="s">
        <v>146</v>
      </c>
      <c r="P16" s="312" t="s">
        <v>679</v>
      </c>
      <c r="Q16" s="312" t="s">
        <v>657</v>
      </c>
      <c r="R16" s="313">
        <v>0.83420000000000005</v>
      </c>
      <c r="S16" s="115" t="s">
        <v>1008</v>
      </c>
      <c r="T16" s="116" t="s">
        <v>40</v>
      </c>
    </row>
    <row r="17" spans="1:20" ht="19.5" customHeight="1" x14ac:dyDescent="0.3">
      <c r="A17" s="67"/>
      <c r="B17" s="380">
        <v>10</v>
      </c>
      <c r="C17" s="382" t="s">
        <v>147</v>
      </c>
      <c r="D17" s="387" t="s">
        <v>148</v>
      </c>
      <c r="E17" s="374" t="s">
        <v>149</v>
      </c>
      <c r="F17" s="374" t="s">
        <v>150</v>
      </c>
      <c r="G17" s="378" t="s">
        <v>32</v>
      </c>
      <c r="H17" s="400" t="s">
        <v>295</v>
      </c>
      <c r="I17" s="402" t="s">
        <v>295</v>
      </c>
      <c r="J17" s="79" t="s">
        <v>151</v>
      </c>
      <c r="K17" s="79" t="s">
        <v>152</v>
      </c>
      <c r="L17" s="79" t="s">
        <v>153</v>
      </c>
      <c r="M17" s="256" t="s">
        <v>154</v>
      </c>
      <c r="N17" s="314">
        <v>1</v>
      </c>
      <c r="O17" s="256" t="s">
        <v>155</v>
      </c>
      <c r="P17" s="314" t="s">
        <v>680</v>
      </c>
      <c r="Q17" s="314" t="s">
        <v>681</v>
      </c>
      <c r="R17" s="315">
        <v>3.3999999999999998E-3</v>
      </c>
      <c r="S17" s="257" t="s">
        <v>1009</v>
      </c>
      <c r="T17" s="264" t="s">
        <v>94</v>
      </c>
    </row>
    <row r="18" spans="1:20" ht="19.5" customHeight="1" x14ac:dyDescent="0.3">
      <c r="A18" s="67"/>
      <c r="B18" s="389"/>
      <c r="C18" s="390"/>
      <c r="D18" s="391"/>
      <c r="E18" s="384"/>
      <c r="F18" s="384"/>
      <c r="G18" s="386"/>
      <c r="H18" s="405"/>
      <c r="I18" s="404"/>
      <c r="J18" s="67" t="s">
        <v>156</v>
      </c>
      <c r="K18" s="67" t="s">
        <v>157</v>
      </c>
      <c r="L18" s="67" t="s">
        <v>158</v>
      </c>
      <c r="M18" s="98" t="s">
        <v>1193</v>
      </c>
      <c r="N18" s="312" t="s">
        <v>38</v>
      </c>
      <c r="O18" s="98" t="s">
        <v>159</v>
      </c>
      <c r="P18" s="312" t="s">
        <v>682</v>
      </c>
      <c r="Q18" s="312" t="s">
        <v>683</v>
      </c>
      <c r="R18" s="313" t="s">
        <v>38</v>
      </c>
      <c r="S18" s="115" t="s">
        <v>1010</v>
      </c>
      <c r="T18" s="116" t="s">
        <v>94</v>
      </c>
    </row>
    <row r="19" spans="1:20" s="67" customFormat="1" ht="19.5" customHeight="1" x14ac:dyDescent="0.3">
      <c r="B19" s="389"/>
      <c r="C19" s="390"/>
      <c r="D19" s="391"/>
      <c r="E19" s="384"/>
      <c r="F19" s="384"/>
      <c r="G19" s="386"/>
      <c r="H19" s="405"/>
      <c r="I19" s="404"/>
      <c r="J19" s="67" t="s">
        <v>160</v>
      </c>
      <c r="K19" s="67" t="s">
        <v>160</v>
      </c>
      <c r="L19" s="67" t="s">
        <v>158</v>
      </c>
      <c r="M19" s="98" t="s">
        <v>161</v>
      </c>
      <c r="N19" s="318">
        <v>1</v>
      </c>
      <c r="O19" s="98" t="s">
        <v>162</v>
      </c>
      <c r="P19" s="318" t="s">
        <v>684</v>
      </c>
      <c r="Q19" s="318" t="s">
        <v>685</v>
      </c>
      <c r="R19" s="114">
        <v>1</v>
      </c>
      <c r="S19" s="319" t="s">
        <v>163</v>
      </c>
      <c r="T19" s="116" t="s">
        <v>164</v>
      </c>
    </row>
    <row r="20" spans="1:20" s="67" customFormat="1" ht="19.5" customHeight="1" x14ac:dyDescent="0.3">
      <c r="B20" s="381"/>
      <c r="C20" s="383"/>
      <c r="D20" s="388"/>
      <c r="E20" s="375"/>
      <c r="F20" s="375"/>
      <c r="G20" s="379"/>
      <c r="H20" s="401"/>
      <c r="I20" s="403"/>
      <c r="J20" s="73" t="s">
        <v>165</v>
      </c>
      <c r="K20" s="73" t="s">
        <v>165</v>
      </c>
      <c r="L20" s="73" t="s">
        <v>158</v>
      </c>
      <c r="M20" s="258" t="s">
        <v>166</v>
      </c>
      <c r="N20" s="320">
        <v>1</v>
      </c>
      <c r="O20" s="258" t="s">
        <v>167</v>
      </c>
      <c r="P20" s="320" t="s">
        <v>686</v>
      </c>
      <c r="Q20" s="320" t="s">
        <v>235</v>
      </c>
      <c r="R20" s="266">
        <v>2.53E-2</v>
      </c>
      <c r="S20" s="321" t="s">
        <v>168</v>
      </c>
      <c r="T20" s="265" t="s">
        <v>164</v>
      </c>
    </row>
    <row r="21" spans="1:20" ht="19.5" customHeight="1" x14ac:dyDescent="0.3">
      <c r="A21" s="67"/>
      <c r="B21" s="274">
        <v>11</v>
      </c>
      <c r="C21" s="284" t="s">
        <v>169</v>
      </c>
      <c r="D21" s="252" t="s">
        <v>170</v>
      </c>
      <c r="E21" s="252" t="s">
        <v>171</v>
      </c>
      <c r="F21" s="322" t="s">
        <v>172</v>
      </c>
      <c r="G21" s="287" t="s">
        <v>32</v>
      </c>
      <c r="H21" s="359" t="s">
        <v>295</v>
      </c>
      <c r="I21" s="362" t="s">
        <v>295</v>
      </c>
      <c r="J21" s="67" t="s">
        <v>173</v>
      </c>
      <c r="K21" s="67" t="s">
        <v>174</v>
      </c>
      <c r="L21" s="67" t="s">
        <v>175</v>
      </c>
      <c r="M21" s="98" t="s">
        <v>1194</v>
      </c>
      <c r="N21" s="312" t="s">
        <v>38</v>
      </c>
      <c r="O21" s="98" t="s">
        <v>176</v>
      </c>
      <c r="P21" s="312" t="s">
        <v>687</v>
      </c>
      <c r="Q21" s="312" t="s">
        <v>470</v>
      </c>
      <c r="R21" s="313" t="s">
        <v>38</v>
      </c>
      <c r="S21" s="115" t="s">
        <v>1011</v>
      </c>
      <c r="T21" s="116" t="s">
        <v>40</v>
      </c>
    </row>
    <row r="22" spans="1:20" ht="19.5" customHeight="1" x14ac:dyDescent="0.3">
      <c r="A22" s="67"/>
      <c r="B22" s="273">
        <v>12</v>
      </c>
      <c r="C22" s="283" t="s">
        <v>177</v>
      </c>
      <c r="D22" s="260" t="s">
        <v>178</v>
      </c>
      <c r="E22" s="260" t="s">
        <v>179</v>
      </c>
      <c r="F22" s="323" t="s">
        <v>180</v>
      </c>
      <c r="G22" s="288" t="s">
        <v>181</v>
      </c>
      <c r="H22" s="358" t="s">
        <v>295</v>
      </c>
      <c r="I22" s="363" t="s">
        <v>295</v>
      </c>
      <c r="J22" s="253" t="s">
        <v>182</v>
      </c>
      <c r="K22" s="253" t="s">
        <v>183</v>
      </c>
      <c r="L22" s="253" t="s">
        <v>184</v>
      </c>
      <c r="M22" s="254" t="s">
        <v>185</v>
      </c>
      <c r="N22" s="310" t="s">
        <v>689</v>
      </c>
      <c r="O22" s="254" t="s">
        <v>186</v>
      </c>
      <c r="P22" s="310" t="s">
        <v>688</v>
      </c>
      <c r="Q22" s="310" t="s">
        <v>551</v>
      </c>
      <c r="R22" s="311" t="s">
        <v>38</v>
      </c>
      <c r="S22" s="255" t="s">
        <v>1012</v>
      </c>
      <c r="T22" s="263" t="s">
        <v>40</v>
      </c>
    </row>
    <row r="23" spans="1:20" ht="19.5" customHeight="1" x14ac:dyDescent="0.3">
      <c r="A23" s="67"/>
      <c r="B23" s="380">
        <v>13</v>
      </c>
      <c r="C23" s="382" t="s">
        <v>188</v>
      </c>
      <c r="D23" s="387" t="s">
        <v>189</v>
      </c>
      <c r="E23" s="374" t="s">
        <v>190</v>
      </c>
      <c r="F23" s="374" t="s">
        <v>191</v>
      </c>
      <c r="G23" s="378" t="s">
        <v>192</v>
      </c>
      <c r="H23" s="400" t="s">
        <v>295</v>
      </c>
      <c r="I23" s="402" t="s">
        <v>295</v>
      </c>
      <c r="J23" s="67" t="s">
        <v>193</v>
      </c>
      <c r="K23" s="67" t="s">
        <v>194</v>
      </c>
      <c r="L23" s="67" t="s">
        <v>195</v>
      </c>
      <c r="M23" s="98" t="s">
        <v>196</v>
      </c>
      <c r="N23" s="318" t="s">
        <v>691</v>
      </c>
      <c r="O23" s="98" t="s">
        <v>197</v>
      </c>
      <c r="P23" s="318" t="s">
        <v>690</v>
      </c>
      <c r="Q23" s="318" t="s">
        <v>244</v>
      </c>
      <c r="R23" s="114" t="s">
        <v>38</v>
      </c>
      <c r="S23" s="115" t="s">
        <v>1013</v>
      </c>
      <c r="T23" s="116" t="s">
        <v>94</v>
      </c>
    </row>
    <row r="24" spans="1:20" ht="19.5" customHeight="1" x14ac:dyDescent="0.3">
      <c r="A24" s="67"/>
      <c r="B24" s="381"/>
      <c r="C24" s="383"/>
      <c r="D24" s="388"/>
      <c r="E24" s="375"/>
      <c r="F24" s="375"/>
      <c r="G24" s="379"/>
      <c r="H24" s="401"/>
      <c r="I24" s="403"/>
      <c r="J24" s="67" t="s">
        <v>199</v>
      </c>
      <c r="K24" s="67" t="s">
        <v>200</v>
      </c>
      <c r="L24" s="67" t="s">
        <v>201</v>
      </c>
      <c r="M24" s="98" t="s">
        <v>202</v>
      </c>
      <c r="N24" s="318">
        <v>1</v>
      </c>
      <c r="O24" s="98" t="s">
        <v>203</v>
      </c>
      <c r="P24" s="318" t="s">
        <v>692</v>
      </c>
      <c r="Q24" s="318" t="s">
        <v>577</v>
      </c>
      <c r="R24" s="114">
        <v>7.4999999999999997E-2</v>
      </c>
      <c r="S24" s="115" t="s">
        <v>1014</v>
      </c>
      <c r="T24" s="116" t="s">
        <v>94</v>
      </c>
    </row>
    <row r="25" spans="1:20" ht="19.5" customHeight="1" x14ac:dyDescent="0.3">
      <c r="A25" s="67"/>
      <c r="B25" s="380">
        <v>14</v>
      </c>
      <c r="C25" s="382" t="s">
        <v>205</v>
      </c>
      <c r="D25" s="387" t="s">
        <v>206</v>
      </c>
      <c r="E25" s="374" t="s">
        <v>207</v>
      </c>
      <c r="F25" s="376" t="s">
        <v>208</v>
      </c>
      <c r="G25" s="378" t="s">
        <v>32</v>
      </c>
      <c r="H25" s="387" t="s">
        <v>1088</v>
      </c>
      <c r="I25" s="402"/>
      <c r="J25" s="79" t="s">
        <v>209</v>
      </c>
      <c r="K25" s="79" t="s">
        <v>210</v>
      </c>
      <c r="L25" s="79" t="s">
        <v>211</v>
      </c>
      <c r="M25" s="256" t="s">
        <v>1195</v>
      </c>
      <c r="N25" s="314" t="s">
        <v>38</v>
      </c>
      <c r="O25" s="256" t="s">
        <v>212</v>
      </c>
      <c r="P25" s="314" t="s">
        <v>693</v>
      </c>
      <c r="Q25" s="314" t="s">
        <v>452</v>
      </c>
      <c r="R25" s="315" t="s">
        <v>38</v>
      </c>
      <c r="S25" s="257" t="s">
        <v>1015</v>
      </c>
      <c r="T25" s="264" t="s">
        <v>40</v>
      </c>
    </row>
    <row r="26" spans="1:20" ht="19.5" customHeight="1" x14ac:dyDescent="0.3">
      <c r="A26" s="67"/>
      <c r="B26" s="389"/>
      <c r="C26" s="390"/>
      <c r="D26" s="391"/>
      <c r="E26" s="384"/>
      <c r="F26" s="385"/>
      <c r="G26" s="386"/>
      <c r="H26" s="391"/>
      <c r="I26" s="404"/>
      <c r="J26" s="67" t="s">
        <v>214</v>
      </c>
      <c r="K26" s="67" t="s">
        <v>214</v>
      </c>
      <c r="L26" s="67" t="s">
        <v>211</v>
      </c>
      <c r="M26" s="98" t="s">
        <v>215</v>
      </c>
      <c r="N26" s="312" t="s">
        <v>38</v>
      </c>
      <c r="O26" s="98" t="s">
        <v>216</v>
      </c>
      <c r="P26" s="312" t="s">
        <v>694</v>
      </c>
      <c r="Q26" s="312" t="s">
        <v>695</v>
      </c>
      <c r="R26" s="313" t="s">
        <v>38</v>
      </c>
      <c r="S26" s="115" t="s">
        <v>221</v>
      </c>
      <c r="T26" s="116" t="s">
        <v>217</v>
      </c>
    </row>
    <row r="27" spans="1:20" ht="19.5" customHeight="1" x14ac:dyDescent="0.3">
      <c r="A27" s="67"/>
      <c r="B27" s="381"/>
      <c r="C27" s="383"/>
      <c r="D27" s="388"/>
      <c r="E27" s="375"/>
      <c r="F27" s="377"/>
      <c r="G27" s="379"/>
      <c r="H27" s="388"/>
      <c r="I27" s="403"/>
      <c r="J27" s="73" t="s">
        <v>218</v>
      </c>
      <c r="K27" s="73" t="s">
        <v>218</v>
      </c>
      <c r="L27" s="73" t="s">
        <v>211</v>
      </c>
      <c r="M27" s="258" t="s">
        <v>219</v>
      </c>
      <c r="N27" s="316" t="s">
        <v>38</v>
      </c>
      <c r="O27" s="258" t="s">
        <v>220</v>
      </c>
      <c r="P27" s="316" t="s">
        <v>696</v>
      </c>
      <c r="Q27" s="316" t="s">
        <v>697</v>
      </c>
      <c r="R27" s="317" t="s">
        <v>38</v>
      </c>
      <c r="S27" s="366" t="s">
        <v>213</v>
      </c>
      <c r="T27" s="265" t="s">
        <v>217</v>
      </c>
    </row>
    <row r="28" spans="1:20" ht="19.5" customHeight="1" x14ac:dyDescent="0.3">
      <c r="A28" s="67"/>
      <c r="B28" s="380">
        <v>15</v>
      </c>
      <c r="C28" s="382" t="s">
        <v>222</v>
      </c>
      <c r="D28" s="387" t="s">
        <v>223</v>
      </c>
      <c r="E28" s="374" t="s">
        <v>224</v>
      </c>
      <c r="F28" s="376" t="s">
        <v>225</v>
      </c>
      <c r="G28" s="378" t="s">
        <v>32</v>
      </c>
      <c r="H28" s="400" t="s">
        <v>295</v>
      </c>
      <c r="I28" s="402" t="s">
        <v>295</v>
      </c>
      <c r="J28" s="67" t="s">
        <v>226</v>
      </c>
      <c r="K28" s="67" t="s">
        <v>227</v>
      </c>
      <c r="L28" s="67" t="s">
        <v>228</v>
      </c>
      <c r="M28" s="98" t="s">
        <v>1196</v>
      </c>
      <c r="N28" s="312" t="s">
        <v>38</v>
      </c>
      <c r="O28" s="98" t="s">
        <v>229</v>
      </c>
      <c r="P28" s="312" t="s">
        <v>698</v>
      </c>
      <c r="Q28" s="312" t="s">
        <v>273</v>
      </c>
      <c r="R28" s="313" t="s">
        <v>38</v>
      </c>
      <c r="S28" s="115" t="s">
        <v>1016</v>
      </c>
      <c r="T28" s="116" t="s">
        <v>94</v>
      </c>
    </row>
    <row r="29" spans="1:20" ht="19.5" customHeight="1" x14ac:dyDescent="0.3">
      <c r="A29" s="67"/>
      <c r="B29" s="381"/>
      <c r="C29" s="383"/>
      <c r="D29" s="388"/>
      <c r="E29" s="375"/>
      <c r="F29" s="377"/>
      <c r="G29" s="379"/>
      <c r="H29" s="401"/>
      <c r="I29" s="403"/>
      <c r="J29" s="67" t="s">
        <v>230</v>
      </c>
      <c r="K29" s="67" t="s">
        <v>231</v>
      </c>
      <c r="L29" s="67" t="s">
        <v>232</v>
      </c>
      <c r="M29" s="98" t="s">
        <v>233</v>
      </c>
      <c r="N29" s="312">
        <v>1</v>
      </c>
      <c r="O29" s="98" t="s">
        <v>234</v>
      </c>
      <c r="P29" s="312" t="s">
        <v>699</v>
      </c>
      <c r="Q29" s="312" t="s">
        <v>423</v>
      </c>
      <c r="R29" s="313">
        <v>1.4E-3</v>
      </c>
      <c r="S29" s="115" t="s">
        <v>1017</v>
      </c>
      <c r="T29" s="116" t="s">
        <v>94</v>
      </c>
    </row>
    <row r="30" spans="1:20" ht="19.5" customHeight="1" x14ac:dyDescent="0.3">
      <c r="A30" s="67"/>
      <c r="B30" s="380">
        <v>16</v>
      </c>
      <c r="C30" s="382" t="s">
        <v>236</v>
      </c>
      <c r="D30" s="387" t="s">
        <v>237</v>
      </c>
      <c r="E30" s="374" t="s">
        <v>238</v>
      </c>
      <c r="F30" s="376" t="s">
        <v>239</v>
      </c>
      <c r="G30" s="378" t="s">
        <v>32</v>
      </c>
      <c r="H30" s="400" t="s">
        <v>295</v>
      </c>
      <c r="I30" s="402" t="s">
        <v>295</v>
      </c>
      <c r="J30" s="79" t="s">
        <v>240</v>
      </c>
      <c r="K30" s="79" t="s">
        <v>241</v>
      </c>
      <c r="L30" s="79" t="s">
        <v>242</v>
      </c>
      <c r="M30" s="256" t="s">
        <v>1197</v>
      </c>
      <c r="N30" s="314" t="s">
        <v>38</v>
      </c>
      <c r="O30" s="256" t="s">
        <v>243</v>
      </c>
      <c r="P30" s="314" t="s">
        <v>700</v>
      </c>
      <c r="Q30" s="314" t="s">
        <v>701</v>
      </c>
      <c r="R30" s="315" t="s">
        <v>38</v>
      </c>
      <c r="S30" s="257" t="s">
        <v>1018</v>
      </c>
      <c r="T30" s="264" t="s">
        <v>94</v>
      </c>
    </row>
    <row r="31" spans="1:20" ht="19.5" customHeight="1" x14ac:dyDescent="0.3">
      <c r="A31" s="67"/>
      <c r="B31" s="381"/>
      <c r="C31" s="383"/>
      <c r="D31" s="388"/>
      <c r="E31" s="375"/>
      <c r="F31" s="377"/>
      <c r="G31" s="379"/>
      <c r="H31" s="401"/>
      <c r="I31" s="403"/>
      <c r="J31" s="73" t="s">
        <v>245</v>
      </c>
      <c r="K31" s="73" t="s">
        <v>246</v>
      </c>
      <c r="L31" s="73" t="s">
        <v>247</v>
      </c>
      <c r="M31" s="258" t="s">
        <v>248</v>
      </c>
      <c r="N31" s="316">
        <v>1</v>
      </c>
      <c r="O31" s="258" t="s">
        <v>249</v>
      </c>
      <c r="P31" s="316" t="s">
        <v>702</v>
      </c>
      <c r="Q31" s="316" t="s">
        <v>250</v>
      </c>
      <c r="R31" s="317">
        <v>1</v>
      </c>
      <c r="S31" s="259" t="s">
        <v>1019</v>
      </c>
      <c r="T31" s="265" t="s">
        <v>94</v>
      </c>
    </row>
    <row r="32" spans="1:20" ht="19.5" customHeight="1" x14ac:dyDescent="0.3">
      <c r="A32" s="67"/>
      <c r="B32" s="274">
        <v>17</v>
      </c>
      <c r="C32" s="282" t="s">
        <v>251</v>
      </c>
      <c r="D32" s="252" t="s">
        <v>252</v>
      </c>
      <c r="E32" s="252" t="s">
        <v>253</v>
      </c>
      <c r="F32" s="322" t="s">
        <v>254</v>
      </c>
      <c r="G32" s="287" t="s">
        <v>32</v>
      </c>
      <c r="H32" s="358" t="s">
        <v>295</v>
      </c>
      <c r="I32" s="362" t="s">
        <v>295</v>
      </c>
      <c r="J32" s="67" t="s">
        <v>255</v>
      </c>
      <c r="K32" s="67" t="s">
        <v>256</v>
      </c>
      <c r="L32" s="67" t="s">
        <v>257</v>
      </c>
      <c r="M32" s="98" t="s">
        <v>258</v>
      </c>
      <c r="N32" s="312">
        <v>1</v>
      </c>
      <c r="O32" s="98" t="s">
        <v>259</v>
      </c>
      <c r="P32" s="312" t="s">
        <v>703</v>
      </c>
      <c r="Q32" s="312" t="s">
        <v>704</v>
      </c>
      <c r="R32" s="313">
        <v>0.18129999999999999</v>
      </c>
      <c r="S32" s="115" t="s">
        <v>1020</v>
      </c>
      <c r="T32" s="116" t="s">
        <v>40</v>
      </c>
    </row>
    <row r="33" spans="1:20" ht="19.5" customHeight="1" x14ac:dyDescent="0.3">
      <c r="A33" s="67"/>
      <c r="B33" s="380">
        <v>18</v>
      </c>
      <c r="C33" s="382" t="s">
        <v>260</v>
      </c>
      <c r="D33" s="387" t="s">
        <v>261</v>
      </c>
      <c r="E33" s="374" t="s">
        <v>262</v>
      </c>
      <c r="F33" s="376" t="s">
        <v>263</v>
      </c>
      <c r="G33" s="378" t="s">
        <v>32</v>
      </c>
      <c r="H33" s="400" t="s">
        <v>295</v>
      </c>
      <c r="I33" s="402" t="s">
        <v>295</v>
      </c>
      <c r="J33" s="79" t="s">
        <v>264</v>
      </c>
      <c r="K33" s="79" t="s">
        <v>265</v>
      </c>
      <c r="L33" s="79" t="s">
        <v>266</v>
      </c>
      <c r="M33" s="256" t="s">
        <v>1198</v>
      </c>
      <c r="N33" s="314" t="s">
        <v>38</v>
      </c>
      <c r="O33" s="256" t="s">
        <v>267</v>
      </c>
      <c r="P33" s="314" t="s">
        <v>705</v>
      </c>
      <c r="Q33" s="314" t="s">
        <v>83</v>
      </c>
      <c r="R33" s="315" t="s">
        <v>38</v>
      </c>
      <c r="S33" s="257" t="s">
        <v>1021</v>
      </c>
      <c r="T33" s="264" t="s">
        <v>94</v>
      </c>
    </row>
    <row r="34" spans="1:20" ht="19.5" customHeight="1" x14ac:dyDescent="0.3">
      <c r="A34" s="67"/>
      <c r="B34" s="381"/>
      <c r="C34" s="383"/>
      <c r="D34" s="388"/>
      <c r="E34" s="375"/>
      <c r="F34" s="377"/>
      <c r="G34" s="379"/>
      <c r="H34" s="401"/>
      <c r="I34" s="403"/>
      <c r="J34" s="73" t="s">
        <v>268</v>
      </c>
      <c r="K34" s="73" t="s">
        <v>269</v>
      </c>
      <c r="L34" s="73" t="s">
        <v>270</v>
      </c>
      <c r="M34" s="258" t="s">
        <v>271</v>
      </c>
      <c r="N34" s="316" t="s">
        <v>38</v>
      </c>
      <c r="O34" s="258" t="s">
        <v>272</v>
      </c>
      <c r="P34" s="316" t="s">
        <v>706</v>
      </c>
      <c r="Q34" s="316" t="s">
        <v>707</v>
      </c>
      <c r="R34" s="317" t="s">
        <v>38</v>
      </c>
      <c r="S34" s="259" t="s">
        <v>1022</v>
      </c>
      <c r="T34" s="265" t="s">
        <v>94</v>
      </c>
    </row>
    <row r="35" spans="1:20" ht="19.5" customHeight="1" x14ac:dyDescent="0.3">
      <c r="A35" s="67"/>
      <c r="B35" s="274">
        <v>19</v>
      </c>
      <c r="C35" s="282" t="s">
        <v>274</v>
      </c>
      <c r="D35" s="252" t="s">
        <v>275</v>
      </c>
      <c r="E35" s="252" t="s">
        <v>276</v>
      </c>
      <c r="F35" s="322" t="s">
        <v>277</v>
      </c>
      <c r="G35" s="287" t="s">
        <v>45</v>
      </c>
      <c r="H35" s="359" t="s">
        <v>295</v>
      </c>
      <c r="I35" s="362" t="s">
        <v>295</v>
      </c>
      <c r="J35" s="67" t="s">
        <v>278</v>
      </c>
      <c r="K35" s="67" t="s">
        <v>279</v>
      </c>
      <c r="L35" s="67" t="s">
        <v>280</v>
      </c>
      <c r="M35" s="98" t="s">
        <v>281</v>
      </c>
      <c r="N35" s="312">
        <v>1</v>
      </c>
      <c r="O35" s="98" t="s">
        <v>282</v>
      </c>
      <c r="P35" s="312" t="s">
        <v>708</v>
      </c>
      <c r="Q35" s="312" t="s">
        <v>308</v>
      </c>
      <c r="R35" s="313">
        <v>0.99980000000000002</v>
      </c>
      <c r="S35" s="115" t="s">
        <v>1023</v>
      </c>
      <c r="T35" s="116" t="s">
        <v>40</v>
      </c>
    </row>
    <row r="36" spans="1:20" ht="19.5" customHeight="1" x14ac:dyDescent="0.3">
      <c r="A36" s="67"/>
      <c r="B36" s="273">
        <v>20</v>
      </c>
      <c r="C36" s="283" t="s">
        <v>284</v>
      </c>
      <c r="D36" s="260" t="s">
        <v>285</v>
      </c>
      <c r="E36" s="260" t="s">
        <v>286</v>
      </c>
      <c r="F36" s="323" t="s">
        <v>287</v>
      </c>
      <c r="G36" s="288" t="s">
        <v>288</v>
      </c>
      <c r="H36" s="358" t="s">
        <v>295</v>
      </c>
      <c r="I36" s="363" t="s">
        <v>295</v>
      </c>
      <c r="J36" s="253" t="s">
        <v>289</v>
      </c>
      <c r="K36" s="253" t="s">
        <v>290</v>
      </c>
      <c r="L36" s="253" t="s">
        <v>291</v>
      </c>
      <c r="M36" s="254" t="s">
        <v>1199</v>
      </c>
      <c r="N36" s="310" t="s">
        <v>38</v>
      </c>
      <c r="O36" s="254" t="s">
        <v>292</v>
      </c>
      <c r="P36" s="310" t="s">
        <v>709</v>
      </c>
      <c r="Q36" s="310" t="s">
        <v>273</v>
      </c>
      <c r="R36" s="311" t="s">
        <v>38</v>
      </c>
      <c r="S36" s="255" t="s">
        <v>293</v>
      </c>
      <c r="T36" s="263" t="s">
        <v>40</v>
      </c>
    </row>
    <row r="37" spans="1:20" ht="19.5" customHeight="1" x14ac:dyDescent="0.3">
      <c r="A37" s="67"/>
      <c r="B37" s="274">
        <v>21</v>
      </c>
      <c r="C37" s="282" t="s">
        <v>41</v>
      </c>
      <c r="D37" s="252" t="s">
        <v>42</v>
      </c>
      <c r="E37" s="252" t="s">
        <v>43</v>
      </c>
      <c r="F37" s="322" t="s">
        <v>44</v>
      </c>
      <c r="G37" s="287" t="s">
        <v>45</v>
      </c>
      <c r="H37" s="360" t="s">
        <v>295</v>
      </c>
      <c r="I37" s="362" t="s">
        <v>295</v>
      </c>
      <c r="J37" s="67" t="s">
        <v>46</v>
      </c>
      <c r="K37" s="67" t="s">
        <v>47</v>
      </c>
      <c r="L37" s="67" t="s">
        <v>48</v>
      </c>
      <c r="M37" s="98" t="s">
        <v>1191</v>
      </c>
      <c r="N37" s="312" t="s">
        <v>38</v>
      </c>
      <c r="O37" s="98" t="s">
        <v>667</v>
      </c>
      <c r="P37" s="312" t="s">
        <v>49</v>
      </c>
      <c r="Q37" s="312" t="s">
        <v>50</v>
      </c>
      <c r="R37" s="313" t="s">
        <v>38</v>
      </c>
      <c r="S37" s="252" t="s">
        <v>999</v>
      </c>
      <c r="T37" s="116" t="s">
        <v>40</v>
      </c>
    </row>
    <row r="38" spans="1:20" ht="19.5" customHeight="1" x14ac:dyDescent="0.3">
      <c r="A38" s="67"/>
      <c r="B38" s="270">
        <v>22</v>
      </c>
      <c r="C38" s="382" t="s">
        <v>294</v>
      </c>
      <c r="D38" s="387" t="s">
        <v>295</v>
      </c>
      <c r="E38" s="374" t="s">
        <v>296</v>
      </c>
      <c r="F38" s="376" t="s">
        <v>297</v>
      </c>
      <c r="G38" s="378" t="s">
        <v>288</v>
      </c>
      <c r="H38" s="400" t="s">
        <v>295</v>
      </c>
      <c r="I38" s="402" t="s">
        <v>295</v>
      </c>
      <c r="J38" s="79" t="s">
        <v>298</v>
      </c>
      <c r="K38" s="79" t="s">
        <v>299</v>
      </c>
      <c r="L38" s="79" t="s">
        <v>300</v>
      </c>
      <c r="M38" s="256" t="s">
        <v>301</v>
      </c>
      <c r="N38" s="314">
        <v>1</v>
      </c>
      <c r="O38" s="256" t="s">
        <v>302</v>
      </c>
      <c r="P38" s="314" t="s">
        <v>710</v>
      </c>
      <c r="Q38" s="314" t="s">
        <v>711</v>
      </c>
      <c r="R38" s="315">
        <v>1</v>
      </c>
      <c r="S38" s="257" t="s">
        <v>1024</v>
      </c>
      <c r="T38" s="264" t="s">
        <v>94</v>
      </c>
    </row>
    <row r="39" spans="1:20" ht="19.5" customHeight="1" x14ac:dyDescent="0.3">
      <c r="A39" s="67"/>
      <c r="B39" s="271"/>
      <c r="C39" s="383"/>
      <c r="D39" s="388"/>
      <c r="E39" s="375"/>
      <c r="F39" s="377"/>
      <c r="G39" s="379"/>
      <c r="H39" s="401"/>
      <c r="I39" s="403"/>
      <c r="J39" s="73" t="s">
        <v>303</v>
      </c>
      <c r="K39" s="73" t="s">
        <v>304</v>
      </c>
      <c r="L39" s="73" t="s">
        <v>305</v>
      </c>
      <c r="M39" s="258" t="s">
        <v>306</v>
      </c>
      <c r="N39" s="316">
        <v>1</v>
      </c>
      <c r="O39" s="258" t="s">
        <v>307</v>
      </c>
      <c r="P39" s="316" t="s">
        <v>712</v>
      </c>
      <c r="Q39" s="316" t="s">
        <v>283</v>
      </c>
      <c r="R39" s="317">
        <v>1</v>
      </c>
      <c r="S39" s="259" t="s">
        <v>1025</v>
      </c>
      <c r="T39" s="265" t="s">
        <v>94</v>
      </c>
    </row>
    <row r="40" spans="1:20" ht="19.5" customHeight="1" x14ac:dyDescent="0.3">
      <c r="A40" s="67"/>
      <c r="B40" s="380">
        <v>23</v>
      </c>
      <c r="C40" s="382" t="s">
        <v>309</v>
      </c>
      <c r="D40" s="387" t="s">
        <v>310</v>
      </c>
      <c r="E40" s="374" t="s">
        <v>311</v>
      </c>
      <c r="F40" s="376" t="s">
        <v>312</v>
      </c>
      <c r="G40" s="378" t="s">
        <v>313</v>
      </c>
      <c r="H40" s="400" t="s">
        <v>295</v>
      </c>
      <c r="I40" s="402" t="s">
        <v>295</v>
      </c>
      <c r="J40" s="67" t="s">
        <v>314</v>
      </c>
      <c r="K40" s="67" t="s">
        <v>314</v>
      </c>
      <c r="L40" s="67" t="s">
        <v>315</v>
      </c>
      <c r="M40" s="98" t="s">
        <v>316</v>
      </c>
      <c r="N40" s="312">
        <v>1</v>
      </c>
      <c r="O40" s="98" t="s">
        <v>317</v>
      </c>
      <c r="P40" s="312" t="s">
        <v>686</v>
      </c>
      <c r="Q40" s="312" t="s">
        <v>713</v>
      </c>
      <c r="R40" s="313">
        <v>1</v>
      </c>
      <c r="S40" s="115" t="s">
        <v>318</v>
      </c>
      <c r="T40" s="116" t="s">
        <v>94</v>
      </c>
    </row>
    <row r="41" spans="1:20" ht="19.5" customHeight="1" x14ac:dyDescent="0.3">
      <c r="A41" s="67"/>
      <c r="B41" s="381"/>
      <c r="C41" s="383"/>
      <c r="D41" s="388"/>
      <c r="E41" s="375"/>
      <c r="F41" s="377"/>
      <c r="G41" s="379"/>
      <c r="H41" s="401"/>
      <c r="I41" s="403"/>
      <c r="J41" s="67" t="s">
        <v>319</v>
      </c>
      <c r="K41" s="67" t="s">
        <v>319</v>
      </c>
      <c r="L41" s="67" t="s">
        <v>315</v>
      </c>
      <c r="M41" s="98" t="s">
        <v>320</v>
      </c>
      <c r="N41" s="312" t="s">
        <v>715</v>
      </c>
      <c r="O41" s="98" t="s">
        <v>321</v>
      </c>
      <c r="P41" s="312" t="s">
        <v>714</v>
      </c>
      <c r="Q41" s="312" t="s">
        <v>704</v>
      </c>
      <c r="R41" s="313">
        <v>0.1318</v>
      </c>
      <c r="S41" s="115" t="s">
        <v>322</v>
      </c>
      <c r="T41" s="116" t="s">
        <v>94</v>
      </c>
    </row>
    <row r="42" spans="1:20" ht="19.5" customHeight="1" x14ac:dyDescent="0.3">
      <c r="A42" s="67"/>
      <c r="B42" s="273">
        <v>24</v>
      </c>
      <c r="C42" s="263" t="s">
        <v>323</v>
      </c>
      <c r="D42" s="260" t="s">
        <v>324</v>
      </c>
      <c r="E42" s="260" t="s">
        <v>325</v>
      </c>
      <c r="F42" s="323" t="s">
        <v>326</v>
      </c>
      <c r="G42" s="288" t="s">
        <v>327</v>
      </c>
      <c r="H42" s="358" t="s">
        <v>295</v>
      </c>
      <c r="I42" s="363" t="s">
        <v>295</v>
      </c>
      <c r="J42" s="253" t="s">
        <v>328</v>
      </c>
      <c r="K42" s="253" t="s">
        <v>329</v>
      </c>
      <c r="L42" s="253" t="s">
        <v>330</v>
      </c>
      <c r="M42" s="254" t="s">
        <v>331</v>
      </c>
      <c r="N42" s="310">
        <v>1</v>
      </c>
      <c r="O42" s="254" t="s">
        <v>332</v>
      </c>
      <c r="P42" s="310" t="s">
        <v>716</v>
      </c>
      <c r="Q42" s="310" t="s">
        <v>504</v>
      </c>
      <c r="R42" s="311">
        <v>0.98399999999999999</v>
      </c>
      <c r="S42" s="255" t="s">
        <v>1026</v>
      </c>
      <c r="T42" s="263" t="s">
        <v>40</v>
      </c>
    </row>
    <row r="43" spans="1:20" ht="19.5" customHeight="1" x14ac:dyDescent="0.3">
      <c r="A43" s="67"/>
      <c r="B43" s="274">
        <v>25</v>
      </c>
      <c r="C43" s="116" t="s">
        <v>334</v>
      </c>
      <c r="D43" s="252" t="s">
        <v>335</v>
      </c>
      <c r="E43" s="252" t="s">
        <v>336</v>
      </c>
      <c r="F43" s="322" t="s">
        <v>337</v>
      </c>
      <c r="G43" s="287" t="s">
        <v>32</v>
      </c>
      <c r="H43" s="360" t="s">
        <v>295</v>
      </c>
      <c r="I43" s="362" t="s">
        <v>295</v>
      </c>
      <c r="J43" s="67" t="s">
        <v>338</v>
      </c>
      <c r="K43" s="67" t="s">
        <v>339</v>
      </c>
      <c r="L43" s="67" t="s">
        <v>340</v>
      </c>
      <c r="M43" s="98" t="s">
        <v>1200</v>
      </c>
      <c r="N43" s="312" t="s">
        <v>204</v>
      </c>
      <c r="O43" s="98" t="s">
        <v>341</v>
      </c>
      <c r="P43" s="312" t="s">
        <v>717</v>
      </c>
      <c r="Q43" s="312" t="s">
        <v>718</v>
      </c>
      <c r="R43" s="313" t="s">
        <v>38</v>
      </c>
      <c r="S43" s="115" t="s">
        <v>1027</v>
      </c>
      <c r="T43" s="116" t="s">
        <v>40</v>
      </c>
    </row>
    <row r="44" spans="1:20" ht="19.5" customHeight="1" x14ac:dyDescent="0.3">
      <c r="A44" s="67"/>
      <c r="B44" s="380">
        <v>26</v>
      </c>
      <c r="C44" s="382" t="s">
        <v>342</v>
      </c>
      <c r="D44" s="387" t="s">
        <v>343</v>
      </c>
      <c r="E44" s="374" t="s">
        <v>344</v>
      </c>
      <c r="F44" s="376" t="s">
        <v>345</v>
      </c>
      <c r="G44" s="378" t="s">
        <v>32</v>
      </c>
      <c r="H44" s="387" t="s">
        <v>1089</v>
      </c>
      <c r="I44" s="402"/>
      <c r="J44" s="79" t="s">
        <v>346</v>
      </c>
      <c r="K44" s="79" t="s">
        <v>347</v>
      </c>
      <c r="L44" s="79" t="s">
        <v>348</v>
      </c>
      <c r="M44" s="256" t="s">
        <v>1201</v>
      </c>
      <c r="N44" s="314" t="s">
        <v>38</v>
      </c>
      <c r="O44" s="256" t="s">
        <v>349</v>
      </c>
      <c r="P44" s="314" t="s">
        <v>719</v>
      </c>
      <c r="Q44" s="314" t="s">
        <v>720</v>
      </c>
      <c r="R44" s="315" t="s">
        <v>38</v>
      </c>
      <c r="S44" s="257" t="s">
        <v>1028</v>
      </c>
      <c r="T44" s="264" t="s">
        <v>350</v>
      </c>
    </row>
    <row r="45" spans="1:20" ht="19.5" customHeight="1" x14ac:dyDescent="0.3">
      <c r="A45" s="67"/>
      <c r="B45" s="389"/>
      <c r="C45" s="390"/>
      <c r="D45" s="391"/>
      <c r="E45" s="384"/>
      <c r="F45" s="385"/>
      <c r="G45" s="386"/>
      <c r="H45" s="391"/>
      <c r="I45" s="404"/>
      <c r="J45" s="67" t="s">
        <v>351</v>
      </c>
      <c r="K45" s="67" t="s">
        <v>352</v>
      </c>
      <c r="L45" s="67" t="s">
        <v>348</v>
      </c>
      <c r="M45" s="98" t="s">
        <v>353</v>
      </c>
      <c r="N45" s="312" t="s">
        <v>38</v>
      </c>
      <c r="O45" s="98" t="s">
        <v>354</v>
      </c>
      <c r="P45" s="312" t="s">
        <v>721</v>
      </c>
      <c r="Q45" s="312" t="s">
        <v>100</v>
      </c>
      <c r="R45" s="313" t="s">
        <v>38</v>
      </c>
      <c r="S45" s="115" t="s">
        <v>355</v>
      </c>
      <c r="T45" s="116" t="s">
        <v>350</v>
      </c>
    </row>
    <row r="46" spans="1:20" ht="19.5" customHeight="1" x14ac:dyDescent="0.3">
      <c r="A46" s="67"/>
      <c r="B46" s="389"/>
      <c r="C46" s="390"/>
      <c r="D46" s="391"/>
      <c r="E46" s="384"/>
      <c r="F46" s="385"/>
      <c r="G46" s="386"/>
      <c r="H46" s="391"/>
      <c r="I46" s="404"/>
      <c r="J46" s="67" t="s">
        <v>356</v>
      </c>
      <c r="K46" s="67" t="s">
        <v>722</v>
      </c>
      <c r="L46" s="67" t="s">
        <v>348</v>
      </c>
      <c r="M46" s="114" t="s">
        <v>357</v>
      </c>
      <c r="N46" s="312" t="s">
        <v>38</v>
      </c>
      <c r="O46" s="114" t="s">
        <v>358</v>
      </c>
      <c r="P46" s="312" t="s">
        <v>723</v>
      </c>
      <c r="Q46" s="312" t="s">
        <v>724</v>
      </c>
      <c r="R46" s="313" t="s">
        <v>38</v>
      </c>
      <c r="S46" s="115" t="s">
        <v>359</v>
      </c>
      <c r="T46" s="116" t="s">
        <v>164</v>
      </c>
    </row>
    <row r="47" spans="1:20" ht="19.5" customHeight="1" x14ac:dyDescent="0.3">
      <c r="A47" s="67"/>
      <c r="B47" s="381"/>
      <c r="C47" s="383"/>
      <c r="D47" s="388"/>
      <c r="E47" s="375"/>
      <c r="F47" s="377"/>
      <c r="G47" s="379"/>
      <c r="H47" s="388"/>
      <c r="I47" s="403"/>
      <c r="J47" s="73" t="s">
        <v>360</v>
      </c>
      <c r="K47" s="73" t="s">
        <v>725</v>
      </c>
      <c r="L47" s="73" t="s">
        <v>348</v>
      </c>
      <c r="M47" s="266" t="s">
        <v>361</v>
      </c>
      <c r="N47" s="316" t="s">
        <v>38</v>
      </c>
      <c r="O47" s="266" t="s">
        <v>362</v>
      </c>
      <c r="P47" s="316" t="s">
        <v>726</v>
      </c>
      <c r="Q47" s="316" t="s">
        <v>727</v>
      </c>
      <c r="R47" s="317" t="s">
        <v>38</v>
      </c>
      <c r="S47" s="259" t="s">
        <v>363</v>
      </c>
      <c r="T47" s="265" t="s">
        <v>164</v>
      </c>
    </row>
    <row r="48" spans="1:20" ht="19.5" customHeight="1" x14ac:dyDescent="0.3">
      <c r="A48" s="67"/>
      <c r="B48" s="274">
        <v>27</v>
      </c>
      <c r="C48" s="282" t="s">
        <v>364</v>
      </c>
      <c r="D48" s="252" t="s">
        <v>365</v>
      </c>
      <c r="E48" s="252" t="s">
        <v>366</v>
      </c>
      <c r="F48" s="322" t="s">
        <v>367</v>
      </c>
      <c r="G48" s="287" t="s">
        <v>368</v>
      </c>
      <c r="H48" s="358" t="s">
        <v>295</v>
      </c>
      <c r="I48" s="362" t="s">
        <v>295</v>
      </c>
      <c r="J48" s="67" t="s">
        <v>369</v>
      </c>
      <c r="K48" s="67" t="s">
        <v>370</v>
      </c>
      <c r="L48" s="67" t="s">
        <v>371</v>
      </c>
      <c r="M48" s="98" t="s">
        <v>372</v>
      </c>
      <c r="N48" s="312">
        <v>1</v>
      </c>
      <c r="O48" s="98" t="s">
        <v>373</v>
      </c>
      <c r="P48" s="312" t="s">
        <v>728</v>
      </c>
      <c r="Q48" s="312" t="s">
        <v>638</v>
      </c>
      <c r="R48" s="313">
        <v>1</v>
      </c>
      <c r="S48" s="115" t="s">
        <v>1029</v>
      </c>
      <c r="T48" s="116" t="s">
        <v>40</v>
      </c>
    </row>
    <row r="49" spans="1:20" ht="19.5" customHeight="1" x14ac:dyDescent="0.3">
      <c r="A49" s="67"/>
      <c r="B49" s="380">
        <v>28</v>
      </c>
      <c r="C49" s="382" t="s">
        <v>374</v>
      </c>
      <c r="D49" s="387" t="s">
        <v>375</v>
      </c>
      <c r="E49" s="374" t="s">
        <v>376</v>
      </c>
      <c r="F49" s="376" t="s">
        <v>377</v>
      </c>
      <c r="G49" s="378" t="s">
        <v>378</v>
      </c>
      <c r="H49" s="400" t="s">
        <v>295</v>
      </c>
      <c r="I49" s="402" t="s">
        <v>295</v>
      </c>
      <c r="J49" s="79" t="s">
        <v>379</v>
      </c>
      <c r="K49" s="79" t="s">
        <v>380</v>
      </c>
      <c r="L49" s="79" t="s">
        <v>381</v>
      </c>
      <c r="M49" s="256" t="s">
        <v>382</v>
      </c>
      <c r="N49" s="314">
        <v>1</v>
      </c>
      <c r="O49" s="256" t="s">
        <v>383</v>
      </c>
      <c r="P49" s="314" t="s">
        <v>729</v>
      </c>
      <c r="Q49" s="314" t="s">
        <v>730</v>
      </c>
      <c r="R49" s="315">
        <v>1</v>
      </c>
      <c r="S49" s="257" t="s">
        <v>1030</v>
      </c>
      <c r="T49" s="264" t="s">
        <v>94</v>
      </c>
    </row>
    <row r="50" spans="1:20" ht="19.5" customHeight="1" x14ac:dyDescent="0.3">
      <c r="A50" s="67"/>
      <c r="B50" s="381"/>
      <c r="C50" s="383"/>
      <c r="D50" s="388"/>
      <c r="E50" s="375"/>
      <c r="F50" s="377"/>
      <c r="G50" s="379"/>
      <c r="H50" s="401"/>
      <c r="I50" s="403"/>
      <c r="J50" s="73" t="s">
        <v>384</v>
      </c>
      <c r="K50" s="73" t="s">
        <v>385</v>
      </c>
      <c r="L50" s="73" t="s">
        <v>386</v>
      </c>
      <c r="M50" s="258" t="s">
        <v>387</v>
      </c>
      <c r="N50" s="316">
        <v>1</v>
      </c>
      <c r="O50" s="258" t="s">
        <v>388</v>
      </c>
      <c r="P50" s="316" t="s">
        <v>731</v>
      </c>
      <c r="Q50" s="316" t="s">
        <v>333</v>
      </c>
      <c r="R50" s="317">
        <v>0.74739999999999995</v>
      </c>
      <c r="S50" s="259" t="s">
        <v>1031</v>
      </c>
      <c r="T50" s="265" t="s">
        <v>94</v>
      </c>
    </row>
    <row r="51" spans="1:20" ht="19.5" customHeight="1" x14ac:dyDescent="0.3">
      <c r="B51" s="380">
        <v>29</v>
      </c>
      <c r="C51" s="382" t="s">
        <v>389</v>
      </c>
      <c r="D51" s="387" t="s">
        <v>390</v>
      </c>
      <c r="E51" s="374" t="s">
        <v>391</v>
      </c>
      <c r="F51" s="376" t="s">
        <v>392</v>
      </c>
      <c r="G51" s="378" t="s">
        <v>32</v>
      </c>
      <c r="H51" s="400" t="s">
        <v>295</v>
      </c>
      <c r="I51" s="402" t="s">
        <v>295</v>
      </c>
      <c r="J51" s="67" t="s">
        <v>393</v>
      </c>
      <c r="K51" s="67" t="s">
        <v>393</v>
      </c>
      <c r="L51" s="67" t="s">
        <v>394</v>
      </c>
      <c r="M51" s="98" t="s">
        <v>395</v>
      </c>
      <c r="N51" s="312">
        <v>1</v>
      </c>
      <c r="O51" s="98" t="s">
        <v>396</v>
      </c>
      <c r="P51" s="312" t="s">
        <v>732</v>
      </c>
      <c r="Q51" s="312" t="s">
        <v>504</v>
      </c>
      <c r="R51" s="313">
        <v>0.98929999999999996</v>
      </c>
      <c r="S51" s="115" t="s">
        <v>397</v>
      </c>
      <c r="T51" s="116" t="s">
        <v>94</v>
      </c>
    </row>
    <row r="52" spans="1:20" ht="19.5" customHeight="1" x14ac:dyDescent="0.3">
      <c r="B52" s="381"/>
      <c r="C52" s="383"/>
      <c r="D52" s="388"/>
      <c r="E52" s="375"/>
      <c r="F52" s="377"/>
      <c r="G52" s="379"/>
      <c r="H52" s="401"/>
      <c r="I52" s="403"/>
      <c r="J52" s="67" t="s">
        <v>398</v>
      </c>
      <c r="K52" s="67" t="s">
        <v>398</v>
      </c>
      <c r="L52" s="67" t="s">
        <v>399</v>
      </c>
      <c r="M52" s="98" t="s">
        <v>400</v>
      </c>
      <c r="N52" s="312">
        <v>1</v>
      </c>
      <c r="O52" s="98" t="s">
        <v>733</v>
      </c>
      <c r="P52" s="312" t="s">
        <v>734</v>
      </c>
      <c r="Q52" s="312" t="s">
        <v>735</v>
      </c>
      <c r="R52" s="313">
        <v>0.96730000000000005</v>
      </c>
      <c r="S52" s="115" t="s">
        <v>401</v>
      </c>
      <c r="T52" s="116" t="s">
        <v>94</v>
      </c>
    </row>
    <row r="53" spans="1:20" ht="19.5" customHeight="1" x14ac:dyDescent="0.3">
      <c r="B53" s="273">
        <v>30</v>
      </c>
      <c r="C53" s="283" t="s">
        <v>402</v>
      </c>
      <c r="D53" s="260" t="s">
        <v>403</v>
      </c>
      <c r="E53" s="260" t="s">
        <v>404</v>
      </c>
      <c r="F53" s="323" t="s">
        <v>405</v>
      </c>
      <c r="G53" s="288" t="s">
        <v>32</v>
      </c>
      <c r="H53" s="358" t="s">
        <v>295</v>
      </c>
      <c r="I53" s="363" t="s">
        <v>295</v>
      </c>
      <c r="J53" s="253" t="s">
        <v>406</v>
      </c>
      <c r="K53" s="253" t="s">
        <v>406</v>
      </c>
      <c r="L53" s="253" t="s">
        <v>407</v>
      </c>
      <c r="M53" s="254" t="s">
        <v>1202</v>
      </c>
      <c r="N53" s="310" t="s">
        <v>38</v>
      </c>
      <c r="O53" s="254" t="s">
        <v>408</v>
      </c>
      <c r="P53" s="310" t="s">
        <v>736</v>
      </c>
      <c r="Q53" s="310" t="s">
        <v>623</v>
      </c>
      <c r="R53" s="311" t="s">
        <v>38</v>
      </c>
      <c r="S53" s="255" t="s">
        <v>409</v>
      </c>
      <c r="T53" s="263" t="s">
        <v>94</v>
      </c>
    </row>
    <row r="54" spans="1:20" ht="19.5" customHeight="1" x14ac:dyDescent="0.3">
      <c r="B54" s="380">
        <v>31</v>
      </c>
      <c r="C54" s="382" t="s">
        <v>410</v>
      </c>
      <c r="D54" s="387" t="s">
        <v>411</v>
      </c>
      <c r="E54" s="374" t="s">
        <v>412</v>
      </c>
      <c r="F54" s="376" t="s">
        <v>413</v>
      </c>
      <c r="G54" s="378" t="s">
        <v>32</v>
      </c>
      <c r="H54" s="400" t="s">
        <v>295</v>
      </c>
      <c r="I54" s="402" t="s">
        <v>295</v>
      </c>
      <c r="J54" s="67" t="s">
        <v>414</v>
      </c>
      <c r="K54" s="67" t="s">
        <v>414</v>
      </c>
      <c r="L54" s="67" t="s">
        <v>415</v>
      </c>
      <c r="M54" s="98" t="s">
        <v>416</v>
      </c>
      <c r="N54" s="312" t="s">
        <v>738</v>
      </c>
      <c r="O54" s="98" t="s">
        <v>417</v>
      </c>
      <c r="P54" s="312" t="s">
        <v>737</v>
      </c>
      <c r="Q54" s="312" t="s">
        <v>688</v>
      </c>
      <c r="R54" s="313">
        <v>3.9300000000000002E-2</v>
      </c>
      <c r="S54" s="115" t="s">
        <v>418</v>
      </c>
      <c r="T54" s="116" t="s">
        <v>94</v>
      </c>
    </row>
    <row r="55" spans="1:20" ht="19.5" customHeight="1" x14ac:dyDescent="0.3">
      <c r="B55" s="381"/>
      <c r="C55" s="383"/>
      <c r="D55" s="388"/>
      <c r="E55" s="375"/>
      <c r="F55" s="377"/>
      <c r="G55" s="379"/>
      <c r="H55" s="401"/>
      <c r="I55" s="403"/>
      <c r="J55" s="67" t="s">
        <v>419</v>
      </c>
      <c r="K55" s="67" t="s">
        <v>419</v>
      </c>
      <c r="L55" s="67" t="s">
        <v>420</v>
      </c>
      <c r="M55" s="98" t="s">
        <v>421</v>
      </c>
      <c r="N55" s="312" t="s">
        <v>740</v>
      </c>
      <c r="O55" s="98" t="s">
        <v>422</v>
      </c>
      <c r="P55" s="312" t="s">
        <v>739</v>
      </c>
      <c r="Q55" s="312" t="s">
        <v>235</v>
      </c>
      <c r="R55" s="313">
        <v>2.9399999999999999E-2</v>
      </c>
      <c r="S55" s="115" t="s">
        <v>424</v>
      </c>
      <c r="T55" s="116" t="s">
        <v>94</v>
      </c>
    </row>
    <row r="56" spans="1:20" ht="19.5" customHeight="1" x14ac:dyDescent="0.3">
      <c r="B56" s="273">
        <v>32</v>
      </c>
      <c r="C56" s="283" t="s">
        <v>425</v>
      </c>
      <c r="D56" s="260" t="s">
        <v>426</v>
      </c>
      <c r="E56" s="260" t="s">
        <v>427</v>
      </c>
      <c r="F56" s="323" t="s">
        <v>428</v>
      </c>
      <c r="G56" s="288" t="s">
        <v>32</v>
      </c>
      <c r="H56" s="358" t="s">
        <v>295</v>
      </c>
      <c r="I56" s="363" t="s">
        <v>295</v>
      </c>
      <c r="J56" s="253" t="s">
        <v>429</v>
      </c>
      <c r="K56" s="253" t="s">
        <v>430</v>
      </c>
      <c r="L56" s="253" t="s">
        <v>431</v>
      </c>
      <c r="M56" s="254" t="s">
        <v>432</v>
      </c>
      <c r="N56" s="310" t="s">
        <v>742</v>
      </c>
      <c r="O56" s="254" t="s">
        <v>433</v>
      </c>
      <c r="P56" s="310" t="s">
        <v>741</v>
      </c>
      <c r="Q56" s="310" t="s">
        <v>423</v>
      </c>
      <c r="R56" s="311">
        <v>3.8E-3</v>
      </c>
      <c r="S56" s="255" t="s">
        <v>1032</v>
      </c>
      <c r="T56" s="263" t="s">
        <v>40</v>
      </c>
    </row>
    <row r="57" spans="1:20" ht="19.5" customHeight="1" x14ac:dyDescent="0.3">
      <c r="B57" s="274">
        <v>33</v>
      </c>
      <c r="C57" s="282" t="s">
        <v>434</v>
      </c>
      <c r="D57" s="252" t="s">
        <v>435</v>
      </c>
      <c r="E57" s="252" t="s">
        <v>436</v>
      </c>
      <c r="F57" s="322" t="s">
        <v>437</v>
      </c>
      <c r="G57" s="287" t="s">
        <v>438</v>
      </c>
      <c r="H57" s="360" t="s">
        <v>295</v>
      </c>
      <c r="I57" s="362" t="s">
        <v>295</v>
      </c>
      <c r="J57" s="67" t="s">
        <v>439</v>
      </c>
      <c r="K57" s="67" t="s">
        <v>440</v>
      </c>
      <c r="L57" s="67" t="s">
        <v>441</v>
      </c>
      <c r="M57" s="98" t="s">
        <v>442</v>
      </c>
      <c r="N57" s="312">
        <v>1</v>
      </c>
      <c r="O57" s="98" t="s">
        <v>443</v>
      </c>
      <c r="P57" s="312" t="s">
        <v>743</v>
      </c>
      <c r="Q57" s="312" t="s">
        <v>517</v>
      </c>
      <c r="R57" s="313" t="s">
        <v>38</v>
      </c>
      <c r="S57" s="115" t="s">
        <v>1033</v>
      </c>
      <c r="T57" s="116" t="s">
        <v>40</v>
      </c>
    </row>
    <row r="58" spans="1:20" ht="19.5" customHeight="1" x14ac:dyDescent="0.3">
      <c r="B58" s="380">
        <v>34</v>
      </c>
      <c r="C58" s="382" t="s">
        <v>444</v>
      </c>
      <c r="D58" s="387" t="s">
        <v>445</v>
      </c>
      <c r="E58" s="374" t="s">
        <v>446</v>
      </c>
      <c r="F58" s="376" t="s">
        <v>447</v>
      </c>
      <c r="G58" s="378" t="s">
        <v>32</v>
      </c>
      <c r="H58" s="380" t="s">
        <v>1087</v>
      </c>
      <c r="I58" s="402" t="s">
        <v>84</v>
      </c>
      <c r="J58" s="79" t="s">
        <v>448</v>
      </c>
      <c r="K58" s="79" t="s">
        <v>744</v>
      </c>
      <c r="L58" s="79" t="s">
        <v>449</v>
      </c>
      <c r="M58" s="256" t="s">
        <v>1203</v>
      </c>
      <c r="N58" s="314" t="s">
        <v>38</v>
      </c>
      <c r="O58" s="256" t="s">
        <v>745</v>
      </c>
      <c r="P58" s="314" t="s">
        <v>746</v>
      </c>
      <c r="Q58" s="314" t="s">
        <v>697</v>
      </c>
      <c r="R58" s="315" t="s">
        <v>38</v>
      </c>
      <c r="S58" s="257" t="s">
        <v>1131</v>
      </c>
      <c r="T58" s="264" t="s">
        <v>40</v>
      </c>
    </row>
    <row r="59" spans="1:20" ht="19.5" customHeight="1" x14ac:dyDescent="0.3">
      <c r="B59" s="389"/>
      <c r="C59" s="390"/>
      <c r="D59" s="391"/>
      <c r="E59" s="384"/>
      <c r="F59" s="385"/>
      <c r="G59" s="386"/>
      <c r="H59" s="389"/>
      <c r="I59" s="404"/>
      <c r="J59" s="67" t="s">
        <v>450</v>
      </c>
      <c r="K59" s="67" t="s">
        <v>747</v>
      </c>
      <c r="L59" s="67" t="s">
        <v>449</v>
      </c>
      <c r="M59" s="98" t="s">
        <v>451</v>
      </c>
      <c r="N59" s="312" t="s">
        <v>38</v>
      </c>
      <c r="O59" s="98" t="s">
        <v>748</v>
      </c>
      <c r="P59" s="312" t="s">
        <v>749</v>
      </c>
      <c r="Q59" s="312" t="s">
        <v>750</v>
      </c>
      <c r="R59" s="313" t="s">
        <v>38</v>
      </c>
      <c r="S59" s="115" t="s">
        <v>1132</v>
      </c>
      <c r="T59" s="116" t="s">
        <v>40</v>
      </c>
    </row>
    <row r="60" spans="1:20" ht="19.5" customHeight="1" x14ac:dyDescent="0.3">
      <c r="B60" s="381"/>
      <c r="C60" s="383"/>
      <c r="D60" s="388"/>
      <c r="E60" s="375"/>
      <c r="F60" s="377"/>
      <c r="G60" s="379"/>
      <c r="H60" s="381"/>
      <c r="I60" s="403"/>
      <c r="J60" s="73" t="s">
        <v>453</v>
      </c>
      <c r="K60" s="73" t="s">
        <v>751</v>
      </c>
      <c r="L60" s="73" t="s">
        <v>449</v>
      </c>
      <c r="M60" s="258" t="s">
        <v>455</v>
      </c>
      <c r="N60" s="316" t="s">
        <v>38</v>
      </c>
      <c r="O60" s="258" t="s">
        <v>456</v>
      </c>
      <c r="P60" s="316" t="s">
        <v>752</v>
      </c>
      <c r="Q60" s="316" t="s">
        <v>753</v>
      </c>
      <c r="R60" s="317" t="s">
        <v>38</v>
      </c>
      <c r="S60" s="259" t="s">
        <v>457</v>
      </c>
      <c r="T60" s="265" t="s">
        <v>164</v>
      </c>
    </row>
    <row r="61" spans="1:20" ht="19.5" customHeight="1" x14ac:dyDescent="0.3">
      <c r="B61" s="380">
        <v>35</v>
      </c>
      <c r="C61" s="382" t="s">
        <v>458</v>
      </c>
      <c r="D61" s="387" t="s">
        <v>459</v>
      </c>
      <c r="E61" s="374" t="s">
        <v>460</v>
      </c>
      <c r="F61" s="376" t="s">
        <v>461</v>
      </c>
      <c r="G61" s="378" t="s">
        <v>32</v>
      </c>
      <c r="H61" s="400" t="s">
        <v>295</v>
      </c>
      <c r="I61" s="402" t="s">
        <v>295</v>
      </c>
      <c r="J61" s="67" t="s">
        <v>462</v>
      </c>
      <c r="K61" s="67" t="s">
        <v>463</v>
      </c>
      <c r="L61" s="67" t="s">
        <v>464</v>
      </c>
      <c r="M61" s="98" t="s">
        <v>1204</v>
      </c>
      <c r="N61" s="312" t="s">
        <v>38</v>
      </c>
      <c r="O61" s="98" t="s">
        <v>465</v>
      </c>
      <c r="P61" s="312" t="s">
        <v>754</v>
      </c>
      <c r="Q61" s="312" t="s">
        <v>198</v>
      </c>
      <c r="R61" s="313" t="s">
        <v>38</v>
      </c>
      <c r="S61" s="115" t="s">
        <v>1034</v>
      </c>
      <c r="T61" s="116" t="s">
        <v>466</v>
      </c>
    </row>
    <row r="62" spans="1:20" ht="19.5" customHeight="1" x14ac:dyDescent="0.3">
      <c r="B62" s="381"/>
      <c r="C62" s="383"/>
      <c r="D62" s="388"/>
      <c r="E62" s="375"/>
      <c r="F62" s="377"/>
      <c r="G62" s="379"/>
      <c r="H62" s="401"/>
      <c r="I62" s="403"/>
      <c r="J62" s="67" t="s">
        <v>467</v>
      </c>
      <c r="K62" s="67" t="s">
        <v>467</v>
      </c>
      <c r="L62" s="67" t="s">
        <v>464</v>
      </c>
      <c r="M62" s="98" t="s">
        <v>468</v>
      </c>
      <c r="N62" s="312" t="s">
        <v>38</v>
      </c>
      <c r="O62" s="98" t="s">
        <v>469</v>
      </c>
      <c r="P62" s="312" t="s">
        <v>755</v>
      </c>
      <c r="Q62" s="312" t="s">
        <v>756</v>
      </c>
      <c r="R62" s="313" t="s">
        <v>38</v>
      </c>
      <c r="S62" s="115" t="s">
        <v>1134</v>
      </c>
      <c r="T62" s="116" t="s">
        <v>471</v>
      </c>
    </row>
    <row r="63" spans="1:20" ht="19.5" customHeight="1" x14ac:dyDescent="0.3">
      <c r="B63" s="380">
        <v>36</v>
      </c>
      <c r="C63" s="382" t="s">
        <v>472</v>
      </c>
      <c r="D63" s="387" t="s">
        <v>473</v>
      </c>
      <c r="E63" s="374" t="s">
        <v>474</v>
      </c>
      <c r="F63" s="374" t="s">
        <v>475</v>
      </c>
      <c r="G63" s="378" t="s">
        <v>476</v>
      </c>
      <c r="H63" s="387" t="s">
        <v>1090</v>
      </c>
      <c r="I63" s="402"/>
      <c r="J63" s="79" t="s">
        <v>477</v>
      </c>
      <c r="K63" s="79" t="s">
        <v>478</v>
      </c>
      <c r="L63" s="79" t="s">
        <v>479</v>
      </c>
      <c r="M63" s="256" t="s">
        <v>1205</v>
      </c>
      <c r="N63" s="314" t="s">
        <v>38</v>
      </c>
      <c r="O63" s="256" t="s">
        <v>757</v>
      </c>
      <c r="P63" s="314" t="s">
        <v>758</v>
      </c>
      <c r="Q63" s="314" t="s">
        <v>697</v>
      </c>
      <c r="R63" s="315" t="s">
        <v>38</v>
      </c>
      <c r="S63" s="257" t="s">
        <v>1133</v>
      </c>
      <c r="T63" s="264" t="s">
        <v>466</v>
      </c>
    </row>
    <row r="64" spans="1:20" ht="19.5" customHeight="1" x14ac:dyDescent="0.3">
      <c r="B64" s="389"/>
      <c r="C64" s="390"/>
      <c r="D64" s="391"/>
      <c r="E64" s="384"/>
      <c r="F64" s="384"/>
      <c r="G64" s="386"/>
      <c r="H64" s="391"/>
      <c r="I64" s="404"/>
      <c r="J64" s="67" t="s">
        <v>480</v>
      </c>
      <c r="K64" s="67" t="s">
        <v>481</v>
      </c>
      <c r="L64" s="67" t="s">
        <v>479</v>
      </c>
      <c r="M64" s="98" t="s">
        <v>482</v>
      </c>
      <c r="N64" s="312" t="s">
        <v>38</v>
      </c>
      <c r="O64" s="98" t="s">
        <v>159</v>
      </c>
      <c r="P64" s="312" t="s">
        <v>759</v>
      </c>
      <c r="Q64" s="312" t="s">
        <v>760</v>
      </c>
      <c r="R64" s="313" t="s">
        <v>38</v>
      </c>
      <c r="S64" s="115" t="s">
        <v>483</v>
      </c>
      <c r="T64" s="116" t="s">
        <v>164</v>
      </c>
    </row>
    <row r="65" spans="2:20" ht="19.5" customHeight="1" x14ac:dyDescent="0.3">
      <c r="B65" s="381"/>
      <c r="C65" s="383"/>
      <c r="D65" s="388"/>
      <c r="E65" s="375"/>
      <c r="F65" s="375"/>
      <c r="G65" s="379"/>
      <c r="H65" s="388"/>
      <c r="I65" s="403"/>
      <c r="J65" s="73" t="s">
        <v>484</v>
      </c>
      <c r="K65" s="73" t="s">
        <v>485</v>
      </c>
      <c r="L65" s="73" t="s">
        <v>479</v>
      </c>
      <c r="M65" s="258" t="s">
        <v>486</v>
      </c>
      <c r="N65" s="316" t="s">
        <v>38</v>
      </c>
      <c r="O65" s="258" t="s">
        <v>216</v>
      </c>
      <c r="P65" s="316" t="s">
        <v>761</v>
      </c>
      <c r="Q65" s="316" t="s">
        <v>753</v>
      </c>
      <c r="R65" s="317" t="s">
        <v>38</v>
      </c>
      <c r="S65" s="259" t="s">
        <v>1035</v>
      </c>
      <c r="T65" s="265" t="s">
        <v>164</v>
      </c>
    </row>
    <row r="66" spans="2:20" ht="19.5" customHeight="1" x14ac:dyDescent="0.3">
      <c r="B66" s="274">
        <v>37</v>
      </c>
      <c r="C66" s="282" t="s">
        <v>487</v>
      </c>
      <c r="D66" s="252" t="s">
        <v>488</v>
      </c>
      <c r="E66" s="252" t="s">
        <v>489</v>
      </c>
      <c r="F66" s="322" t="s">
        <v>490</v>
      </c>
      <c r="G66" s="287" t="s">
        <v>32</v>
      </c>
      <c r="H66" s="358" t="s">
        <v>295</v>
      </c>
      <c r="I66" s="362" t="s">
        <v>295</v>
      </c>
      <c r="J66" s="67" t="s">
        <v>491</v>
      </c>
      <c r="K66" s="67" t="s">
        <v>492</v>
      </c>
      <c r="L66" s="67" t="s">
        <v>493</v>
      </c>
      <c r="M66" s="98" t="s">
        <v>494</v>
      </c>
      <c r="N66" s="312" t="s">
        <v>763</v>
      </c>
      <c r="O66" s="98" t="s">
        <v>495</v>
      </c>
      <c r="P66" s="312" t="s">
        <v>762</v>
      </c>
      <c r="Q66" s="312" t="s">
        <v>551</v>
      </c>
      <c r="R66" s="313" t="s">
        <v>38</v>
      </c>
      <c r="S66" s="115" t="s">
        <v>1036</v>
      </c>
      <c r="T66" s="116" t="s">
        <v>40</v>
      </c>
    </row>
    <row r="67" spans="2:20" ht="19.5" customHeight="1" x14ac:dyDescent="0.3">
      <c r="B67" s="380">
        <v>38</v>
      </c>
      <c r="C67" s="382" t="s">
        <v>496</v>
      </c>
      <c r="D67" s="387" t="s">
        <v>497</v>
      </c>
      <c r="E67" s="374" t="s">
        <v>498</v>
      </c>
      <c r="F67" s="376" t="s">
        <v>499</v>
      </c>
      <c r="G67" s="378" t="s">
        <v>32</v>
      </c>
      <c r="H67" s="400" t="s">
        <v>295</v>
      </c>
      <c r="I67" s="402" t="s">
        <v>295</v>
      </c>
      <c r="J67" s="79" t="s">
        <v>500</v>
      </c>
      <c r="K67" s="79" t="s">
        <v>500</v>
      </c>
      <c r="L67" s="79" t="s">
        <v>501</v>
      </c>
      <c r="M67" s="256" t="s">
        <v>502</v>
      </c>
      <c r="N67" s="314">
        <v>1</v>
      </c>
      <c r="O67" s="256" t="s">
        <v>503</v>
      </c>
      <c r="P67" s="314" t="s">
        <v>764</v>
      </c>
      <c r="Q67" s="314" t="s">
        <v>765</v>
      </c>
      <c r="R67" s="315">
        <v>1</v>
      </c>
      <c r="S67" s="257" t="s">
        <v>505</v>
      </c>
      <c r="T67" s="264" t="s">
        <v>94</v>
      </c>
    </row>
    <row r="68" spans="2:20" ht="19.5" customHeight="1" x14ac:dyDescent="0.3">
      <c r="B68" s="381"/>
      <c r="C68" s="383"/>
      <c r="D68" s="388"/>
      <c r="E68" s="375"/>
      <c r="F68" s="377"/>
      <c r="G68" s="379"/>
      <c r="H68" s="401"/>
      <c r="I68" s="403"/>
      <c r="J68" s="73" t="s">
        <v>506</v>
      </c>
      <c r="K68" s="73" t="s">
        <v>506</v>
      </c>
      <c r="L68" s="73" t="s">
        <v>507</v>
      </c>
      <c r="M68" s="258" t="s">
        <v>387</v>
      </c>
      <c r="N68" s="316">
        <v>1</v>
      </c>
      <c r="O68" s="258" t="s">
        <v>508</v>
      </c>
      <c r="P68" s="316" t="s">
        <v>731</v>
      </c>
      <c r="Q68" s="316" t="s">
        <v>711</v>
      </c>
      <c r="R68" s="317">
        <v>0.99570000000000003</v>
      </c>
      <c r="S68" s="259" t="s">
        <v>509</v>
      </c>
      <c r="T68" s="265" t="s">
        <v>94</v>
      </c>
    </row>
    <row r="69" spans="2:20" ht="19.5" customHeight="1" x14ac:dyDescent="0.3">
      <c r="B69" s="274">
        <v>39</v>
      </c>
      <c r="C69" s="282" t="s">
        <v>510</v>
      </c>
      <c r="D69" s="252" t="s">
        <v>511</v>
      </c>
      <c r="E69" s="252" t="s">
        <v>512</v>
      </c>
      <c r="F69" s="322" t="s">
        <v>513</v>
      </c>
      <c r="G69" s="287" t="s">
        <v>32</v>
      </c>
      <c r="H69" s="359" t="s">
        <v>295</v>
      </c>
      <c r="I69" s="362" t="s">
        <v>295</v>
      </c>
      <c r="J69" s="67" t="s">
        <v>514</v>
      </c>
      <c r="K69" s="67" t="s">
        <v>514</v>
      </c>
      <c r="L69" s="67" t="s">
        <v>515</v>
      </c>
      <c r="M69" s="98" t="s">
        <v>1206</v>
      </c>
      <c r="N69" s="312" t="s">
        <v>624</v>
      </c>
      <c r="O69" s="98" t="s">
        <v>516</v>
      </c>
      <c r="P69" s="312" t="s">
        <v>766</v>
      </c>
      <c r="Q69" s="312" t="s">
        <v>767</v>
      </c>
      <c r="R69" s="313" t="s">
        <v>38</v>
      </c>
      <c r="S69" s="115" t="s">
        <v>518</v>
      </c>
      <c r="T69" s="116" t="s">
        <v>40</v>
      </c>
    </row>
    <row r="70" spans="2:20" ht="19.5" customHeight="1" x14ac:dyDescent="0.3">
      <c r="B70" s="273">
        <v>40</v>
      </c>
      <c r="C70" s="283" t="s">
        <v>519</v>
      </c>
      <c r="D70" s="260" t="s">
        <v>520</v>
      </c>
      <c r="E70" s="260" t="s">
        <v>521</v>
      </c>
      <c r="F70" s="323" t="s">
        <v>522</v>
      </c>
      <c r="G70" s="288" t="s">
        <v>45</v>
      </c>
      <c r="H70" s="358" t="s">
        <v>295</v>
      </c>
      <c r="I70" s="363" t="s">
        <v>295</v>
      </c>
      <c r="J70" s="253" t="s">
        <v>523</v>
      </c>
      <c r="K70" s="253" t="s">
        <v>524</v>
      </c>
      <c r="L70" s="253" t="s">
        <v>525</v>
      </c>
      <c r="M70" s="254" t="s">
        <v>1207</v>
      </c>
      <c r="N70" s="310" t="s">
        <v>38</v>
      </c>
      <c r="O70" s="254" t="s">
        <v>526</v>
      </c>
      <c r="P70" s="310" t="s">
        <v>768</v>
      </c>
      <c r="Q70" s="310" t="s">
        <v>769</v>
      </c>
      <c r="R70" s="311" t="s">
        <v>38</v>
      </c>
      <c r="S70" s="255" t="s">
        <v>1037</v>
      </c>
      <c r="T70" s="263" t="s">
        <v>40</v>
      </c>
    </row>
    <row r="71" spans="2:20" ht="19.5" customHeight="1" x14ac:dyDescent="0.3">
      <c r="B71" s="274">
        <v>41</v>
      </c>
      <c r="C71" s="282" t="s">
        <v>527</v>
      </c>
      <c r="D71" s="252" t="s">
        <v>528</v>
      </c>
      <c r="E71" s="252" t="s">
        <v>529</v>
      </c>
      <c r="F71" s="322" t="s">
        <v>530</v>
      </c>
      <c r="G71" s="287" t="s">
        <v>32</v>
      </c>
      <c r="H71" s="361" t="s">
        <v>295</v>
      </c>
      <c r="I71" s="362" t="s">
        <v>295</v>
      </c>
      <c r="J71" s="67" t="s">
        <v>531</v>
      </c>
      <c r="K71" s="67" t="s">
        <v>532</v>
      </c>
      <c r="L71" s="67" t="s">
        <v>533</v>
      </c>
      <c r="M71" s="98" t="s">
        <v>1208</v>
      </c>
      <c r="N71" s="312" t="s">
        <v>38</v>
      </c>
      <c r="O71" s="98" t="s">
        <v>534</v>
      </c>
      <c r="P71" s="312" t="s">
        <v>770</v>
      </c>
      <c r="Q71" s="312" t="s">
        <v>727</v>
      </c>
      <c r="R71" s="313" t="s">
        <v>38</v>
      </c>
      <c r="S71" s="115" t="s">
        <v>1038</v>
      </c>
      <c r="T71" s="116" t="s">
        <v>40</v>
      </c>
    </row>
    <row r="72" spans="2:20" ht="19.5" customHeight="1" x14ac:dyDescent="0.3">
      <c r="B72" s="273">
        <v>42</v>
      </c>
      <c r="C72" s="283" t="s">
        <v>535</v>
      </c>
      <c r="D72" s="260" t="s">
        <v>536</v>
      </c>
      <c r="E72" s="260" t="s">
        <v>537</v>
      </c>
      <c r="F72" s="323" t="s">
        <v>538</v>
      </c>
      <c r="G72" s="288" t="s">
        <v>32</v>
      </c>
      <c r="H72" s="358" t="s">
        <v>295</v>
      </c>
      <c r="I72" s="363" t="s">
        <v>295</v>
      </c>
      <c r="J72" s="253" t="s">
        <v>539</v>
      </c>
      <c r="K72" s="253" t="s">
        <v>539</v>
      </c>
      <c r="L72" s="253" t="s">
        <v>540</v>
      </c>
      <c r="M72" s="254" t="s">
        <v>541</v>
      </c>
      <c r="N72" s="310">
        <v>1</v>
      </c>
      <c r="O72" s="254" t="s">
        <v>542</v>
      </c>
      <c r="P72" s="310" t="s">
        <v>771</v>
      </c>
      <c r="Q72" s="310" t="s">
        <v>638</v>
      </c>
      <c r="R72" s="311">
        <v>1</v>
      </c>
      <c r="S72" s="255" t="s">
        <v>543</v>
      </c>
      <c r="T72" s="263" t="s">
        <v>40</v>
      </c>
    </row>
    <row r="73" spans="2:20" ht="19.5" customHeight="1" x14ac:dyDescent="0.3">
      <c r="B73" s="274">
        <v>43</v>
      </c>
      <c r="C73" s="282" t="s">
        <v>544</v>
      </c>
      <c r="D73" s="252" t="s">
        <v>545</v>
      </c>
      <c r="E73" s="252"/>
      <c r="F73" s="252" t="s">
        <v>547</v>
      </c>
      <c r="G73" s="287" t="s">
        <v>32</v>
      </c>
      <c r="H73" s="360" t="s">
        <v>295</v>
      </c>
      <c r="I73" s="362" t="s">
        <v>295</v>
      </c>
      <c r="J73" s="67" t="s">
        <v>548</v>
      </c>
      <c r="K73" s="67" t="s">
        <v>549</v>
      </c>
      <c r="L73" s="67" t="s">
        <v>550</v>
      </c>
      <c r="M73" s="98" t="s">
        <v>1200</v>
      </c>
      <c r="N73" s="312" t="s">
        <v>204</v>
      </c>
      <c r="O73" s="98" t="s">
        <v>82</v>
      </c>
      <c r="P73" s="312" t="s">
        <v>717</v>
      </c>
      <c r="Q73" s="312" t="s">
        <v>772</v>
      </c>
      <c r="R73" s="313">
        <v>1E-4</v>
      </c>
      <c r="S73" s="115" t="s">
        <v>1039</v>
      </c>
      <c r="T73" s="116" t="s">
        <v>40</v>
      </c>
    </row>
    <row r="74" spans="2:20" ht="19.5" customHeight="1" x14ac:dyDescent="0.3">
      <c r="B74" s="380">
        <v>44</v>
      </c>
      <c r="C74" s="382" t="s">
        <v>552</v>
      </c>
      <c r="D74" s="387" t="s">
        <v>553</v>
      </c>
      <c r="E74" s="374" t="s">
        <v>546</v>
      </c>
      <c r="F74" s="374" t="s">
        <v>554</v>
      </c>
      <c r="G74" s="378" t="s">
        <v>32</v>
      </c>
      <c r="H74" s="400" t="s">
        <v>295</v>
      </c>
      <c r="I74" s="402" t="s">
        <v>295</v>
      </c>
      <c r="J74" s="79" t="s">
        <v>555</v>
      </c>
      <c r="K74" s="79" t="s">
        <v>555</v>
      </c>
      <c r="L74" s="79" t="s">
        <v>556</v>
      </c>
      <c r="M74" s="256" t="s">
        <v>1209</v>
      </c>
      <c r="N74" s="314" t="s">
        <v>38</v>
      </c>
      <c r="O74" s="256" t="s">
        <v>557</v>
      </c>
      <c r="P74" s="314" t="s">
        <v>773</v>
      </c>
      <c r="Q74" s="314" t="s">
        <v>669</v>
      </c>
      <c r="R74" s="315" t="s">
        <v>38</v>
      </c>
      <c r="S74" s="257" t="s">
        <v>558</v>
      </c>
      <c r="T74" s="264" t="s">
        <v>350</v>
      </c>
    </row>
    <row r="75" spans="2:20" ht="19.5" customHeight="1" x14ac:dyDescent="0.3">
      <c r="B75" s="381"/>
      <c r="C75" s="383"/>
      <c r="D75" s="388"/>
      <c r="E75" s="375"/>
      <c r="F75" s="375"/>
      <c r="G75" s="379"/>
      <c r="H75" s="401"/>
      <c r="I75" s="403"/>
      <c r="J75" s="73" t="s">
        <v>559</v>
      </c>
      <c r="K75" s="73" t="s">
        <v>559</v>
      </c>
      <c r="L75" s="73" t="s">
        <v>556</v>
      </c>
      <c r="M75" s="258" t="s">
        <v>560</v>
      </c>
      <c r="N75" s="316" t="s">
        <v>38</v>
      </c>
      <c r="O75" s="258" t="s">
        <v>561</v>
      </c>
      <c r="P75" s="316" t="s">
        <v>774</v>
      </c>
      <c r="Q75" s="316" t="s">
        <v>701</v>
      </c>
      <c r="R75" s="317" t="s">
        <v>38</v>
      </c>
      <c r="S75" s="259" t="s">
        <v>562</v>
      </c>
      <c r="T75" s="265" t="s">
        <v>350</v>
      </c>
    </row>
    <row r="76" spans="2:20" ht="19.5" customHeight="1" x14ac:dyDescent="0.3">
      <c r="B76" s="380">
        <v>45</v>
      </c>
      <c r="C76" s="382" t="s">
        <v>563</v>
      </c>
      <c r="D76" s="387" t="s">
        <v>564</v>
      </c>
      <c r="E76" s="374" t="s">
        <v>565</v>
      </c>
      <c r="F76" s="376" t="s">
        <v>566</v>
      </c>
      <c r="G76" s="378" t="s">
        <v>32</v>
      </c>
      <c r="H76" s="400" t="s">
        <v>295</v>
      </c>
      <c r="I76" s="402" t="s">
        <v>295</v>
      </c>
      <c r="J76" s="67" t="s">
        <v>567</v>
      </c>
      <c r="K76" s="67" t="s">
        <v>568</v>
      </c>
      <c r="L76" s="67" t="s">
        <v>569</v>
      </c>
      <c r="M76" s="98" t="s">
        <v>570</v>
      </c>
      <c r="N76" s="312">
        <v>1</v>
      </c>
      <c r="O76" s="98" t="s">
        <v>571</v>
      </c>
      <c r="P76" s="312" t="s">
        <v>775</v>
      </c>
      <c r="Q76" s="312" t="s">
        <v>735</v>
      </c>
      <c r="R76" s="313">
        <v>0.9768</v>
      </c>
      <c r="S76" s="115" t="s">
        <v>1040</v>
      </c>
      <c r="T76" s="116" t="s">
        <v>94</v>
      </c>
    </row>
    <row r="77" spans="2:20" ht="19.5" customHeight="1" x14ac:dyDescent="0.3">
      <c r="B77" s="381"/>
      <c r="C77" s="383"/>
      <c r="D77" s="388"/>
      <c r="E77" s="375"/>
      <c r="F77" s="377"/>
      <c r="G77" s="379"/>
      <c r="H77" s="401"/>
      <c r="I77" s="403"/>
      <c r="J77" s="67" t="s">
        <v>572</v>
      </c>
      <c r="K77" s="67" t="s">
        <v>573</v>
      </c>
      <c r="L77" s="67" t="s">
        <v>574</v>
      </c>
      <c r="M77" s="98" t="s">
        <v>575</v>
      </c>
      <c r="N77" s="312">
        <v>1</v>
      </c>
      <c r="O77" s="98" t="s">
        <v>576</v>
      </c>
      <c r="P77" s="312" t="s">
        <v>776</v>
      </c>
      <c r="Q77" s="312" t="s">
        <v>777</v>
      </c>
      <c r="R77" s="313">
        <v>0.4052</v>
      </c>
      <c r="S77" s="115" t="s">
        <v>1041</v>
      </c>
      <c r="T77" s="116" t="s">
        <v>94</v>
      </c>
    </row>
    <row r="78" spans="2:20" ht="19.5" customHeight="1" x14ac:dyDescent="0.3">
      <c r="B78" s="380">
        <v>46</v>
      </c>
      <c r="C78" s="382" t="s">
        <v>578</v>
      </c>
      <c r="D78" s="387" t="s">
        <v>579</v>
      </c>
      <c r="E78" s="374" t="s">
        <v>580</v>
      </c>
      <c r="F78" s="376" t="s">
        <v>581</v>
      </c>
      <c r="G78" s="378" t="s">
        <v>582</v>
      </c>
      <c r="H78" s="400" t="s">
        <v>295</v>
      </c>
      <c r="I78" s="402" t="s">
        <v>295</v>
      </c>
      <c r="J78" s="79" t="s">
        <v>583</v>
      </c>
      <c r="K78" s="79" t="s">
        <v>583</v>
      </c>
      <c r="L78" s="79" t="s">
        <v>584</v>
      </c>
      <c r="M78" s="256" t="s">
        <v>585</v>
      </c>
      <c r="N78" s="314" t="s">
        <v>779</v>
      </c>
      <c r="O78" s="256" t="s">
        <v>586</v>
      </c>
      <c r="P78" s="314" t="s">
        <v>778</v>
      </c>
      <c r="Q78" s="314" t="s">
        <v>780</v>
      </c>
      <c r="R78" s="315">
        <v>2.18E-2</v>
      </c>
      <c r="S78" s="257" t="s">
        <v>587</v>
      </c>
      <c r="T78" s="264" t="s">
        <v>350</v>
      </c>
    </row>
    <row r="79" spans="2:20" ht="19.5" customHeight="1" x14ac:dyDescent="0.3">
      <c r="B79" s="389"/>
      <c r="C79" s="390"/>
      <c r="D79" s="391"/>
      <c r="E79" s="384"/>
      <c r="F79" s="385"/>
      <c r="G79" s="386"/>
      <c r="H79" s="405"/>
      <c r="I79" s="404"/>
      <c r="J79" s="67" t="s">
        <v>588</v>
      </c>
      <c r="K79" s="67" t="s">
        <v>588</v>
      </c>
      <c r="L79" s="67" t="s">
        <v>589</v>
      </c>
      <c r="M79" s="98" t="s">
        <v>590</v>
      </c>
      <c r="N79" s="312" t="s">
        <v>763</v>
      </c>
      <c r="O79" s="98" t="s">
        <v>591</v>
      </c>
      <c r="P79" s="312" t="s">
        <v>762</v>
      </c>
      <c r="Q79" s="312" t="s">
        <v>661</v>
      </c>
      <c r="R79" s="313">
        <v>0.54779999999999995</v>
      </c>
      <c r="S79" s="115" t="s">
        <v>592</v>
      </c>
      <c r="T79" s="116" t="s">
        <v>350</v>
      </c>
    </row>
    <row r="80" spans="2:20" ht="19.5" customHeight="1" x14ac:dyDescent="0.3">
      <c r="B80" s="389"/>
      <c r="C80" s="390"/>
      <c r="D80" s="391"/>
      <c r="E80" s="384"/>
      <c r="F80" s="385"/>
      <c r="G80" s="386"/>
      <c r="H80" s="405"/>
      <c r="I80" s="404"/>
      <c r="J80" s="67" t="s">
        <v>593</v>
      </c>
      <c r="K80" s="67" t="s">
        <v>593</v>
      </c>
      <c r="L80" s="67" t="s">
        <v>594</v>
      </c>
      <c r="M80" s="98" t="s">
        <v>595</v>
      </c>
      <c r="N80" s="312">
        <v>1</v>
      </c>
      <c r="O80" s="98" t="s">
        <v>596</v>
      </c>
      <c r="P80" s="312" t="s">
        <v>729</v>
      </c>
      <c r="Q80" s="312" t="s">
        <v>781</v>
      </c>
      <c r="R80" s="313">
        <v>1</v>
      </c>
      <c r="S80" s="115" t="s">
        <v>597</v>
      </c>
      <c r="T80" s="116" t="s">
        <v>94</v>
      </c>
    </row>
    <row r="81" spans="2:20" ht="19.5" customHeight="1" x14ac:dyDescent="0.3">
      <c r="B81" s="381"/>
      <c r="C81" s="383"/>
      <c r="D81" s="388"/>
      <c r="E81" s="375"/>
      <c r="F81" s="377"/>
      <c r="G81" s="379"/>
      <c r="H81" s="401"/>
      <c r="I81" s="403"/>
      <c r="J81" s="73" t="s">
        <v>598</v>
      </c>
      <c r="K81" s="73" t="s">
        <v>598</v>
      </c>
      <c r="L81" s="73" t="s">
        <v>599</v>
      </c>
      <c r="M81" s="258" t="s">
        <v>600</v>
      </c>
      <c r="N81" s="316">
        <v>1</v>
      </c>
      <c r="O81" s="258" t="s">
        <v>601</v>
      </c>
      <c r="P81" s="316" t="s">
        <v>782</v>
      </c>
      <c r="Q81" s="316" t="s">
        <v>783</v>
      </c>
      <c r="R81" s="317">
        <v>0.876</v>
      </c>
      <c r="S81" s="259" t="s">
        <v>603</v>
      </c>
      <c r="T81" s="265" t="s">
        <v>94</v>
      </c>
    </row>
    <row r="82" spans="2:20" ht="19.5" customHeight="1" x14ac:dyDescent="0.3">
      <c r="B82" s="274">
        <v>47</v>
      </c>
      <c r="C82" s="282" t="s">
        <v>604</v>
      </c>
      <c r="D82" s="252" t="s">
        <v>605</v>
      </c>
      <c r="E82" s="252" t="s">
        <v>606</v>
      </c>
      <c r="F82" s="322" t="s">
        <v>607</v>
      </c>
      <c r="G82" s="287" t="s">
        <v>608</v>
      </c>
      <c r="H82" s="358" t="s">
        <v>295</v>
      </c>
      <c r="I82" s="362" t="s">
        <v>295</v>
      </c>
      <c r="J82" s="67" t="s">
        <v>609</v>
      </c>
      <c r="K82" s="67" t="s">
        <v>609</v>
      </c>
      <c r="L82" s="67" t="s">
        <v>610</v>
      </c>
      <c r="M82" s="98" t="s">
        <v>611</v>
      </c>
      <c r="N82" s="312">
        <v>1</v>
      </c>
      <c r="O82" s="98" t="s">
        <v>612</v>
      </c>
      <c r="P82" s="312" t="s">
        <v>743</v>
      </c>
      <c r="Q82" s="312" t="s">
        <v>718</v>
      </c>
      <c r="R82" s="313" t="s">
        <v>38</v>
      </c>
      <c r="S82" s="115" t="s">
        <v>1042</v>
      </c>
      <c r="T82" s="116" t="s">
        <v>40</v>
      </c>
    </row>
    <row r="83" spans="2:20" ht="19.5" customHeight="1" x14ac:dyDescent="0.3">
      <c r="B83" s="380">
        <v>48</v>
      </c>
      <c r="C83" s="382" t="s">
        <v>613</v>
      </c>
      <c r="D83" s="387" t="s">
        <v>614</v>
      </c>
      <c r="E83" s="374" t="s">
        <v>615</v>
      </c>
      <c r="F83" s="376" t="s">
        <v>616</v>
      </c>
      <c r="G83" s="378" t="s">
        <v>617</v>
      </c>
      <c r="H83" s="400" t="s">
        <v>295</v>
      </c>
      <c r="I83" s="402" t="s">
        <v>295</v>
      </c>
      <c r="J83" s="79" t="s">
        <v>618</v>
      </c>
      <c r="K83" s="79" t="s">
        <v>619</v>
      </c>
      <c r="L83" s="79" t="s">
        <v>620</v>
      </c>
      <c r="M83" s="256" t="s">
        <v>621</v>
      </c>
      <c r="N83" s="314">
        <v>1</v>
      </c>
      <c r="O83" s="256" t="s">
        <v>622</v>
      </c>
      <c r="P83" s="314" t="s">
        <v>731</v>
      </c>
      <c r="Q83" s="314" t="s">
        <v>116</v>
      </c>
      <c r="R83" s="315">
        <v>2.3E-3</v>
      </c>
      <c r="S83" s="257" t="s">
        <v>1043</v>
      </c>
      <c r="T83" s="264" t="s">
        <v>94</v>
      </c>
    </row>
    <row r="84" spans="2:20" ht="19.5" customHeight="1" x14ac:dyDescent="0.3">
      <c r="B84" s="381"/>
      <c r="C84" s="383"/>
      <c r="D84" s="388"/>
      <c r="E84" s="375"/>
      <c r="F84" s="377"/>
      <c r="G84" s="379"/>
      <c r="H84" s="401"/>
      <c r="I84" s="403"/>
      <c r="J84" s="73" t="s">
        <v>625</v>
      </c>
      <c r="K84" s="73" t="s">
        <v>626</v>
      </c>
      <c r="L84" s="73" t="s">
        <v>627</v>
      </c>
      <c r="M84" s="258" t="s">
        <v>382</v>
      </c>
      <c r="N84" s="316">
        <v>1</v>
      </c>
      <c r="O84" s="258" t="s">
        <v>628</v>
      </c>
      <c r="P84" s="316" t="s">
        <v>729</v>
      </c>
      <c r="Q84" s="316" t="s">
        <v>551</v>
      </c>
      <c r="R84" s="317" t="s">
        <v>38</v>
      </c>
      <c r="S84" s="259" t="s">
        <v>1044</v>
      </c>
      <c r="T84" s="265" t="s">
        <v>94</v>
      </c>
    </row>
    <row r="85" spans="2:20" ht="19.5" customHeight="1" x14ac:dyDescent="0.3">
      <c r="B85" s="274">
        <v>49</v>
      </c>
      <c r="C85" s="282" t="s">
        <v>629</v>
      </c>
      <c r="D85" s="252" t="s">
        <v>630</v>
      </c>
      <c r="E85" s="252" t="s">
        <v>631</v>
      </c>
      <c r="F85" s="322" t="s">
        <v>632</v>
      </c>
      <c r="G85" s="287" t="s">
        <v>633</v>
      </c>
      <c r="H85" s="358" t="s">
        <v>295</v>
      </c>
      <c r="I85" s="362" t="s">
        <v>295</v>
      </c>
      <c r="J85" s="67" t="s">
        <v>634</v>
      </c>
      <c r="K85" s="67" t="s">
        <v>634</v>
      </c>
      <c r="L85" s="67" t="s">
        <v>635</v>
      </c>
      <c r="M85" s="98" t="s">
        <v>636</v>
      </c>
      <c r="N85" s="312" t="s">
        <v>785</v>
      </c>
      <c r="O85" s="98" t="s">
        <v>637</v>
      </c>
      <c r="P85" s="312" t="s">
        <v>784</v>
      </c>
      <c r="Q85" s="312" t="s">
        <v>685</v>
      </c>
      <c r="R85" s="313">
        <v>1</v>
      </c>
      <c r="S85" s="115" t="s">
        <v>639</v>
      </c>
      <c r="T85" s="116" t="s">
        <v>40</v>
      </c>
    </row>
    <row r="86" spans="2:20" ht="19.5" customHeight="1" x14ac:dyDescent="0.3">
      <c r="B86" s="380">
        <v>50</v>
      </c>
      <c r="C86" s="382" t="s">
        <v>640</v>
      </c>
      <c r="D86" s="387" t="s">
        <v>641</v>
      </c>
      <c r="E86" s="374" t="s">
        <v>642</v>
      </c>
      <c r="F86" s="376" t="s">
        <v>643</v>
      </c>
      <c r="G86" s="378" t="s">
        <v>644</v>
      </c>
      <c r="H86" s="400" t="s">
        <v>295</v>
      </c>
      <c r="I86" s="402" t="s">
        <v>295</v>
      </c>
      <c r="J86" s="79" t="s">
        <v>645</v>
      </c>
      <c r="K86" s="79" t="s">
        <v>646</v>
      </c>
      <c r="L86" s="79" t="s">
        <v>647</v>
      </c>
      <c r="M86" s="256" t="s">
        <v>648</v>
      </c>
      <c r="N86" s="314">
        <v>1</v>
      </c>
      <c r="O86" s="256" t="s">
        <v>649</v>
      </c>
      <c r="P86" s="314" t="s">
        <v>786</v>
      </c>
      <c r="Q86" s="314" t="s">
        <v>787</v>
      </c>
      <c r="R86" s="315">
        <v>1</v>
      </c>
      <c r="S86" s="257" t="s">
        <v>1045</v>
      </c>
      <c r="T86" s="264" t="s">
        <v>350</v>
      </c>
    </row>
    <row r="87" spans="2:20" ht="19.5" customHeight="1" x14ac:dyDescent="0.3">
      <c r="B87" s="381"/>
      <c r="C87" s="383"/>
      <c r="D87" s="388"/>
      <c r="E87" s="375"/>
      <c r="F87" s="377"/>
      <c r="G87" s="379"/>
      <c r="H87" s="401"/>
      <c r="I87" s="403"/>
      <c r="J87" s="73" t="s">
        <v>650</v>
      </c>
      <c r="K87" s="73" t="s">
        <v>651</v>
      </c>
      <c r="L87" s="73" t="s">
        <v>647</v>
      </c>
      <c r="M87" s="258" t="s">
        <v>541</v>
      </c>
      <c r="N87" s="316">
        <v>1</v>
      </c>
      <c r="O87" s="258" t="s">
        <v>652</v>
      </c>
      <c r="P87" s="316" t="s">
        <v>771</v>
      </c>
      <c r="Q87" s="316" t="s">
        <v>308</v>
      </c>
      <c r="R87" s="317">
        <v>0.99990000000000001</v>
      </c>
      <c r="S87" s="259" t="s">
        <v>1046</v>
      </c>
      <c r="T87" s="265" t="s">
        <v>350</v>
      </c>
    </row>
    <row r="88" spans="2:20" ht="19.5" customHeight="1" x14ac:dyDescent="0.3">
      <c r="B88" s="371" t="s">
        <v>1084</v>
      </c>
      <c r="C88" s="116" t="s">
        <v>653</v>
      </c>
      <c r="D88" s="353" t="s">
        <v>654</v>
      </c>
      <c r="E88" s="353" t="s">
        <v>654</v>
      </c>
      <c r="F88" s="252"/>
      <c r="G88" s="354" t="s">
        <v>654</v>
      </c>
      <c r="H88" s="303"/>
      <c r="I88" s="286"/>
      <c r="J88" s="67" t="s">
        <v>653</v>
      </c>
      <c r="K88" s="67" t="s">
        <v>653</v>
      </c>
      <c r="L88" s="67" t="s">
        <v>654</v>
      </c>
      <c r="M88" s="98" t="s">
        <v>655</v>
      </c>
      <c r="N88" s="312">
        <v>1</v>
      </c>
      <c r="O88" s="98" t="s">
        <v>656</v>
      </c>
      <c r="P88" s="312" t="s">
        <v>788</v>
      </c>
      <c r="Q88" s="312" t="s">
        <v>678</v>
      </c>
      <c r="R88" s="313">
        <v>0.65290000000000004</v>
      </c>
      <c r="S88" s="115"/>
      <c r="T88" s="116" t="s">
        <v>654</v>
      </c>
    </row>
    <row r="89" spans="2:20" ht="19.5" customHeight="1" x14ac:dyDescent="0.3">
      <c r="B89" s="372"/>
      <c r="C89" s="263" t="s">
        <v>658</v>
      </c>
      <c r="D89" s="260" t="s">
        <v>654</v>
      </c>
      <c r="E89" s="260" t="s">
        <v>654</v>
      </c>
      <c r="F89" s="260"/>
      <c r="G89" s="288" t="s">
        <v>659</v>
      </c>
      <c r="H89" s="303"/>
      <c r="I89" s="285"/>
      <c r="J89" s="253" t="s">
        <v>658</v>
      </c>
      <c r="K89" s="253" t="s">
        <v>658</v>
      </c>
      <c r="L89" s="253" t="s">
        <v>654</v>
      </c>
      <c r="M89" s="254" t="s">
        <v>660</v>
      </c>
      <c r="N89" s="310">
        <v>1</v>
      </c>
      <c r="O89" s="254" t="s">
        <v>656</v>
      </c>
      <c r="P89" s="310" t="s">
        <v>789</v>
      </c>
      <c r="Q89" s="310" t="s">
        <v>577</v>
      </c>
      <c r="R89" s="311">
        <v>0.19370000000000001</v>
      </c>
      <c r="S89" s="255"/>
      <c r="T89" s="263" t="s">
        <v>654</v>
      </c>
    </row>
    <row r="90" spans="2:20" ht="19.5" customHeight="1" x14ac:dyDescent="0.3">
      <c r="B90" s="372"/>
      <c r="C90" s="116" t="s">
        <v>662</v>
      </c>
      <c r="D90" s="353" t="s">
        <v>654</v>
      </c>
      <c r="E90" s="353" t="s">
        <v>654</v>
      </c>
      <c r="F90" s="252"/>
      <c r="G90" s="354" t="s">
        <v>654</v>
      </c>
      <c r="H90" s="304"/>
      <c r="I90" s="286"/>
      <c r="J90" s="67" t="s">
        <v>662</v>
      </c>
      <c r="K90" s="67" t="s">
        <v>662</v>
      </c>
      <c r="L90" s="67" t="s">
        <v>654</v>
      </c>
      <c r="M90" s="98" t="s">
        <v>663</v>
      </c>
      <c r="N90" s="312">
        <v>1</v>
      </c>
      <c r="O90" s="98" t="s">
        <v>664</v>
      </c>
      <c r="P90" s="312" t="s">
        <v>790</v>
      </c>
      <c r="Q90" s="312" t="s">
        <v>602</v>
      </c>
      <c r="R90" s="313">
        <v>1</v>
      </c>
      <c r="S90" s="115"/>
      <c r="T90" s="116" t="s">
        <v>654</v>
      </c>
    </row>
    <row r="91" spans="2:20" ht="19.5" customHeight="1" thickBot="1" x14ac:dyDescent="0.35">
      <c r="B91" s="373"/>
      <c r="C91" s="280" t="s">
        <v>665</v>
      </c>
      <c r="D91" s="275"/>
      <c r="E91" s="327"/>
      <c r="F91" s="327"/>
      <c r="G91" s="325" t="s">
        <v>666</v>
      </c>
      <c r="H91" s="305"/>
      <c r="I91" s="289"/>
      <c r="J91" s="275"/>
      <c r="K91" s="275"/>
      <c r="L91" s="275"/>
      <c r="M91" s="276"/>
      <c r="N91" s="277"/>
      <c r="O91" s="277"/>
      <c r="P91" s="278"/>
      <c r="Q91" s="277"/>
      <c r="R91" s="277"/>
      <c r="S91" s="279"/>
      <c r="T91" s="280"/>
    </row>
    <row r="92" spans="2:20" x14ac:dyDescent="0.3">
      <c r="G92" s="87" t="s">
        <v>84</v>
      </c>
      <c r="P92" s="96"/>
    </row>
  </sheetData>
  <mergeCells count="190">
    <mergeCell ref="H78:H81"/>
    <mergeCell ref="I78:I81"/>
    <mergeCell ref="H83:H84"/>
    <mergeCell ref="I83:I84"/>
    <mergeCell ref="H86:H87"/>
    <mergeCell ref="I86:I87"/>
    <mergeCell ref="H49:H50"/>
    <mergeCell ref="H51:H52"/>
    <mergeCell ref="H54:H55"/>
    <mergeCell ref="H58:H60"/>
    <mergeCell ref="I58:I60"/>
    <mergeCell ref="I61:I62"/>
    <mergeCell ref="I63:I65"/>
    <mergeCell ref="I67:I68"/>
    <mergeCell ref="I74:I75"/>
    <mergeCell ref="I76:I77"/>
    <mergeCell ref="I40:I41"/>
    <mergeCell ref="I44:I47"/>
    <mergeCell ref="I49:I50"/>
    <mergeCell ref="I51:I52"/>
    <mergeCell ref="I54:I55"/>
    <mergeCell ref="H17:H20"/>
    <mergeCell ref="H23:H24"/>
    <mergeCell ref="H25:H27"/>
    <mergeCell ref="H28:H29"/>
    <mergeCell ref="H30:H31"/>
    <mergeCell ref="H33:H34"/>
    <mergeCell ref="H38:H39"/>
    <mergeCell ref="H40:H41"/>
    <mergeCell ref="H44:H47"/>
    <mergeCell ref="I17:I20"/>
    <mergeCell ref="I23:I24"/>
    <mergeCell ref="I25:I27"/>
    <mergeCell ref="I28:I29"/>
    <mergeCell ref="I30:I31"/>
    <mergeCell ref="I33:I34"/>
    <mergeCell ref="I38:I39"/>
    <mergeCell ref="D76:D77"/>
    <mergeCell ref="E76:E77"/>
    <mergeCell ref="F76:F77"/>
    <mergeCell ref="G76:G77"/>
    <mergeCell ref="D74:D75"/>
    <mergeCell ref="E74:E75"/>
    <mergeCell ref="F74:F75"/>
    <mergeCell ref="G74:G75"/>
    <mergeCell ref="H61:H62"/>
    <mergeCell ref="H63:H65"/>
    <mergeCell ref="H67:H68"/>
    <mergeCell ref="H74:H75"/>
    <mergeCell ref="H76:H77"/>
    <mergeCell ref="F67:F68"/>
    <mergeCell ref="G67:G68"/>
    <mergeCell ref="F63:F65"/>
    <mergeCell ref="G63:G65"/>
    <mergeCell ref="C10:C11"/>
    <mergeCell ref="C12:C13"/>
    <mergeCell ref="B10:B11"/>
    <mergeCell ref="B12:B13"/>
    <mergeCell ref="E10:E11"/>
    <mergeCell ref="F10:F11"/>
    <mergeCell ref="G10:G11"/>
    <mergeCell ref="D10:D11"/>
    <mergeCell ref="D12:D13"/>
    <mergeCell ref="E12:E13"/>
    <mergeCell ref="F12:F13"/>
    <mergeCell ref="G12:G13"/>
    <mergeCell ref="C4:C5"/>
    <mergeCell ref="B4:B5"/>
    <mergeCell ref="D4:G4"/>
    <mergeCell ref="H4:I4"/>
    <mergeCell ref="H10:H11"/>
    <mergeCell ref="H12:H13"/>
    <mergeCell ref="K4:T4"/>
    <mergeCell ref="I10:I11"/>
    <mergeCell ref="I12:I13"/>
    <mergeCell ref="B2:M2"/>
    <mergeCell ref="G17:G20"/>
    <mergeCell ref="C23:C24"/>
    <mergeCell ref="D23:D24"/>
    <mergeCell ref="B23:B24"/>
    <mergeCell ref="E23:E24"/>
    <mergeCell ref="F23:F24"/>
    <mergeCell ref="G23:G24"/>
    <mergeCell ref="C17:C20"/>
    <mergeCell ref="B17:B20"/>
    <mergeCell ref="D17:D20"/>
    <mergeCell ref="E17:E20"/>
    <mergeCell ref="F17:F20"/>
    <mergeCell ref="G25:G27"/>
    <mergeCell ref="C28:C29"/>
    <mergeCell ref="B28:B29"/>
    <mergeCell ref="D28:D29"/>
    <mergeCell ref="E28:E29"/>
    <mergeCell ref="F28:F29"/>
    <mergeCell ref="G28:G29"/>
    <mergeCell ref="C25:C27"/>
    <mergeCell ref="B25:B27"/>
    <mergeCell ref="D25:D27"/>
    <mergeCell ref="E25:E27"/>
    <mergeCell ref="F25:F27"/>
    <mergeCell ref="G30:G31"/>
    <mergeCell ref="D33:D34"/>
    <mergeCell ref="C33:C34"/>
    <mergeCell ref="E33:E34"/>
    <mergeCell ref="F33:F34"/>
    <mergeCell ref="G33:G34"/>
    <mergeCell ref="B30:B31"/>
    <mergeCell ref="C30:C31"/>
    <mergeCell ref="D30:D31"/>
    <mergeCell ref="E30:E31"/>
    <mergeCell ref="F30:F31"/>
    <mergeCell ref="G44:G47"/>
    <mergeCell ref="C49:C50"/>
    <mergeCell ref="B33:B34"/>
    <mergeCell ref="B49:B50"/>
    <mergeCell ref="D49:D50"/>
    <mergeCell ref="E49:E50"/>
    <mergeCell ref="F49:F50"/>
    <mergeCell ref="G49:G50"/>
    <mergeCell ref="C44:C47"/>
    <mergeCell ref="B44:B47"/>
    <mergeCell ref="D44:D47"/>
    <mergeCell ref="E44:E47"/>
    <mergeCell ref="F44:F47"/>
    <mergeCell ref="D40:D41"/>
    <mergeCell ref="E40:E41"/>
    <mergeCell ref="F40:F41"/>
    <mergeCell ref="G40:G41"/>
    <mergeCell ref="D38:D39"/>
    <mergeCell ref="E38:E39"/>
    <mergeCell ref="F38:F39"/>
    <mergeCell ref="G38:G39"/>
    <mergeCell ref="G51:G52"/>
    <mergeCell ref="B54:B55"/>
    <mergeCell ref="C54:C55"/>
    <mergeCell ref="D54:D55"/>
    <mergeCell ref="E54:E55"/>
    <mergeCell ref="F54:F55"/>
    <mergeCell ref="G54:G55"/>
    <mergeCell ref="B51:B52"/>
    <mergeCell ref="C51:C52"/>
    <mergeCell ref="D51:D52"/>
    <mergeCell ref="E51:E52"/>
    <mergeCell ref="F51:F52"/>
    <mergeCell ref="G58:G60"/>
    <mergeCell ref="C61:C62"/>
    <mergeCell ref="D61:D62"/>
    <mergeCell ref="E61:E62"/>
    <mergeCell ref="F61:F62"/>
    <mergeCell ref="G61:G62"/>
    <mergeCell ref="B58:B60"/>
    <mergeCell ref="C58:C60"/>
    <mergeCell ref="D58:D60"/>
    <mergeCell ref="E58:E60"/>
    <mergeCell ref="F58:F60"/>
    <mergeCell ref="C74:C75"/>
    <mergeCell ref="B67:B68"/>
    <mergeCell ref="B61:B62"/>
    <mergeCell ref="B74:B75"/>
    <mergeCell ref="B63:B65"/>
    <mergeCell ref="C67:C68"/>
    <mergeCell ref="D67:D68"/>
    <mergeCell ref="E67:E68"/>
    <mergeCell ref="C63:C65"/>
    <mergeCell ref="D63:D65"/>
    <mergeCell ref="E63:E65"/>
    <mergeCell ref="B88:B91"/>
    <mergeCell ref="E86:E87"/>
    <mergeCell ref="F86:F87"/>
    <mergeCell ref="G86:G87"/>
    <mergeCell ref="B40:B41"/>
    <mergeCell ref="C40:C41"/>
    <mergeCell ref="C38:C39"/>
    <mergeCell ref="E78:E81"/>
    <mergeCell ref="F78:F81"/>
    <mergeCell ref="G78:G81"/>
    <mergeCell ref="D83:D84"/>
    <mergeCell ref="E83:E84"/>
    <mergeCell ref="F83:F84"/>
    <mergeCell ref="G83:G84"/>
    <mergeCell ref="B76:B77"/>
    <mergeCell ref="B78:B81"/>
    <mergeCell ref="B83:B84"/>
    <mergeCell ref="B86:B87"/>
    <mergeCell ref="C76:C77"/>
    <mergeCell ref="C78:C81"/>
    <mergeCell ref="C83:C84"/>
    <mergeCell ref="D78:D81"/>
    <mergeCell ref="C86:C87"/>
    <mergeCell ref="D86:D87"/>
  </mergeCells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512"/>
  <sheetViews>
    <sheetView zoomScale="70" zoomScaleNormal="70" workbookViewId="0">
      <pane ySplit="4" topLeftCell="A191" activePane="bottomLeft" state="frozen"/>
      <selection pane="bottomLeft" activeCell="F231" sqref="F231"/>
    </sheetView>
  </sheetViews>
  <sheetFormatPr defaultColWidth="9.109375" defaultRowHeight="14.4" x14ac:dyDescent="0.3"/>
  <cols>
    <col min="1" max="1" width="4.33203125" customWidth="1"/>
    <col min="2" max="2" width="13.109375" bestFit="1" customWidth="1"/>
    <col min="3" max="3" width="12.44140625" bestFit="1" customWidth="1"/>
    <col min="4" max="4" width="13.5546875" bestFit="1" customWidth="1"/>
    <col min="5" max="5" width="8.109375" bestFit="1" customWidth="1"/>
    <col min="6" max="6" width="9.5546875" bestFit="1" customWidth="1"/>
    <col min="7" max="7" width="11" bestFit="1" customWidth="1"/>
    <col min="8" max="8" width="12" bestFit="1" customWidth="1"/>
    <col min="9" max="9" width="7.33203125" bestFit="1" customWidth="1"/>
  </cols>
  <sheetData>
    <row r="2" spans="2:9" s="297" customFormat="1" ht="18" x14ac:dyDescent="0.35">
      <c r="B2" s="392" t="s">
        <v>1136</v>
      </c>
      <c r="C2" s="392"/>
      <c r="D2" s="392"/>
      <c r="E2" s="392"/>
      <c r="F2" s="392"/>
      <c r="G2" s="392"/>
      <c r="H2" s="392"/>
      <c r="I2" s="392"/>
    </row>
    <row r="3" spans="2:9" ht="15" thickBot="1" x14ac:dyDescent="0.35">
      <c r="B3" s="87"/>
    </row>
    <row r="4" spans="2:9" ht="29.4" thickBot="1" x14ac:dyDescent="0.35">
      <c r="B4" s="133" t="s">
        <v>1051</v>
      </c>
      <c r="C4" s="134" t="s">
        <v>1055</v>
      </c>
      <c r="D4" s="134" t="s">
        <v>1052</v>
      </c>
      <c r="E4" s="135" t="s">
        <v>807</v>
      </c>
      <c r="F4" s="135" t="s">
        <v>808</v>
      </c>
      <c r="G4" s="134" t="s">
        <v>1053</v>
      </c>
      <c r="H4" s="134" t="s">
        <v>1054</v>
      </c>
      <c r="I4" s="136" t="s">
        <v>809</v>
      </c>
    </row>
    <row r="5" spans="2:9" x14ac:dyDescent="0.3">
      <c r="B5" s="137">
        <v>41465</v>
      </c>
      <c r="C5" s="2" t="s">
        <v>810</v>
      </c>
      <c r="D5" s="2">
        <v>500</v>
      </c>
      <c r="E5" s="2">
        <v>16</v>
      </c>
      <c r="F5" s="2">
        <v>17</v>
      </c>
      <c r="G5" s="2">
        <v>1</v>
      </c>
      <c r="H5" s="2">
        <v>94.12</v>
      </c>
      <c r="I5" s="3">
        <v>0.98</v>
      </c>
    </row>
    <row r="6" spans="2:9" x14ac:dyDescent="0.3">
      <c r="B6" s="138">
        <v>41465</v>
      </c>
      <c r="C6" s="4" t="s">
        <v>810</v>
      </c>
      <c r="D6" s="4">
        <v>500</v>
      </c>
      <c r="E6" s="4">
        <v>13</v>
      </c>
      <c r="F6" s="4">
        <v>15</v>
      </c>
      <c r="G6" s="4">
        <v>2</v>
      </c>
      <c r="H6" s="4">
        <v>86.67</v>
      </c>
      <c r="I6" s="5">
        <v>0.98</v>
      </c>
    </row>
    <row r="7" spans="2:9" x14ac:dyDescent="0.3">
      <c r="B7" s="138">
        <v>41465</v>
      </c>
      <c r="C7" s="4" t="s">
        <v>810</v>
      </c>
      <c r="D7" s="4">
        <v>500</v>
      </c>
      <c r="E7" s="4">
        <v>16</v>
      </c>
      <c r="F7" s="4">
        <v>17</v>
      </c>
      <c r="G7" s="4">
        <v>1</v>
      </c>
      <c r="H7" s="4">
        <v>94.12</v>
      </c>
      <c r="I7" s="5">
        <v>0.98</v>
      </c>
    </row>
    <row r="8" spans="2:9" x14ac:dyDescent="0.3">
      <c r="B8" s="138">
        <v>41465</v>
      </c>
      <c r="C8" s="4" t="s">
        <v>810</v>
      </c>
      <c r="D8" s="4">
        <v>500</v>
      </c>
      <c r="E8" s="4">
        <v>14</v>
      </c>
      <c r="F8" s="4">
        <v>17</v>
      </c>
      <c r="G8" s="4">
        <v>3</v>
      </c>
      <c r="H8" s="4">
        <v>82.35</v>
      </c>
      <c r="I8" s="5">
        <v>0.95</v>
      </c>
    </row>
    <row r="9" spans="2:9" x14ac:dyDescent="0.3">
      <c r="B9" s="138">
        <v>41479</v>
      </c>
      <c r="C9" s="4" t="s">
        <v>810</v>
      </c>
      <c r="D9" s="4">
        <v>31.25</v>
      </c>
      <c r="E9" s="4">
        <v>10</v>
      </c>
      <c r="F9" s="4">
        <v>17</v>
      </c>
      <c r="G9" s="4">
        <v>7</v>
      </c>
      <c r="H9" s="4">
        <v>58.82</v>
      </c>
      <c r="I9" s="5">
        <v>0.71</v>
      </c>
    </row>
    <row r="10" spans="2:9" x14ac:dyDescent="0.3">
      <c r="B10" s="138">
        <v>41479</v>
      </c>
      <c r="C10" s="4" t="s">
        <v>810</v>
      </c>
      <c r="D10" s="4">
        <v>1.953125</v>
      </c>
      <c r="E10" s="4">
        <v>2</v>
      </c>
      <c r="F10" s="4">
        <v>17</v>
      </c>
      <c r="G10" s="4">
        <v>15</v>
      </c>
      <c r="H10" s="4">
        <v>11.77</v>
      </c>
      <c r="I10" s="5">
        <v>0.28000000000000003</v>
      </c>
    </row>
    <row r="11" spans="2:9" x14ac:dyDescent="0.3">
      <c r="B11" s="138">
        <v>41479</v>
      </c>
      <c r="C11" s="4" t="s">
        <v>810</v>
      </c>
      <c r="D11" s="4">
        <v>500</v>
      </c>
      <c r="E11" s="4">
        <v>11</v>
      </c>
      <c r="F11" s="4">
        <v>17</v>
      </c>
      <c r="G11" s="4">
        <v>6</v>
      </c>
      <c r="H11" s="4">
        <v>64.709999999999994</v>
      </c>
      <c r="I11" s="5">
        <v>0.85</v>
      </c>
    </row>
    <row r="12" spans="2:9" x14ac:dyDescent="0.3">
      <c r="B12" s="138">
        <v>41479</v>
      </c>
      <c r="C12" s="4" t="s">
        <v>810</v>
      </c>
      <c r="D12" s="4">
        <v>0.48828125</v>
      </c>
      <c r="E12" s="4">
        <v>2</v>
      </c>
      <c r="F12" s="4">
        <v>17</v>
      </c>
      <c r="G12" s="4">
        <v>15</v>
      </c>
      <c r="H12" s="4">
        <v>11.77</v>
      </c>
      <c r="I12" s="5">
        <v>0.65</v>
      </c>
    </row>
    <row r="13" spans="2:9" x14ac:dyDescent="0.3">
      <c r="B13" s="138">
        <v>41479</v>
      </c>
      <c r="C13" s="4" t="s">
        <v>810</v>
      </c>
      <c r="D13" s="4">
        <v>7.8125</v>
      </c>
      <c r="E13" s="4">
        <v>2</v>
      </c>
      <c r="F13" s="4">
        <v>17</v>
      </c>
      <c r="G13" s="4">
        <v>15</v>
      </c>
      <c r="H13" s="4">
        <v>11.77</v>
      </c>
      <c r="I13" s="5">
        <v>0.66</v>
      </c>
    </row>
    <row r="14" spans="2:9" x14ac:dyDescent="0.3">
      <c r="B14" s="138">
        <v>41479</v>
      </c>
      <c r="C14" s="4" t="s">
        <v>810</v>
      </c>
      <c r="D14" s="4">
        <v>125</v>
      </c>
      <c r="E14" s="4">
        <v>9</v>
      </c>
      <c r="F14" s="4">
        <v>17</v>
      </c>
      <c r="G14" s="4">
        <v>8</v>
      </c>
      <c r="H14" s="4">
        <v>52.94</v>
      </c>
      <c r="I14" s="5">
        <v>0.74</v>
      </c>
    </row>
    <row r="15" spans="2:9" x14ac:dyDescent="0.3">
      <c r="B15" s="138">
        <v>41479</v>
      </c>
      <c r="C15" s="4" t="s">
        <v>810</v>
      </c>
      <c r="D15" s="4">
        <v>31.25</v>
      </c>
      <c r="E15" s="4">
        <v>8</v>
      </c>
      <c r="F15" s="4">
        <v>14</v>
      </c>
      <c r="G15" s="4">
        <v>6</v>
      </c>
      <c r="H15" s="4">
        <v>57.14</v>
      </c>
      <c r="I15" s="5">
        <v>0.41</v>
      </c>
    </row>
    <row r="16" spans="2:9" x14ac:dyDescent="0.3">
      <c r="B16" s="138">
        <v>41479</v>
      </c>
      <c r="C16" s="4" t="s">
        <v>810</v>
      </c>
      <c r="D16" s="4">
        <v>1.953125</v>
      </c>
      <c r="E16" s="4">
        <v>7</v>
      </c>
      <c r="F16" s="4">
        <v>17</v>
      </c>
      <c r="G16" s="4">
        <v>10</v>
      </c>
      <c r="H16" s="4">
        <v>41.18</v>
      </c>
      <c r="I16" s="5">
        <v>-7.0000000000000007E-2</v>
      </c>
    </row>
    <row r="17" spans="2:9" x14ac:dyDescent="0.3">
      <c r="B17" s="138">
        <v>41479</v>
      </c>
      <c r="C17" s="4" t="s">
        <v>810</v>
      </c>
      <c r="D17" s="4">
        <v>500</v>
      </c>
      <c r="E17" s="4">
        <v>15</v>
      </c>
      <c r="F17" s="4">
        <v>17</v>
      </c>
      <c r="G17" s="4">
        <v>2</v>
      </c>
      <c r="H17" s="4">
        <v>88.24</v>
      </c>
      <c r="I17" s="5">
        <v>0.24</v>
      </c>
    </row>
    <row r="18" spans="2:9" x14ac:dyDescent="0.3">
      <c r="B18" s="138">
        <v>41479</v>
      </c>
      <c r="C18" s="4" t="s">
        <v>810</v>
      </c>
      <c r="D18" s="4">
        <v>0.48828125</v>
      </c>
      <c r="E18" s="4">
        <v>4</v>
      </c>
      <c r="F18" s="4">
        <v>17</v>
      </c>
      <c r="G18" s="4">
        <v>13</v>
      </c>
      <c r="H18" s="4">
        <v>23.53</v>
      </c>
      <c r="I18" s="5">
        <v>-0.28000000000000003</v>
      </c>
    </row>
    <row r="19" spans="2:9" x14ac:dyDescent="0.3">
      <c r="B19" s="138">
        <v>41479</v>
      </c>
      <c r="C19" s="4" t="s">
        <v>810</v>
      </c>
      <c r="D19" s="4">
        <v>7.8125</v>
      </c>
      <c r="E19" s="4">
        <v>4</v>
      </c>
      <c r="F19" s="4">
        <v>18</v>
      </c>
      <c r="G19" s="4">
        <v>14</v>
      </c>
      <c r="H19" s="4">
        <v>22.22</v>
      </c>
      <c r="I19" s="5">
        <v>-0.33</v>
      </c>
    </row>
    <row r="20" spans="2:9" x14ac:dyDescent="0.3">
      <c r="B20" s="138">
        <v>41479</v>
      </c>
      <c r="C20" s="4" t="s">
        <v>810</v>
      </c>
      <c r="D20" s="4">
        <v>125</v>
      </c>
      <c r="E20" s="4">
        <v>13</v>
      </c>
      <c r="F20" s="4">
        <v>17</v>
      </c>
      <c r="G20" s="4">
        <v>4</v>
      </c>
      <c r="H20" s="4">
        <v>76.47</v>
      </c>
      <c r="I20" s="5">
        <v>0.61</v>
      </c>
    </row>
    <row r="21" spans="2:9" x14ac:dyDescent="0.3">
      <c r="B21" s="138">
        <v>41486</v>
      </c>
      <c r="C21" s="4" t="s">
        <v>810</v>
      </c>
      <c r="D21" s="4">
        <v>0.48828125</v>
      </c>
      <c r="E21" s="4">
        <v>1</v>
      </c>
      <c r="F21" s="4">
        <v>17</v>
      </c>
      <c r="G21" s="4">
        <v>16</v>
      </c>
      <c r="H21" s="4">
        <v>5.88</v>
      </c>
      <c r="I21" s="5">
        <v>0.2</v>
      </c>
    </row>
    <row r="22" spans="2:9" x14ac:dyDescent="0.3">
      <c r="B22" s="138">
        <v>41486</v>
      </c>
      <c r="C22" s="4" t="s">
        <v>810</v>
      </c>
      <c r="D22" s="4">
        <v>31.25</v>
      </c>
      <c r="E22" s="4">
        <v>7</v>
      </c>
      <c r="F22" s="4">
        <v>17</v>
      </c>
      <c r="G22" s="4">
        <v>10</v>
      </c>
      <c r="H22" s="4">
        <v>41.18</v>
      </c>
      <c r="I22" s="5">
        <v>0.74</v>
      </c>
    </row>
    <row r="23" spans="2:9" x14ac:dyDescent="0.3">
      <c r="B23" s="138">
        <v>41486</v>
      </c>
      <c r="C23" s="4" t="s">
        <v>810</v>
      </c>
      <c r="D23" s="4">
        <v>125</v>
      </c>
      <c r="E23" s="4">
        <v>13</v>
      </c>
      <c r="F23" s="4">
        <v>15</v>
      </c>
      <c r="G23" s="4">
        <v>2</v>
      </c>
      <c r="H23" s="4">
        <v>86.67</v>
      </c>
      <c r="I23" s="5">
        <v>0.99</v>
      </c>
    </row>
    <row r="24" spans="2:9" x14ac:dyDescent="0.3">
      <c r="B24" s="138">
        <v>41486</v>
      </c>
      <c r="C24" s="4" t="s">
        <v>810</v>
      </c>
      <c r="D24" s="4">
        <v>1.953125</v>
      </c>
      <c r="E24" s="4">
        <v>0</v>
      </c>
      <c r="F24" s="4">
        <v>15</v>
      </c>
      <c r="G24" s="4">
        <v>14</v>
      </c>
      <c r="H24" s="4">
        <v>0</v>
      </c>
      <c r="I24" s="5">
        <v>0.34</v>
      </c>
    </row>
    <row r="25" spans="2:9" x14ac:dyDescent="0.3">
      <c r="B25" s="138">
        <v>41486</v>
      </c>
      <c r="C25" s="4" t="s">
        <v>810</v>
      </c>
      <c r="D25" s="4">
        <v>7.8125</v>
      </c>
      <c r="E25" s="4">
        <v>1</v>
      </c>
      <c r="F25" s="4">
        <v>17</v>
      </c>
      <c r="G25" s="4">
        <v>16</v>
      </c>
      <c r="H25" s="4">
        <v>5.88</v>
      </c>
      <c r="I25" s="5">
        <v>-0.23</v>
      </c>
    </row>
    <row r="26" spans="2:9" x14ac:dyDescent="0.3">
      <c r="B26" s="138">
        <v>41486</v>
      </c>
      <c r="C26" s="4" t="s">
        <v>810</v>
      </c>
      <c r="D26" s="4">
        <v>500</v>
      </c>
      <c r="E26" s="4">
        <v>15</v>
      </c>
      <c r="F26" s="4">
        <v>17</v>
      </c>
      <c r="G26" s="4">
        <v>2</v>
      </c>
      <c r="H26" s="4">
        <v>88.24</v>
      </c>
      <c r="I26" s="5">
        <v>0.98</v>
      </c>
    </row>
    <row r="27" spans="2:9" x14ac:dyDescent="0.3">
      <c r="B27" s="138">
        <v>41486</v>
      </c>
      <c r="C27" s="4" t="s">
        <v>810</v>
      </c>
      <c r="D27" s="4">
        <v>0.48828125</v>
      </c>
      <c r="E27" s="4">
        <v>0</v>
      </c>
      <c r="F27" s="4">
        <v>17</v>
      </c>
      <c r="G27" s="4">
        <v>17</v>
      </c>
      <c r="H27" s="4">
        <v>0</v>
      </c>
      <c r="I27" s="5">
        <v>-0.11</v>
      </c>
    </row>
    <row r="28" spans="2:9" x14ac:dyDescent="0.3">
      <c r="B28" s="138">
        <v>41486</v>
      </c>
      <c r="C28" s="4" t="s">
        <v>810</v>
      </c>
      <c r="D28" s="4">
        <v>31.25</v>
      </c>
      <c r="E28" s="4">
        <v>5</v>
      </c>
      <c r="F28" s="4">
        <v>17</v>
      </c>
      <c r="G28" s="4">
        <v>12</v>
      </c>
      <c r="H28" s="4">
        <v>29.41</v>
      </c>
      <c r="I28" s="5">
        <v>0.65</v>
      </c>
    </row>
    <row r="29" spans="2:9" x14ac:dyDescent="0.3">
      <c r="B29" s="138">
        <v>41486</v>
      </c>
      <c r="C29" s="4" t="s">
        <v>810</v>
      </c>
      <c r="D29" s="4">
        <v>125</v>
      </c>
      <c r="E29" s="4">
        <v>15</v>
      </c>
      <c r="F29" s="4">
        <v>17</v>
      </c>
      <c r="G29" s="4">
        <v>2</v>
      </c>
      <c r="H29" s="4">
        <v>88.24</v>
      </c>
      <c r="I29" s="5">
        <v>0.98</v>
      </c>
    </row>
    <row r="30" spans="2:9" x14ac:dyDescent="0.3">
      <c r="B30" s="138">
        <v>41486</v>
      </c>
      <c r="C30" s="4" t="s">
        <v>810</v>
      </c>
      <c r="D30" s="4">
        <v>1.953125</v>
      </c>
      <c r="E30" s="4">
        <v>0</v>
      </c>
      <c r="F30" s="4">
        <v>17</v>
      </c>
      <c r="G30" s="4">
        <v>17</v>
      </c>
      <c r="H30" s="4">
        <v>0</v>
      </c>
      <c r="I30" s="5">
        <v>-7.0000000000000007E-2</v>
      </c>
    </row>
    <row r="31" spans="2:9" x14ac:dyDescent="0.3">
      <c r="B31" s="138">
        <v>41486</v>
      </c>
      <c r="C31" s="4" t="s">
        <v>810</v>
      </c>
      <c r="D31" s="4">
        <v>7.8125</v>
      </c>
      <c r="E31" s="4">
        <v>0</v>
      </c>
      <c r="F31" s="4">
        <v>17</v>
      </c>
      <c r="G31" s="4">
        <v>17</v>
      </c>
      <c r="H31" s="4">
        <v>0</v>
      </c>
      <c r="I31" s="5">
        <v>0.02</v>
      </c>
    </row>
    <row r="32" spans="2:9" x14ac:dyDescent="0.3">
      <c r="B32" s="138">
        <v>41486</v>
      </c>
      <c r="C32" s="4" t="s">
        <v>810</v>
      </c>
      <c r="D32" s="4">
        <v>500</v>
      </c>
      <c r="E32" s="4">
        <v>16</v>
      </c>
      <c r="F32" s="4">
        <v>17</v>
      </c>
      <c r="G32" s="4">
        <v>1</v>
      </c>
      <c r="H32" s="4">
        <v>94.12</v>
      </c>
      <c r="I32" s="5">
        <v>0.99</v>
      </c>
    </row>
    <row r="33" spans="2:9" x14ac:dyDescent="0.3">
      <c r="B33" s="138">
        <v>41507</v>
      </c>
      <c r="C33" s="4" t="s">
        <v>810</v>
      </c>
      <c r="D33" s="4">
        <v>7.8125</v>
      </c>
      <c r="E33" s="4">
        <v>2</v>
      </c>
      <c r="F33" s="4">
        <v>17</v>
      </c>
      <c r="G33" s="4">
        <v>15</v>
      </c>
      <c r="H33" s="4">
        <v>11.77</v>
      </c>
      <c r="I33" s="5">
        <v>0.17</v>
      </c>
    </row>
    <row r="34" spans="2:9" x14ac:dyDescent="0.3">
      <c r="B34" s="138">
        <v>41507</v>
      </c>
      <c r="C34" s="4" t="s">
        <v>810</v>
      </c>
      <c r="D34" s="4">
        <v>125</v>
      </c>
      <c r="E34" s="4">
        <v>13</v>
      </c>
      <c r="F34" s="4">
        <v>17</v>
      </c>
      <c r="G34" s="4">
        <v>4</v>
      </c>
      <c r="H34" s="4">
        <v>76.47</v>
      </c>
      <c r="I34" s="5">
        <v>0.95</v>
      </c>
    </row>
    <row r="35" spans="2:9" x14ac:dyDescent="0.3">
      <c r="B35" s="138">
        <v>41507</v>
      </c>
      <c r="C35" s="4" t="s">
        <v>810</v>
      </c>
      <c r="D35" s="4">
        <v>0.48828125</v>
      </c>
      <c r="E35" s="4">
        <v>0</v>
      </c>
      <c r="F35" s="4">
        <v>17</v>
      </c>
      <c r="G35" s="4">
        <v>16</v>
      </c>
      <c r="H35" s="4">
        <v>0</v>
      </c>
      <c r="I35" s="5">
        <v>0</v>
      </c>
    </row>
    <row r="36" spans="2:9" x14ac:dyDescent="0.3">
      <c r="B36" s="138">
        <v>41507</v>
      </c>
      <c r="C36" s="4" t="s">
        <v>810</v>
      </c>
      <c r="D36" s="4">
        <v>1.953125</v>
      </c>
      <c r="E36" s="4">
        <v>1</v>
      </c>
      <c r="F36" s="4">
        <v>17</v>
      </c>
      <c r="G36" s="4">
        <v>16</v>
      </c>
      <c r="H36" s="4">
        <v>5.88</v>
      </c>
      <c r="I36" s="5">
        <v>0.28999999999999998</v>
      </c>
    </row>
    <row r="37" spans="2:9" x14ac:dyDescent="0.3">
      <c r="B37" s="138">
        <v>41507</v>
      </c>
      <c r="C37" s="4" t="s">
        <v>810</v>
      </c>
      <c r="D37" s="4">
        <v>500</v>
      </c>
      <c r="E37" s="4">
        <v>14</v>
      </c>
      <c r="F37" s="4">
        <v>17</v>
      </c>
      <c r="G37" s="4">
        <v>3</v>
      </c>
      <c r="H37" s="4">
        <v>82.35</v>
      </c>
      <c r="I37" s="5">
        <v>0.97</v>
      </c>
    </row>
    <row r="38" spans="2:9" x14ac:dyDescent="0.3">
      <c r="B38" s="138">
        <v>41507</v>
      </c>
      <c r="C38" s="4" t="s">
        <v>810</v>
      </c>
      <c r="D38" s="4">
        <v>31.25</v>
      </c>
      <c r="E38" s="4">
        <v>4</v>
      </c>
      <c r="F38" s="4">
        <v>17</v>
      </c>
      <c r="G38" s="4">
        <v>13</v>
      </c>
      <c r="H38" s="4">
        <v>23.53</v>
      </c>
      <c r="I38" s="5">
        <v>0.69</v>
      </c>
    </row>
    <row r="39" spans="2:9" x14ac:dyDescent="0.3">
      <c r="B39" s="138">
        <v>41507</v>
      </c>
      <c r="C39" s="4" t="s">
        <v>810</v>
      </c>
      <c r="D39" s="4">
        <v>7.8125</v>
      </c>
      <c r="E39" s="4">
        <v>3</v>
      </c>
      <c r="F39" s="4">
        <v>18</v>
      </c>
      <c r="G39" s="4">
        <v>15</v>
      </c>
      <c r="H39" s="4">
        <v>16.670000000000002</v>
      </c>
      <c r="I39" s="5">
        <v>0.21</v>
      </c>
    </row>
    <row r="40" spans="2:9" x14ac:dyDescent="0.3">
      <c r="B40" s="138">
        <v>41507</v>
      </c>
      <c r="C40" s="4" t="s">
        <v>810</v>
      </c>
      <c r="D40" s="4">
        <v>125</v>
      </c>
      <c r="E40" s="4">
        <v>15</v>
      </c>
      <c r="F40" s="4">
        <v>18</v>
      </c>
      <c r="G40" s="4">
        <v>3</v>
      </c>
      <c r="H40" s="4">
        <v>83.33</v>
      </c>
      <c r="I40" s="5">
        <v>1</v>
      </c>
    </row>
    <row r="41" spans="2:9" x14ac:dyDescent="0.3">
      <c r="B41" s="138">
        <v>41507</v>
      </c>
      <c r="C41" s="4" t="s">
        <v>810</v>
      </c>
      <c r="D41" s="4">
        <v>0.48828125</v>
      </c>
      <c r="E41" s="4">
        <v>2</v>
      </c>
      <c r="F41" s="4">
        <v>17</v>
      </c>
      <c r="G41" s="4">
        <v>15</v>
      </c>
      <c r="H41" s="4">
        <v>11.77</v>
      </c>
      <c r="I41" s="5">
        <v>-0.08</v>
      </c>
    </row>
    <row r="42" spans="2:9" x14ac:dyDescent="0.3">
      <c r="B42" s="138">
        <v>41507</v>
      </c>
      <c r="C42" s="4" t="s">
        <v>810</v>
      </c>
      <c r="D42" s="4">
        <v>1.953125</v>
      </c>
      <c r="E42" s="4">
        <v>2</v>
      </c>
      <c r="F42" s="4">
        <v>17</v>
      </c>
      <c r="G42" s="4">
        <v>15</v>
      </c>
      <c r="H42" s="4">
        <v>11.77</v>
      </c>
      <c r="I42" s="5">
        <v>-0.1</v>
      </c>
    </row>
    <row r="43" spans="2:9" x14ac:dyDescent="0.3">
      <c r="B43" s="138">
        <v>41507</v>
      </c>
      <c r="C43" s="4" t="s">
        <v>810</v>
      </c>
      <c r="D43" s="4">
        <v>500</v>
      </c>
      <c r="E43" s="4">
        <v>17</v>
      </c>
      <c r="F43" s="4">
        <v>17</v>
      </c>
      <c r="G43" s="4">
        <v>0</v>
      </c>
      <c r="H43" s="4">
        <v>100</v>
      </c>
      <c r="I43" s="5">
        <v>1</v>
      </c>
    </row>
    <row r="44" spans="2:9" x14ac:dyDescent="0.3">
      <c r="B44" s="138">
        <v>41507</v>
      </c>
      <c r="C44" s="4" t="s">
        <v>810</v>
      </c>
      <c r="D44" s="4">
        <v>31.25</v>
      </c>
      <c r="E44" s="4">
        <v>0</v>
      </c>
      <c r="F44" s="4">
        <v>17</v>
      </c>
      <c r="G44" s="4">
        <v>17</v>
      </c>
      <c r="H44" s="4">
        <v>0</v>
      </c>
      <c r="I44" s="5">
        <v>0.53</v>
      </c>
    </row>
    <row r="45" spans="2:9" x14ac:dyDescent="0.3">
      <c r="B45" s="138">
        <v>41465</v>
      </c>
      <c r="C45" s="4" t="s">
        <v>811</v>
      </c>
      <c r="D45" s="4">
        <v>500</v>
      </c>
      <c r="E45" s="4">
        <v>15</v>
      </c>
      <c r="F45" s="4">
        <v>16</v>
      </c>
      <c r="G45" s="4">
        <v>1</v>
      </c>
      <c r="H45" s="4">
        <v>93.75</v>
      </c>
      <c r="I45" s="5">
        <v>0.98</v>
      </c>
    </row>
    <row r="46" spans="2:9" x14ac:dyDescent="0.3">
      <c r="B46" s="138">
        <v>41465</v>
      </c>
      <c r="C46" s="4" t="s">
        <v>811</v>
      </c>
      <c r="D46" s="4">
        <v>500</v>
      </c>
      <c r="E46" s="4">
        <v>14</v>
      </c>
      <c r="F46" s="4">
        <v>17</v>
      </c>
      <c r="G46" s="4">
        <v>3</v>
      </c>
      <c r="H46" s="4">
        <v>82.35</v>
      </c>
      <c r="I46" s="5">
        <v>0.96</v>
      </c>
    </row>
    <row r="47" spans="2:9" x14ac:dyDescent="0.3">
      <c r="B47" s="138">
        <v>41465</v>
      </c>
      <c r="C47" s="4" t="s">
        <v>811</v>
      </c>
      <c r="D47" s="4">
        <v>500</v>
      </c>
      <c r="E47" s="4">
        <v>15</v>
      </c>
      <c r="F47" s="4">
        <v>17</v>
      </c>
      <c r="G47" s="4">
        <v>2</v>
      </c>
      <c r="H47" s="4">
        <v>88.24</v>
      </c>
      <c r="I47" s="5">
        <v>0.96</v>
      </c>
    </row>
    <row r="48" spans="2:9" x14ac:dyDescent="0.3">
      <c r="B48" s="138">
        <v>41465</v>
      </c>
      <c r="C48" s="4" t="s">
        <v>811</v>
      </c>
      <c r="D48" s="4">
        <v>500</v>
      </c>
      <c r="E48" s="4">
        <v>16</v>
      </c>
      <c r="F48" s="4">
        <v>17</v>
      </c>
      <c r="G48" s="4">
        <v>1</v>
      </c>
      <c r="H48" s="4">
        <v>94.12</v>
      </c>
      <c r="I48" s="5">
        <v>0.98</v>
      </c>
    </row>
    <row r="49" spans="2:9" x14ac:dyDescent="0.3">
      <c r="B49" s="138">
        <v>41479</v>
      </c>
      <c r="C49" s="4" t="s">
        <v>811</v>
      </c>
      <c r="D49" s="4">
        <v>7.8125</v>
      </c>
      <c r="E49" s="4">
        <v>3</v>
      </c>
      <c r="F49" s="4">
        <v>17</v>
      </c>
      <c r="G49" s="4">
        <v>14</v>
      </c>
      <c r="H49" s="4">
        <v>17.649999999999999</v>
      </c>
      <c r="I49" s="5">
        <v>0.69</v>
      </c>
    </row>
    <row r="50" spans="2:9" x14ac:dyDescent="0.3">
      <c r="B50" s="138">
        <v>41479</v>
      </c>
      <c r="C50" s="4" t="s">
        <v>811</v>
      </c>
      <c r="D50" s="4">
        <v>125</v>
      </c>
      <c r="E50" s="4">
        <v>12</v>
      </c>
      <c r="F50" s="4">
        <v>17</v>
      </c>
      <c r="G50" s="4">
        <v>5</v>
      </c>
      <c r="H50" s="4">
        <v>70.59</v>
      </c>
      <c r="I50" s="5">
        <v>0.84</v>
      </c>
    </row>
    <row r="51" spans="2:9" x14ac:dyDescent="0.3">
      <c r="B51" s="138">
        <v>41479</v>
      </c>
      <c r="C51" s="4" t="s">
        <v>811</v>
      </c>
      <c r="D51" s="4">
        <v>500</v>
      </c>
      <c r="E51" s="4">
        <v>8</v>
      </c>
      <c r="F51" s="4">
        <v>17</v>
      </c>
      <c r="G51" s="4">
        <v>8</v>
      </c>
      <c r="H51" s="4">
        <v>47.06</v>
      </c>
      <c r="I51" s="5">
        <v>0.81</v>
      </c>
    </row>
    <row r="52" spans="2:9" x14ac:dyDescent="0.3">
      <c r="B52" s="138">
        <v>41479</v>
      </c>
      <c r="C52" s="4" t="s">
        <v>811</v>
      </c>
      <c r="D52" s="4">
        <v>1.953125</v>
      </c>
      <c r="E52" s="4">
        <v>2</v>
      </c>
      <c r="F52" s="4">
        <v>17</v>
      </c>
      <c r="G52" s="4">
        <v>15</v>
      </c>
      <c r="H52" s="4">
        <v>11.77</v>
      </c>
      <c r="I52" s="5">
        <v>0.63</v>
      </c>
    </row>
    <row r="53" spans="2:9" x14ac:dyDescent="0.3">
      <c r="B53" s="138">
        <v>41479</v>
      </c>
      <c r="C53" s="4" t="s">
        <v>811</v>
      </c>
      <c r="D53" s="4">
        <v>0.48828125</v>
      </c>
      <c r="E53" s="4">
        <v>3</v>
      </c>
      <c r="F53" s="4">
        <v>17</v>
      </c>
      <c r="G53" s="4">
        <v>14</v>
      </c>
      <c r="H53" s="4">
        <v>17.649999999999999</v>
      </c>
      <c r="I53" s="5">
        <v>0.61</v>
      </c>
    </row>
    <row r="54" spans="2:9" x14ac:dyDescent="0.3">
      <c r="B54" s="138">
        <v>41479</v>
      </c>
      <c r="C54" s="4" t="s">
        <v>811</v>
      </c>
      <c r="D54" s="4">
        <v>31.25</v>
      </c>
      <c r="E54" s="4">
        <v>9</v>
      </c>
      <c r="F54" s="4">
        <v>17</v>
      </c>
      <c r="G54" s="4">
        <v>8</v>
      </c>
      <c r="H54" s="4">
        <v>52.94</v>
      </c>
      <c r="I54" s="5">
        <v>0.72</v>
      </c>
    </row>
    <row r="55" spans="2:9" x14ac:dyDescent="0.3">
      <c r="B55" s="138">
        <v>41479</v>
      </c>
      <c r="C55" s="4" t="s">
        <v>811</v>
      </c>
      <c r="D55" s="4">
        <v>7.8125</v>
      </c>
      <c r="E55" s="4">
        <v>4</v>
      </c>
      <c r="F55" s="4">
        <v>16</v>
      </c>
      <c r="G55" s="4">
        <v>12</v>
      </c>
      <c r="H55" s="4">
        <v>25</v>
      </c>
      <c r="I55" s="5">
        <v>-0.54</v>
      </c>
    </row>
    <row r="56" spans="2:9" x14ac:dyDescent="0.3">
      <c r="B56" s="138">
        <v>41479</v>
      </c>
      <c r="C56" s="4" t="s">
        <v>811</v>
      </c>
      <c r="D56" s="4">
        <v>125</v>
      </c>
      <c r="E56" s="4">
        <v>9</v>
      </c>
      <c r="F56" s="4">
        <v>17</v>
      </c>
      <c r="G56" s="4">
        <v>8</v>
      </c>
      <c r="H56" s="4">
        <v>52.94</v>
      </c>
      <c r="I56" s="5">
        <v>0.56999999999999995</v>
      </c>
    </row>
    <row r="57" spans="2:9" x14ac:dyDescent="0.3">
      <c r="B57" s="138">
        <v>41479</v>
      </c>
      <c r="C57" s="4" t="s">
        <v>811</v>
      </c>
      <c r="D57" s="4">
        <v>500</v>
      </c>
      <c r="E57" s="4">
        <v>11</v>
      </c>
      <c r="F57" s="4">
        <v>17</v>
      </c>
      <c r="G57" s="4">
        <v>6</v>
      </c>
      <c r="H57" s="4">
        <v>64.709999999999994</v>
      </c>
      <c r="I57" s="5">
        <v>0.42</v>
      </c>
    </row>
    <row r="58" spans="2:9" x14ac:dyDescent="0.3">
      <c r="B58" s="138">
        <v>41479</v>
      </c>
      <c r="C58" s="4" t="s">
        <v>811</v>
      </c>
      <c r="D58" s="4">
        <v>1.953125</v>
      </c>
      <c r="E58" s="4">
        <v>2</v>
      </c>
      <c r="F58" s="4">
        <v>17</v>
      </c>
      <c r="G58" s="4">
        <v>15</v>
      </c>
      <c r="H58" s="4">
        <v>11.77</v>
      </c>
      <c r="I58" s="5">
        <v>-1.35</v>
      </c>
    </row>
    <row r="59" spans="2:9" x14ac:dyDescent="0.3">
      <c r="B59" s="138">
        <v>41479</v>
      </c>
      <c r="C59" s="4" t="s">
        <v>811</v>
      </c>
      <c r="D59" s="4">
        <v>0.48828125</v>
      </c>
      <c r="E59" s="4">
        <v>4</v>
      </c>
      <c r="F59" s="4">
        <v>17</v>
      </c>
      <c r="G59" s="4">
        <v>13</v>
      </c>
      <c r="H59" s="4">
        <v>23.53</v>
      </c>
      <c r="I59" s="5">
        <v>-0.05</v>
      </c>
    </row>
    <row r="60" spans="2:9" x14ac:dyDescent="0.3">
      <c r="B60" s="138">
        <v>41479</v>
      </c>
      <c r="C60" s="4" t="s">
        <v>811</v>
      </c>
      <c r="D60" s="4">
        <v>31.25</v>
      </c>
      <c r="E60" s="4">
        <v>6</v>
      </c>
      <c r="F60" s="4">
        <v>17</v>
      </c>
      <c r="G60" s="4">
        <v>11</v>
      </c>
      <c r="H60" s="4">
        <v>35.29</v>
      </c>
      <c r="I60" s="5">
        <v>0.28999999999999998</v>
      </c>
    </row>
    <row r="61" spans="2:9" x14ac:dyDescent="0.3">
      <c r="B61" s="138">
        <v>41486</v>
      </c>
      <c r="C61" s="4" t="s">
        <v>811</v>
      </c>
      <c r="D61" s="4">
        <v>125</v>
      </c>
      <c r="E61" s="4">
        <v>15</v>
      </c>
      <c r="F61" s="4">
        <v>17</v>
      </c>
      <c r="G61" s="4">
        <v>2</v>
      </c>
      <c r="H61" s="4">
        <v>88.24</v>
      </c>
      <c r="I61" s="5">
        <v>0.99</v>
      </c>
    </row>
    <row r="62" spans="2:9" x14ac:dyDescent="0.3">
      <c r="B62" s="138">
        <v>41486</v>
      </c>
      <c r="C62" s="4" t="s">
        <v>811</v>
      </c>
      <c r="D62" s="4">
        <v>7.8125</v>
      </c>
      <c r="E62" s="4">
        <v>0</v>
      </c>
      <c r="F62" s="4">
        <v>18</v>
      </c>
      <c r="G62" s="4">
        <v>18</v>
      </c>
      <c r="H62" s="4">
        <v>0</v>
      </c>
      <c r="I62" s="5">
        <v>0.11</v>
      </c>
    </row>
    <row r="63" spans="2:9" x14ac:dyDescent="0.3">
      <c r="B63" s="138">
        <v>41486</v>
      </c>
      <c r="C63" s="4" t="s">
        <v>811</v>
      </c>
      <c r="D63" s="4">
        <v>1.953125</v>
      </c>
      <c r="E63" s="4">
        <v>2</v>
      </c>
      <c r="F63" s="4">
        <v>17</v>
      </c>
      <c r="G63" s="4">
        <v>15</v>
      </c>
      <c r="H63" s="4">
        <v>11.77</v>
      </c>
      <c r="I63" s="5">
        <v>0.35</v>
      </c>
    </row>
    <row r="64" spans="2:9" x14ac:dyDescent="0.3">
      <c r="B64" s="138">
        <v>41486</v>
      </c>
      <c r="C64" s="4" t="s">
        <v>811</v>
      </c>
      <c r="D64" s="4">
        <v>500</v>
      </c>
      <c r="E64" s="4">
        <v>13</v>
      </c>
      <c r="F64" s="4">
        <v>17</v>
      </c>
      <c r="G64" s="4">
        <v>4</v>
      </c>
      <c r="H64" s="4">
        <v>76.47</v>
      </c>
      <c r="I64" s="5">
        <v>0.95</v>
      </c>
    </row>
    <row r="65" spans="2:9" x14ac:dyDescent="0.3">
      <c r="B65" s="138">
        <v>41486</v>
      </c>
      <c r="C65" s="4" t="s">
        <v>811</v>
      </c>
      <c r="D65" s="4">
        <v>0.48828125</v>
      </c>
      <c r="E65" s="4">
        <v>0</v>
      </c>
      <c r="F65" s="4">
        <v>17</v>
      </c>
      <c r="G65" s="4">
        <v>17</v>
      </c>
      <c r="H65" s="4">
        <v>0</v>
      </c>
      <c r="I65" s="5">
        <v>0.32</v>
      </c>
    </row>
    <row r="66" spans="2:9" x14ac:dyDescent="0.3">
      <c r="B66" s="138">
        <v>41486</v>
      </c>
      <c r="C66" s="4" t="s">
        <v>811</v>
      </c>
      <c r="D66" s="4">
        <v>31.25</v>
      </c>
      <c r="E66" s="4">
        <v>5</v>
      </c>
      <c r="F66" s="4">
        <v>17</v>
      </c>
      <c r="G66" s="4">
        <v>12</v>
      </c>
      <c r="H66" s="4">
        <v>29.41</v>
      </c>
      <c r="I66" s="5">
        <v>0.72</v>
      </c>
    </row>
    <row r="67" spans="2:9" x14ac:dyDescent="0.3">
      <c r="B67" s="138">
        <v>41486</v>
      </c>
      <c r="C67" s="4" t="s">
        <v>811</v>
      </c>
      <c r="D67" s="4">
        <v>125</v>
      </c>
      <c r="E67" s="4">
        <v>13</v>
      </c>
      <c r="F67" s="4">
        <v>17</v>
      </c>
      <c r="G67" s="4">
        <v>4</v>
      </c>
      <c r="H67" s="4">
        <v>76.47</v>
      </c>
      <c r="I67" s="5">
        <v>0.96</v>
      </c>
    </row>
    <row r="68" spans="2:9" x14ac:dyDescent="0.3">
      <c r="B68" s="138">
        <v>41486</v>
      </c>
      <c r="C68" s="4" t="s">
        <v>811</v>
      </c>
      <c r="D68" s="4">
        <v>7.8125</v>
      </c>
      <c r="E68" s="4">
        <v>0</v>
      </c>
      <c r="F68" s="4">
        <v>17</v>
      </c>
      <c r="G68" s="4">
        <v>17</v>
      </c>
      <c r="H68" s="4">
        <v>0</v>
      </c>
      <c r="I68" s="5">
        <v>-0.01</v>
      </c>
    </row>
    <row r="69" spans="2:9" x14ac:dyDescent="0.3">
      <c r="B69" s="138">
        <v>41486</v>
      </c>
      <c r="C69" s="4" t="s">
        <v>811</v>
      </c>
      <c r="D69" s="4">
        <v>1.953125</v>
      </c>
      <c r="E69" s="4">
        <v>1</v>
      </c>
      <c r="F69" s="4">
        <v>17</v>
      </c>
      <c r="G69" s="4">
        <v>16</v>
      </c>
      <c r="H69" s="4">
        <v>5.88</v>
      </c>
      <c r="I69" s="5">
        <v>-0.13</v>
      </c>
    </row>
    <row r="70" spans="2:9" x14ac:dyDescent="0.3">
      <c r="B70" s="138">
        <v>41486</v>
      </c>
      <c r="C70" s="4" t="s">
        <v>811</v>
      </c>
      <c r="D70" s="4">
        <v>500</v>
      </c>
      <c r="E70" s="4">
        <v>15</v>
      </c>
      <c r="F70" s="4">
        <v>17</v>
      </c>
      <c r="G70" s="4">
        <v>2</v>
      </c>
      <c r="H70" s="4">
        <v>88.24</v>
      </c>
      <c r="I70" s="5">
        <v>0.98</v>
      </c>
    </row>
    <row r="71" spans="2:9" x14ac:dyDescent="0.3">
      <c r="B71" s="138">
        <v>41486</v>
      </c>
      <c r="C71" s="4" t="s">
        <v>811</v>
      </c>
      <c r="D71" s="4">
        <v>0.48828125</v>
      </c>
      <c r="E71" s="4">
        <v>1</v>
      </c>
      <c r="F71" s="4">
        <v>17</v>
      </c>
      <c r="G71" s="4">
        <v>16</v>
      </c>
      <c r="H71" s="4">
        <v>5.88</v>
      </c>
      <c r="I71" s="5">
        <v>-0.1</v>
      </c>
    </row>
    <row r="72" spans="2:9" x14ac:dyDescent="0.3">
      <c r="B72" s="138">
        <v>41486</v>
      </c>
      <c r="C72" s="4" t="s">
        <v>811</v>
      </c>
      <c r="D72" s="4">
        <v>31.25</v>
      </c>
      <c r="E72" s="4">
        <v>0</v>
      </c>
      <c r="F72" s="4">
        <v>17</v>
      </c>
      <c r="G72" s="4">
        <v>17</v>
      </c>
      <c r="H72" s="4">
        <v>0</v>
      </c>
      <c r="I72" s="5">
        <v>0.53</v>
      </c>
    </row>
    <row r="73" spans="2:9" x14ac:dyDescent="0.3">
      <c r="B73" s="138">
        <v>41507</v>
      </c>
      <c r="C73" s="4" t="s">
        <v>811</v>
      </c>
      <c r="D73" s="4">
        <v>31.25</v>
      </c>
      <c r="E73" s="4">
        <v>2</v>
      </c>
      <c r="F73" s="4">
        <v>17</v>
      </c>
      <c r="G73" s="4">
        <v>15</v>
      </c>
      <c r="H73" s="4">
        <v>11.77</v>
      </c>
      <c r="I73" s="5">
        <v>0.73</v>
      </c>
    </row>
    <row r="74" spans="2:9" x14ac:dyDescent="0.3">
      <c r="B74" s="138">
        <v>41507</v>
      </c>
      <c r="C74" s="4" t="s">
        <v>811</v>
      </c>
      <c r="D74" s="4">
        <v>0.48828125</v>
      </c>
      <c r="E74" s="4">
        <v>0</v>
      </c>
      <c r="F74" s="4">
        <v>17</v>
      </c>
      <c r="G74" s="4">
        <v>17</v>
      </c>
      <c r="H74" s="4">
        <v>0</v>
      </c>
      <c r="I74" s="5">
        <v>0.08</v>
      </c>
    </row>
    <row r="75" spans="2:9" x14ac:dyDescent="0.3">
      <c r="B75" s="138">
        <v>41507</v>
      </c>
      <c r="C75" s="4" t="s">
        <v>811</v>
      </c>
      <c r="D75" s="4">
        <v>125</v>
      </c>
      <c r="E75" s="4">
        <v>15</v>
      </c>
      <c r="F75" s="4">
        <v>17</v>
      </c>
      <c r="G75" s="4">
        <v>2</v>
      </c>
      <c r="H75" s="4">
        <v>88.24</v>
      </c>
      <c r="I75" s="5">
        <v>0.96</v>
      </c>
    </row>
    <row r="76" spans="2:9" x14ac:dyDescent="0.3">
      <c r="B76" s="138">
        <v>41507</v>
      </c>
      <c r="C76" s="4" t="s">
        <v>811</v>
      </c>
      <c r="D76" s="4">
        <v>1.953125</v>
      </c>
      <c r="E76" s="4">
        <v>2</v>
      </c>
      <c r="F76" s="4">
        <v>17</v>
      </c>
      <c r="G76" s="4">
        <v>15</v>
      </c>
      <c r="H76" s="4">
        <v>11.77</v>
      </c>
      <c r="I76" s="5">
        <v>0.23</v>
      </c>
    </row>
    <row r="77" spans="2:9" x14ac:dyDescent="0.3">
      <c r="B77" s="138">
        <v>41507</v>
      </c>
      <c r="C77" s="4" t="s">
        <v>811</v>
      </c>
      <c r="D77" s="4">
        <v>500</v>
      </c>
      <c r="E77" s="4">
        <v>16</v>
      </c>
      <c r="F77" s="4">
        <v>17</v>
      </c>
      <c r="G77" s="4">
        <v>1</v>
      </c>
      <c r="H77" s="4">
        <v>94.12</v>
      </c>
      <c r="I77" s="5">
        <v>0.99</v>
      </c>
    </row>
    <row r="78" spans="2:9" x14ac:dyDescent="0.3">
      <c r="B78" s="138">
        <v>41507</v>
      </c>
      <c r="C78" s="4" t="s">
        <v>811</v>
      </c>
      <c r="D78" s="4">
        <v>7.8125</v>
      </c>
      <c r="E78" s="4">
        <v>2</v>
      </c>
      <c r="F78" s="4">
        <v>17</v>
      </c>
      <c r="G78" s="4">
        <v>15</v>
      </c>
      <c r="H78" s="4">
        <v>11.77</v>
      </c>
      <c r="I78" s="5">
        <v>0.25</v>
      </c>
    </row>
    <row r="79" spans="2:9" x14ac:dyDescent="0.3">
      <c r="B79" s="138">
        <v>41507</v>
      </c>
      <c r="C79" s="4" t="s">
        <v>811</v>
      </c>
      <c r="D79" s="4">
        <v>31.25</v>
      </c>
      <c r="E79" s="4">
        <v>0</v>
      </c>
      <c r="F79" s="4">
        <v>18</v>
      </c>
      <c r="G79" s="4">
        <v>18</v>
      </c>
      <c r="H79" s="4">
        <v>0</v>
      </c>
      <c r="I79" s="5">
        <v>0.52</v>
      </c>
    </row>
    <row r="80" spans="2:9" x14ac:dyDescent="0.3">
      <c r="B80" s="138">
        <v>41507</v>
      </c>
      <c r="C80" s="4" t="s">
        <v>811</v>
      </c>
      <c r="D80" s="4">
        <v>0.48828125</v>
      </c>
      <c r="E80" s="4">
        <v>0</v>
      </c>
      <c r="F80" s="4">
        <v>17</v>
      </c>
      <c r="G80" s="4">
        <v>17</v>
      </c>
      <c r="H80" s="4">
        <v>0</v>
      </c>
      <c r="I80" s="5">
        <v>7.0000000000000007E-2</v>
      </c>
    </row>
    <row r="81" spans="2:9" x14ac:dyDescent="0.3">
      <c r="B81" s="138">
        <v>41507</v>
      </c>
      <c r="C81" s="4" t="s">
        <v>811</v>
      </c>
      <c r="D81" s="4">
        <v>125</v>
      </c>
      <c r="E81" s="4">
        <v>13</v>
      </c>
      <c r="F81" s="4">
        <v>17</v>
      </c>
      <c r="G81" s="4">
        <v>4</v>
      </c>
      <c r="H81" s="4">
        <v>76.47</v>
      </c>
      <c r="I81" s="5">
        <v>0.95</v>
      </c>
    </row>
    <row r="82" spans="2:9" x14ac:dyDescent="0.3">
      <c r="B82" s="138">
        <v>41507</v>
      </c>
      <c r="C82" s="4" t="s">
        <v>811</v>
      </c>
      <c r="D82" s="4">
        <v>1.953125</v>
      </c>
      <c r="E82" s="4">
        <v>1</v>
      </c>
      <c r="F82" s="4">
        <v>17</v>
      </c>
      <c r="G82" s="4">
        <v>16</v>
      </c>
      <c r="H82" s="4">
        <v>5.88</v>
      </c>
      <c r="I82" s="5">
        <v>0.13</v>
      </c>
    </row>
    <row r="83" spans="2:9" x14ac:dyDescent="0.3">
      <c r="B83" s="138">
        <v>41507</v>
      </c>
      <c r="C83" s="4" t="s">
        <v>811</v>
      </c>
      <c r="D83" s="4">
        <v>500</v>
      </c>
      <c r="E83" s="4">
        <v>16</v>
      </c>
      <c r="F83" s="4">
        <v>17</v>
      </c>
      <c r="G83" s="4">
        <v>1</v>
      </c>
      <c r="H83" s="4">
        <v>94.12</v>
      </c>
      <c r="I83" s="5">
        <v>0.99</v>
      </c>
    </row>
    <row r="84" spans="2:9" x14ac:dyDescent="0.3">
      <c r="B84" s="138">
        <v>41507</v>
      </c>
      <c r="C84" s="4" t="s">
        <v>811</v>
      </c>
      <c r="D84" s="4">
        <v>7.8125</v>
      </c>
      <c r="E84" s="4">
        <v>1</v>
      </c>
      <c r="F84" s="4">
        <v>17</v>
      </c>
      <c r="G84" s="4">
        <v>16</v>
      </c>
      <c r="H84" s="4">
        <v>5.88</v>
      </c>
      <c r="I84" s="5">
        <v>-7.0000000000000007E-2</v>
      </c>
    </row>
    <row r="85" spans="2:9" x14ac:dyDescent="0.3">
      <c r="B85" s="138">
        <v>41353</v>
      </c>
      <c r="C85" s="4" t="s">
        <v>209</v>
      </c>
      <c r="D85" s="4">
        <v>500</v>
      </c>
      <c r="E85" s="4">
        <v>17</v>
      </c>
      <c r="F85" s="4">
        <v>17</v>
      </c>
      <c r="G85" s="4">
        <v>0</v>
      </c>
      <c r="H85" s="4">
        <v>100</v>
      </c>
      <c r="I85" s="5">
        <v>1</v>
      </c>
    </row>
    <row r="86" spans="2:9" x14ac:dyDescent="0.3">
      <c r="B86" s="138">
        <v>41346</v>
      </c>
      <c r="C86" s="4" t="s">
        <v>209</v>
      </c>
      <c r="D86" s="4">
        <v>500</v>
      </c>
      <c r="E86" s="4">
        <v>17</v>
      </c>
      <c r="F86" s="4">
        <v>17</v>
      </c>
      <c r="G86" s="4">
        <v>0</v>
      </c>
      <c r="H86" s="4">
        <v>100</v>
      </c>
      <c r="I86" s="5">
        <v>1</v>
      </c>
    </row>
    <row r="87" spans="2:9" x14ac:dyDescent="0.3">
      <c r="B87" s="138">
        <v>41353</v>
      </c>
      <c r="C87" s="4" t="s">
        <v>209</v>
      </c>
      <c r="D87" s="4">
        <v>500</v>
      </c>
      <c r="E87" s="4">
        <v>17</v>
      </c>
      <c r="F87" s="4">
        <v>17</v>
      </c>
      <c r="G87" s="4">
        <v>0</v>
      </c>
      <c r="H87" s="4">
        <v>100</v>
      </c>
      <c r="I87" s="5">
        <v>1</v>
      </c>
    </row>
    <row r="88" spans="2:9" x14ac:dyDescent="0.3">
      <c r="B88" s="138">
        <v>41353</v>
      </c>
      <c r="C88" s="4" t="s">
        <v>209</v>
      </c>
      <c r="D88" s="4">
        <v>500</v>
      </c>
      <c r="E88" s="4">
        <v>17</v>
      </c>
      <c r="F88" s="4">
        <v>17</v>
      </c>
      <c r="G88" s="4">
        <v>0</v>
      </c>
      <c r="H88" s="4">
        <v>100</v>
      </c>
      <c r="I88" s="5">
        <v>1</v>
      </c>
    </row>
    <row r="89" spans="2:9" x14ac:dyDescent="0.3">
      <c r="B89" s="138">
        <v>41367</v>
      </c>
      <c r="C89" s="4" t="s">
        <v>209</v>
      </c>
      <c r="D89" s="4">
        <v>500</v>
      </c>
      <c r="E89" s="4">
        <v>17</v>
      </c>
      <c r="F89" s="4">
        <v>17</v>
      </c>
      <c r="G89" s="4">
        <v>0</v>
      </c>
      <c r="H89" s="4">
        <v>100</v>
      </c>
      <c r="I89" s="5">
        <v>1</v>
      </c>
    </row>
    <row r="90" spans="2:9" x14ac:dyDescent="0.3">
      <c r="B90" s="138">
        <v>41367</v>
      </c>
      <c r="C90" s="4" t="s">
        <v>209</v>
      </c>
      <c r="D90" s="4">
        <v>500</v>
      </c>
      <c r="E90" s="4">
        <v>14</v>
      </c>
      <c r="F90" s="4">
        <v>17</v>
      </c>
      <c r="G90" s="4">
        <v>3</v>
      </c>
      <c r="H90" s="4">
        <v>82.35</v>
      </c>
      <c r="I90" s="5">
        <v>0.94</v>
      </c>
    </row>
    <row r="91" spans="2:9" x14ac:dyDescent="0.3">
      <c r="B91" s="138">
        <v>41388</v>
      </c>
      <c r="C91" s="4" t="s">
        <v>209</v>
      </c>
      <c r="D91" s="4">
        <v>500</v>
      </c>
      <c r="E91" s="4">
        <v>14</v>
      </c>
      <c r="F91" s="4">
        <v>17</v>
      </c>
      <c r="G91" s="4">
        <v>3</v>
      </c>
      <c r="H91" s="4">
        <v>82.35</v>
      </c>
      <c r="I91" s="5">
        <v>0.85</v>
      </c>
    </row>
    <row r="92" spans="2:9" x14ac:dyDescent="0.3">
      <c r="B92" s="138">
        <v>41388</v>
      </c>
      <c r="C92" s="4" t="s">
        <v>209</v>
      </c>
      <c r="D92" s="4">
        <v>7.81</v>
      </c>
      <c r="E92" s="4">
        <v>9</v>
      </c>
      <c r="F92" s="4">
        <v>17</v>
      </c>
      <c r="G92" s="4">
        <v>8</v>
      </c>
      <c r="H92" s="4">
        <v>52.94</v>
      </c>
      <c r="I92" s="5">
        <v>0.5</v>
      </c>
    </row>
    <row r="93" spans="2:9" x14ac:dyDescent="0.3">
      <c r="B93" s="138">
        <v>41388</v>
      </c>
      <c r="C93" s="4" t="s">
        <v>209</v>
      </c>
      <c r="D93" s="4">
        <v>31.25</v>
      </c>
      <c r="E93" s="4">
        <v>14</v>
      </c>
      <c r="F93" s="4">
        <v>17</v>
      </c>
      <c r="G93" s="4">
        <v>3</v>
      </c>
      <c r="H93" s="4">
        <v>82.35</v>
      </c>
      <c r="I93" s="5">
        <v>0.91</v>
      </c>
    </row>
    <row r="94" spans="2:9" x14ac:dyDescent="0.3">
      <c r="B94" s="138">
        <v>41388</v>
      </c>
      <c r="C94" s="4" t="s">
        <v>209</v>
      </c>
      <c r="D94" s="4">
        <v>0.49</v>
      </c>
      <c r="E94" s="4">
        <v>3</v>
      </c>
      <c r="F94" s="4">
        <v>17</v>
      </c>
      <c r="G94" s="4">
        <v>14</v>
      </c>
      <c r="H94" s="4">
        <v>17.649999999999999</v>
      </c>
      <c r="I94" s="5">
        <v>-0.6</v>
      </c>
    </row>
    <row r="95" spans="2:9" x14ac:dyDescent="0.3">
      <c r="B95" s="138">
        <v>41388</v>
      </c>
      <c r="C95" s="4" t="s">
        <v>209</v>
      </c>
      <c r="D95" s="4">
        <v>1.95</v>
      </c>
      <c r="E95" s="4">
        <v>8</v>
      </c>
      <c r="F95" s="4">
        <v>17</v>
      </c>
      <c r="G95" s="4">
        <v>9</v>
      </c>
      <c r="H95" s="4">
        <v>47.06</v>
      </c>
      <c r="I95" s="5">
        <v>0.06</v>
      </c>
    </row>
    <row r="96" spans="2:9" x14ac:dyDescent="0.3">
      <c r="B96" s="138">
        <v>41388</v>
      </c>
      <c r="C96" s="4" t="s">
        <v>209</v>
      </c>
      <c r="D96" s="4">
        <v>125</v>
      </c>
      <c r="E96" s="4">
        <v>17</v>
      </c>
      <c r="F96" s="4">
        <v>18</v>
      </c>
      <c r="G96" s="4">
        <v>1</v>
      </c>
      <c r="H96" s="4">
        <v>94.44</v>
      </c>
      <c r="I96" s="5">
        <v>0.96</v>
      </c>
    </row>
    <row r="97" spans="2:9" x14ac:dyDescent="0.3">
      <c r="B97" s="138">
        <v>41388</v>
      </c>
      <c r="C97" s="4" t="s">
        <v>209</v>
      </c>
      <c r="D97" s="4">
        <v>500</v>
      </c>
      <c r="E97" s="4">
        <v>16</v>
      </c>
      <c r="F97" s="4">
        <v>17</v>
      </c>
      <c r="G97" s="4">
        <v>1</v>
      </c>
      <c r="H97" s="4">
        <v>94.12</v>
      </c>
      <c r="I97" s="5">
        <v>0.99</v>
      </c>
    </row>
    <row r="98" spans="2:9" x14ac:dyDescent="0.3">
      <c r="B98" s="138">
        <v>41388</v>
      </c>
      <c r="C98" s="4" t="s">
        <v>209</v>
      </c>
      <c r="D98" s="4">
        <v>7.81</v>
      </c>
      <c r="E98" s="4">
        <v>13</v>
      </c>
      <c r="F98" s="4">
        <v>17</v>
      </c>
      <c r="G98" s="4">
        <v>4</v>
      </c>
      <c r="H98" s="4">
        <v>76.47</v>
      </c>
      <c r="I98" s="5">
        <v>0.92</v>
      </c>
    </row>
    <row r="99" spans="2:9" x14ac:dyDescent="0.3">
      <c r="B99" s="138">
        <v>41388</v>
      </c>
      <c r="C99" s="4" t="s">
        <v>209</v>
      </c>
      <c r="D99" s="4">
        <v>31.25</v>
      </c>
      <c r="E99" s="4">
        <v>14</v>
      </c>
      <c r="F99" s="4">
        <v>17</v>
      </c>
      <c r="G99" s="4">
        <v>3</v>
      </c>
      <c r="H99" s="4">
        <v>82.35</v>
      </c>
      <c r="I99" s="5">
        <v>0.93</v>
      </c>
    </row>
    <row r="100" spans="2:9" x14ac:dyDescent="0.3">
      <c r="B100" s="138">
        <v>41388</v>
      </c>
      <c r="C100" s="4" t="s">
        <v>209</v>
      </c>
      <c r="D100" s="4">
        <v>0.49</v>
      </c>
      <c r="E100" s="4">
        <v>7</v>
      </c>
      <c r="F100" s="4">
        <v>17</v>
      </c>
      <c r="G100" s="4">
        <v>10</v>
      </c>
      <c r="H100" s="4">
        <v>41.18</v>
      </c>
      <c r="I100" s="5">
        <v>0.13</v>
      </c>
    </row>
    <row r="101" spans="2:9" x14ac:dyDescent="0.3">
      <c r="B101" s="138">
        <v>41388</v>
      </c>
      <c r="C101" s="4" t="s">
        <v>209</v>
      </c>
      <c r="D101" s="4">
        <v>1.95</v>
      </c>
      <c r="E101" s="4">
        <v>9</v>
      </c>
      <c r="F101" s="4">
        <v>17</v>
      </c>
      <c r="G101" s="4">
        <v>8</v>
      </c>
      <c r="H101" s="4">
        <v>52.94</v>
      </c>
      <c r="I101" s="5">
        <v>0.71</v>
      </c>
    </row>
    <row r="102" spans="2:9" x14ac:dyDescent="0.3">
      <c r="B102" s="138">
        <v>41388</v>
      </c>
      <c r="C102" s="4" t="s">
        <v>209</v>
      </c>
      <c r="D102" s="4">
        <v>125</v>
      </c>
      <c r="E102" s="4">
        <v>17</v>
      </c>
      <c r="F102" s="4">
        <v>17</v>
      </c>
      <c r="G102" s="4">
        <v>1</v>
      </c>
      <c r="H102" s="4">
        <v>100</v>
      </c>
      <c r="I102" s="5">
        <v>1</v>
      </c>
    </row>
    <row r="103" spans="2:9" x14ac:dyDescent="0.3">
      <c r="B103" s="138">
        <v>41395</v>
      </c>
      <c r="C103" s="4" t="s">
        <v>209</v>
      </c>
      <c r="D103" s="4">
        <v>500</v>
      </c>
      <c r="E103" s="4">
        <v>14</v>
      </c>
      <c r="F103" s="4">
        <v>17</v>
      </c>
      <c r="G103" s="4">
        <v>3</v>
      </c>
      <c r="H103" s="4">
        <v>82.35</v>
      </c>
      <c r="I103" s="5">
        <v>0.82</v>
      </c>
    </row>
    <row r="104" spans="2:9" x14ac:dyDescent="0.3">
      <c r="B104" s="138">
        <v>41395</v>
      </c>
      <c r="C104" s="4" t="s">
        <v>209</v>
      </c>
      <c r="D104" s="4">
        <v>0.49</v>
      </c>
      <c r="E104" s="4">
        <v>3</v>
      </c>
      <c r="F104" s="4">
        <v>17</v>
      </c>
      <c r="G104" s="4">
        <v>14</v>
      </c>
      <c r="H104" s="4">
        <v>17.649999999999999</v>
      </c>
      <c r="I104" s="5">
        <v>-0.14000000000000001</v>
      </c>
    </row>
    <row r="105" spans="2:9" x14ac:dyDescent="0.3">
      <c r="B105" s="138">
        <v>41395</v>
      </c>
      <c r="C105" s="4" t="s">
        <v>209</v>
      </c>
      <c r="D105" s="4">
        <v>31.25</v>
      </c>
      <c r="E105" s="4">
        <v>12</v>
      </c>
      <c r="F105" s="4">
        <v>17</v>
      </c>
      <c r="G105" s="4">
        <v>5</v>
      </c>
      <c r="H105" s="4">
        <v>70.59</v>
      </c>
      <c r="I105" s="5">
        <v>0.91</v>
      </c>
    </row>
    <row r="106" spans="2:9" x14ac:dyDescent="0.3">
      <c r="B106" s="138">
        <v>41395</v>
      </c>
      <c r="C106" s="4" t="s">
        <v>209</v>
      </c>
      <c r="D106" s="4">
        <v>1.95</v>
      </c>
      <c r="E106" s="4">
        <v>6</v>
      </c>
      <c r="F106" s="4">
        <v>17</v>
      </c>
      <c r="G106" s="4">
        <v>11</v>
      </c>
      <c r="H106" s="4">
        <v>35.29</v>
      </c>
      <c r="I106" s="5">
        <v>1</v>
      </c>
    </row>
    <row r="107" spans="2:9" x14ac:dyDescent="0.3">
      <c r="B107" s="138">
        <v>41395</v>
      </c>
      <c r="C107" s="4" t="s">
        <v>209</v>
      </c>
      <c r="D107" s="4">
        <v>125</v>
      </c>
      <c r="E107" s="4">
        <v>17</v>
      </c>
      <c r="F107" s="4">
        <v>17</v>
      </c>
      <c r="G107" s="4">
        <v>0</v>
      </c>
      <c r="H107" s="4">
        <v>100</v>
      </c>
      <c r="I107" s="5">
        <v>1</v>
      </c>
    </row>
    <row r="108" spans="2:9" x14ac:dyDescent="0.3">
      <c r="B108" s="138">
        <v>41395</v>
      </c>
      <c r="C108" s="4" t="s">
        <v>209</v>
      </c>
      <c r="D108" s="4">
        <v>7.81</v>
      </c>
      <c r="E108" s="4">
        <v>10</v>
      </c>
      <c r="F108" s="4">
        <v>17</v>
      </c>
      <c r="G108" s="4">
        <v>7</v>
      </c>
      <c r="H108" s="4">
        <v>58.82</v>
      </c>
      <c r="I108" s="5">
        <v>0.69</v>
      </c>
    </row>
    <row r="109" spans="2:9" x14ac:dyDescent="0.3">
      <c r="B109" s="138">
        <v>41395</v>
      </c>
      <c r="C109" s="4" t="s">
        <v>209</v>
      </c>
      <c r="D109" s="4">
        <v>500</v>
      </c>
      <c r="E109" s="4">
        <v>15</v>
      </c>
      <c r="F109" s="4">
        <v>17</v>
      </c>
      <c r="G109" s="4">
        <v>2</v>
      </c>
      <c r="H109" s="4">
        <v>88.24</v>
      </c>
      <c r="I109" s="5">
        <v>0.98</v>
      </c>
    </row>
    <row r="110" spans="2:9" x14ac:dyDescent="0.3">
      <c r="B110" s="138">
        <v>41395</v>
      </c>
      <c r="C110" s="4" t="s">
        <v>209</v>
      </c>
      <c r="D110" s="4">
        <v>0.49</v>
      </c>
      <c r="E110" s="4">
        <v>1</v>
      </c>
      <c r="F110" s="4">
        <v>17</v>
      </c>
      <c r="G110" s="4">
        <v>16</v>
      </c>
      <c r="H110" s="4">
        <v>5.88</v>
      </c>
      <c r="I110" s="5">
        <v>0.11</v>
      </c>
    </row>
    <row r="111" spans="2:9" x14ac:dyDescent="0.3">
      <c r="B111" s="138">
        <v>41395</v>
      </c>
      <c r="C111" s="4" t="s">
        <v>209</v>
      </c>
      <c r="D111" s="4">
        <v>31.25</v>
      </c>
      <c r="E111" s="4">
        <v>16</v>
      </c>
      <c r="F111" s="4">
        <v>17</v>
      </c>
      <c r="G111" s="4">
        <v>1</v>
      </c>
      <c r="H111" s="4">
        <v>94.12</v>
      </c>
      <c r="I111" s="5">
        <v>0.97</v>
      </c>
    </row>
    <row r="112" spans="2:9" x14ac:dyDescent="0.3">
      <c r="B112" s="138">
        <v>41395</v>
      </c>
      <c r="C112" s="4" t="s">
        <v>209</v>
      </c>
      <c r="D112" s="4">
        <v>1.95</v>
      </c>
      <c r="E112" s="4">
        <v>4</v>
      </c>
      <c r="F112" s="4">
        <v>17</v>
      </c>
      <c r="G112" s="4">
        <v>13</v>
      </c>
      <c r="H112" s="4">
        <v>23.53</v>
      </c>
      <c r="I112" s="5">
        <v>1</v>
      </c>
    </row>
    <row r="113" spans="2:9" x14ac:dyDescent="0.3">
      <c r="B113" s="138">
        <v>41395</v>
      </c>
      <c r="C113" s="4" t="s">
        <v>209</v>
      </c>
      <c r="D113" s="4">
        <v>125</v>
      </c>
      <c r="E113" s="4">
        <v>12</v>
      </c>
      <c r="F113" s="4">
        <v>17</v>
      </c>
      <c r="G113" s="4">
        <v>5</v>
      </c>
      <c r="H113" s="4">
        <v>70.59</v>
      </c>
      <c r="I113" s="5">
        <v>0.8</v>
      </c>
    </row>
    <row r="114" spans="2:9" x14ac:dyDescent="0.3">
      <c r="B114" s="138">
        <v>41395</v>
      </c>
      <c r="C114" s="4" t="s">
        <v>209</v>
      </c>
      <c r="D114" s="4">
        <v>7.81</v>
      </c>
      <c r="E114" s="4">
        <v>11</v>
      </c>
      <c r="F114" s="4">
        <v>17</v>
      </c>
      <c r="G114" s="4">
        <v>6</v>
      </c>
      <c r="H114" s="4">
        <v>64.709999999999994</v>
      </c>
      <c r="I114" s="5">
        <v>1</v>
      </c>
    </row>
    <row r="115" spans="2:9" x14ac:dyDescent="0.3">
      <c r="B115" s="138">
        <v>41423</v>
      </c>
      <c r="C115" s="4" t="s">
        <v>209</v>
      </c>
      <c r="D115" s="4">
        <v>125</v>
      </c>
      <c r="E115" s="4">
        <v>16</v>
      </c>
      <c r="F115" s="4">
        <v>18</v>
      </c>
      <c r="G115" s="4">
        <v>2</v>
      </c>
      <c r="H115" s="4">
        <v>88.89</v>
      </c>
      <c r="I115" s="5">
        <v>0.72</v>
      </c>
    </row>
    <row r="116" spans="2:9" x14ac:dyDescent="0.3">
      <c r="B116" s="138">
        <v>41423</v>
      </c>
      <c r="C116" s="4" t="s">
        <v>209</v>
      </c>
      <c r="D116" s="4">
        <v>31.25</v>
      </c>
      <c r="E116" s="4">
        <v>15</v>
      </c>
      <c r="F116" s="4">
        <v>17</v>
      </c>
      <c r="G116" s="4">
        <v>2</v>
      </c>
      <c r="H116" s="4">
        <v>88.24</v>
      </c>
      <c r="I116" s="5">
        <v>0.88</v>
      </c>
    </row>
    <row r="117" spans="2:9" x14ac:dyDescent="0.3">
      <c r="B117" s="138">
        <v>41423</v>
      </c>
      <c r="C117" s="4" t="s">
        <v>209</v>
      </c>
      <c r="D117" s="4">
        <v>7.81</v>
      </c>
      <c r="E117" s="4">
        <v>13</v>
      </c>
      <c r="F117" s="4">
        <v>17</v>
      </c>
      <c r="G117" s="4">
        <v>4</v>
      </c>
      <c r="H117" s="4">
        <v>76.47</v>
      </c>
      <c r="I117" s="5">
        <v>0.56999999999999995</v>
      </c>
    </row>
    <row r="118" spans="2:9" x14ac:dyDescent="0.3">
      <c r="B118" s="138">
        <v>41423</v>
      </c>
      <c r="C118" s="4" t="s">
        <v>209</v>
      </c>
      <c r="D118" s="4">
        <v>1.95</v>
      </c>
      <c r="E118" s="4">
        <v>9</v>
      </c>
      <c r="F118" s="4">
        <v>17</v>
      </c>
      <c r="G118" s="4">
        <v>8</v>
      </c>
      <c r="H118" s="4">
        <v>52.94</v>
      </c>
      <c r="I118" s="5">
        <v>0.19</v>
      </c>
    </row>
    <row r="119" spans="2:9" x14ac:dyDescent="0.3">
      <c r="B119" s="138">
        <v>41423</v>
      </c>
      <c r="C119" s="4" t="s">
        <v>209</v>
      </c>
      <c r="D119" s="4">
        <v>0.49</v>
      </c>
      <c r="E119" s="4">
        <v>4</v>
      </c>
      <c r="F119" s="4">
        <v>17</v>
      </c>
      <c r="G119" s="4">
        <v>13</v>
      </c>
      <c r="H119" s="4">
        <v>23.53</v>
      </c>
      <c r="I119" s="5">
        <v>0.59</v>
      </c>
    </row>
    <row r="120" spans="2:9" x14ac:dyDescent="0.3">
      <c r="B120" s="138">
        <v>41423</v>
      </c>
      <c r="C120" s="4" t="s">
        <v>209</v>
      </c>
      <c r="D120" s="4">
        <v>500</v>
      </c>
      <c r="E120" s="4">
        <v>13</v>
      </c>
      <c r="F120" s="4">
        <v>17</v>
      </c>
      <c r="G120" s="4">
        <v>4</v>
      </c>
      <c r="H120" s="4">
        <v>76.47</v>
      </c>
      <c r="I120" s="5">
        <v>0.67</v>
      </c>
    </row>
    <row r="121" spans="2:9" x14ac:dyDescent="0.3">
      <c r="B121" s="138">
        <v>41423</v>
      </c>
      <c r="C121" s="4" t="s">
        <v>209</v>
      </c>
      <c r="D121" s="4">
        <v>125</v>
      </c>
      <c r="E121" s="4">
        <v>18</v>
      </c>
      <c r="F121" s="4">
        <v>19</v>
      </c>
      <c r="G121" s="4">
        <v>1</v>
      </c>
      <c r="H121" s="4">
        <v>94.74</v>
      </c>
      <c r="I121" s="5">
        <v>0.69</v>
      </c>
    </row>
    <row r="122" spans="2:9" x14ac:dyDescent="0.3">
      <c r="B122" s="138">
        <v>41423</v>
      </c>
      <c r="C122" s="4" t="s">
        <v>209</v>
      </c>
      <c r="D122" s="4">
        <v>31.25</v>
      </c>
      <c r="E122" s="4">
        <v>14</v>
      </c>
      <c r="F122" s="4">
        <v>17</v>
      </c>
      <c r="G122" s="4">
        <v>3</v>
      </c>
      <c r="H122" s="4">
        <v>82.35</v>
      </c>
      <c r="I122" s="5">
        <v>0.64</v>
      </c>
    </row>
    <row r="123" spans="2:9" x14ac:dyDescent="0.3">
      <c r="B123" s="138">
        <v>41423</v>
      </c>
      <c r="C123" s="4" t="s">
        <v>209</v>
      </c>
      <c r="D123" s="4">
        <v>7.81</v>
      </c>
      <c r="E123" s="4">
        <v>10</v>
      </c>
      <c r="F123" s="4">
        <v>17</v>
      </c>
      <c r="G123" s="4">
        <v>7</v>
      </c>
      <c r="H123" s="4">
        <v>58.82</v>
      </c>
      <c r="I123" s="5">
        <v>0.61</v>
      </c>
    </row>
    <row r="124" spans="2:9" x14ac:dyDescent="0.3">
      <c r="B124" s="138">
        <v>41423</v>
      </c>
      <c r="C124" s="4" t="s">
        <v>209</v>
      </c>
      <c r="D124" s="4">
        <v>1.95</v>
      </c>
      <c r="E124" s="4">
        <v>6</v>
      </c>
      <c r="F124" s="4">
        <v>17</v>
      </c>
      <c r="G124" s="4">
        <v>11</v>
      </c>
      <c r="H124" s="4">
        <v>35.29</v>
      </c>
      <c r="I124" s="5">
        <v>0.26</v>
      </c>
    </row>
    <row r="125" spans="2:9" x14ac:dyDescent="0.3">
      <c r="B125" s="138">
        <v>41423</v>
      </c>
      <c r="C125" s="4" t="s">
        <v>209</v>
      </c>
      <c r="D125" s="4">
        <v>0.49</v>
      </c>
      <c r="E125" s="4">
        <v>2</v>
      </c>
      <c r="F125" s="4">
        <v>16</v>
      </c>
      <c r="G125" s="4">
        <v>15</v>
      </c>
      <c r="H125" s="4">
        <v>12.5</v>
      </c>
      <c r="I125" s="5">
        <v>0.65</v>
      </c>
    </row>
    <row r="126" spans="2:9" x14ac:dyDescent="0.3">
      <c r="B126" s="138">
        <v>41423</v>
      </c>
      <c r="C126" s="4" t="s">
        <v>209</v>
      </c>
      <c r="D126" s="4">
        <v>500</v>
      </c>
      <c r="E126" s="4">
        <v>15</v>
      </c>
      <c r="F126" s="4">
        <v>18</v>
      </c>
      <c r="G126" s="4">
        <v>3</v>
      </c>
      <c r="H126" s="4">
        <v>83.33</v>
      </c>
      <c r="I126" s="5">
        <v>0.39</v>
      </c>
    </row>
    <row r="127" spans="2:9" x14ac:dyDescent="0.3">
      <c r="B127" s="138">
        <v>41577</v>
      </c>
      <c r="C127" s="4" t="s">
        <v>356</v>
      </c>
      <c r="D127" s="4">
        <v>500</v>
      </c>
      <c r="E127" s="4">
        <v>15</v>
      </c>
      <c r="F127" s="4">
        <v>17</v>
      </c>
      <c r="G127" s="4">
        <v>2</v>
      </c>
      <c r="H127" s="4">
        <v>88.24</v>
      </c>
      <c r="I127" s="5">
        <v>0.98</v>
      </c>
    </row>
    <row r="128" spans="2:9" x14ac:dyDescent="0.3">
      <c r="B128" s="138">
        <v>41577</v>
      </c>
      <c r="C128" s="4" t="s">
        <v>356</v>
      </c>
      <c r="D128" s="4">
        <v>125</v>
      </c>
      <c r="E128" s="4">
        <v>12</v>
      </c>
      <c r="F128" s="4">
        <v>17</v>
      </c>
      <c r="G128" s="4">
        <v>3</v>
      </c>
      <c r="H128" s="4">
        <v>70.59</v>
      </c>
      <c r="I128" s="5">
        <v>0.97</v>
      </c>
    </row>
    <row r="129" spans="2:9" x14ac:dyDescent="0.3">
      <c r="B129" s="138">
        <v>41577</v>
      </c>
      <c r="C129" s="4" t="s">
        <v>356</v>
      </c>
      <c r="D129" s="4">
        <v>31.25</v>
      </c>
      <c r="E129" s="4">
        <v>10</v>
      </c>
      <c r="F129" s="4">
        <v>17</v>
      </c>
      <c r="G129" s="4">
        <v>7</v>
      </c>
      <c r="H129" s="4">
        <v>58.82</v>
      </c>
      <c r="I129" s="5">
        <v>0.85</v>
      </c>
    </row>
    <row r="130" spans="2:9" x14ac:dyDescent="0.3">
      <c r="B130" s="138">
        <v>41577</v>
      </c>
      <c r="C130" s="4" t="s">
        <v>356</v>
      </c>
      <c r="D130" s="4">
        <v>7.81</v>
      </c>
      <c r="E130" s="4">
        <v>0</v>
      </c>
      <c r="F130" s="4">
        <v>17</v>
      </c>
      <c r="G130" s="4">
        <v>17</v>
      </c>
      <c r="H130" s="4">
        <v>0</v>
      </c>
      <c r="I130" s="5">
        <v>-0.24</v>
      </c>
    </row>
    <row r="131" spans="2:9" x14ac:dyDescent="0.3">
      <c r="B131" s="138">
        <v>41577</v>
      </c>
      <c r="C131" s="4" t="s">
        <v>356</v>
      </c>
      <c r="D131" s="4">
        <v>1.95</v>
      </c>
      <c r="E131" s="4">
        <v>7</v>
      </c>
      <c r="F131" s="4">
        <v>17</v>
      </c>
      <c r="G131" s="4">
        <v>10</v>
      </c>
      <c r="H131" s="4">
        <v>41.18</v>
      </c>
      <c r="I131" s="5">
        <v>0.16</v>
      </c>
    </row>
    <row r="132" spans="2:9" x14ac:dyDescent="0.3">
      <c r="B132" s="138">
        <v>41577</v>
      </c>
      <c r="C132" s="4" t="s">
        <v>356</v>
      </c>
      <c r="D132" s="4">
        <v>0.49</v>
      </c>
      <c r="E132" s="4">
        <v>3</v>
      </c>
      <c r="F132" s="4">
        <v>17</v>
      </c>
      <c r="G132" s="4">
        <v>14</v>
      </c>
      <c r="H132" s="4">
        <v>17.649999999999999</v>
      </c>
      <c r="I132" s="5">
        <v>-0.38</v>
      </c>
    </row>
    <row r="133" spans="2:9" x14ac:dyDescent="0.3">
      <c r="B133" s="138">
        <v>41577</v>
      </c>
      <c r="C133" s="4" t="s">
        <v>356</v>
      </c>
      <c r="D133" s="4">
        <v>500</v>
      </c>
      <c r="E133" s="4">
        <v>17</v>
      </c>
      <c r="F133" s="4">
        <v>17</v>
      </c>
      <c r="G133" s="4">
        <v>0</v>
      </c>
      <c r="H133" s="4">
        <v>100</v>
      </c>
      <c r="I133" s="5">
        <v>1</v>
      </c>
    </row>
    <row r="134" spans="2:9" x14ac:dyDescent="0.3">
      <c r="B134" s="138">
        <v>41577</v>
      </c>
      <c r="C134" s="4" t="s">
        <v>356</v>
      </c>
      <c r="D134" s="4">
        <v>125</v>
      </c>
      <c r="E134" s="4">
        <v>14</v>
      </c>
      <c r="F134" s="4">
        <v>17</v>
      </c>
      <c r="G134" s="4">
        <v>3</v>
      </c>
      <c r="H134" s="4">
        <v>82.35</v>
      </c>
      <c r="I134" s="5">
        <v>0.95</v>
      </c>
    </row>
    <row r="135" spans="2:9" x14ac:dyDescent="0.3">
      <c r="B135" s="138">
        <v>41577</v>
      </c>
      <c r="C135" s="4" t="s">
        <v>356</v>
      </c>
      <c r="D135" s="4">
        <v>31.25</v>
      </c>
      <c r="E135" s="4">
        <v>10</v>
      </c>
      <c r="F135" s="4">
        <v>17</v>
      </c>
      <c r="G135" s="4">
        <v>7</v>
      </c>
      <c r="H135" s="4">
        <v>58.82</v>
      </c>
      <c r="I135" s="5">
        <v>0.84</v>
      </c>
    </row>
    <row r="136" spans="2:9" x14ac:dyDescent="0.3">
      <c r="B136" s="138">
        <v>41577</v>
      </c>
      <c r="C136" s="4" t="s">
        <v>356</v>
      </c>
      <c r="D136" s="4">
        <v>7.81</v>
      </c>
      <c r="E136" s="4">
        <v>5</v>
      </c>
      <c r="F136" s="4">
        <v>16</v>
      </c>
      <c r="G136" s="4">
        <v>11</v>
      </c>
      <c r="H136" s="4">
        <v>31.25</v>
      </c>
      <c r="I136" s="5">
        <v>0.56999999999999995</v>
      </c>
    </row>
    <row r="137" spans="2:9" x14ac:dyDescent="0.3">
      <c r="B137" s="138">
        <v>41577</v>
      </c>
      <c r="C137" s="4" t="s">
        <v>356</v>
      </c>
      <c r="D137" s="4">
        <v>1.95</v>
      </c>
      <c r="E137" s="4">
        <v>4</v>
      </c>
      <c r="F137" s="4">
        <v>16</v>
      </c>
      <c r="G137" s="4">
        <v>12</v>
      </c>
      <c r="H137" s="4">
        <v>25</v>
      </c>
      <c r="I137" s="5">
        <v>-0.34</v>
      </c>
    </row>
    <row r="138" spans="2:9" x14ac:dyDescent="0.3">
      <c r="B138" s="138">
        <v>41577</v>
      </c>
      <c r="C138" s="4" t="s">
        <v>356</v>
      </c>
      <c r="D138" s="4">
        <v>0.49</v>
      </c>
      <c r="E138" s="4">
        <v>4</v>
      </c>
      <c r="F138" s="4">
        <v>17</v>
      </c>
      <c r="G138" s="4">
        <v>13</v>
      </c>
      <c r="H138" s="4">
        <v>23.53</v>
      </c>
      <c r="I138" s="5">
        <v>0.09</v>
      </c>
    </row>
    <row r="139" spans="2:9" x14ac:dyDescent="0.3">
      <c r="B139" s="138">
        <v>41577</v>
      </c>
      <c r="C139" s="4" t="s">
        <v>356</v>
      </c>
      <c r="D139" s="4">
        <v>500</v>
      </c>
      <c r="E139" s="4">
        <v>14</v>
      </c>
      <c r="F139" s="4">
        <v>16</v>
      </c>
      <c r="G139" s="4">
        <v>2</v>
      </c>
      <c r="H139" s="4">
        <v>87.5</v>
      </c>
      <c r="I139" s="5">
        <v>0.98</v>
      </c>
    </row>
    <row r="140" spans="2:9" x14ac:dyDescent="0.3">
      <c r="B140" s="138">
        <v>41577</v>
      </c>
      <c r="C140" s="4" t="s">
        <v>356</v>
      </c>
      <c r="D140" s="4">
        <v>125</v>
      </c>
      <c r="E140" s="4">
        <v>11</v>
      </c>
      <c r="F140" s="4">
        <v>17</v>
      </c>
      <c r="G140" s="4">
        <v>6</v>
      </c>
      <c r="H140" s="4">
        <v>64.709999999999994</v>
      </c>
      <c r="I140" s="5">
        <v>0.9</v>
      </c>
    </row>
    <row r="141" spans="2:9" x14ac:dyDescent="0.3">
      <c r="B141" s="138">
        <v>41577</v>
      </c>
      <c r="C141" s="4" t="s">
        <v>356</v>
      </c>
      <c r="D141" s="4">
        <v>31.25</v>
      </c>
      <c r="E141" s="4">
        <v>10</v>
      </c>
      <c r="F141" s="4">
        <v>18</v>
      </c>
      <c r="G141" s="4">
        <v>8</v>
      </c>
      <c r="H141" s="4">
        <v>55.56</v>
      </c>
      <c r="I141" s="5">
        <v>0.83</v>
      </c>
    </row>
    <row r="142" spans="2:9" x14ac:dyDescent="0.3">
      <c r="B142" s="138">
        <v>41577</v>
      </c>
      <c r="C142" s="4" t="s">
        <v>356</v>
      </c>
      <c r="D142" s="4">
        <v>7.81</v>
      </c>
      <c r="E142" s="4">
        <v>4</v>
      </c>
      <c r="F142" s="4">
        <v>17</v>
      </c>
      <c r="G142" s="4">
        <v>13</v>
      </c>
      <c r="H142" s="4">
        <v>23.53</v>
      </c>
      <c r="I142" s="5">
        <v>0.68</v>
      </c>
    </row>
    <row r="143" spans="2:9" x14ac:dyDescent="0.3">
      <c r="B143" s="138">
        <v>41577</v>
      </c>
      <c r="C143" s="4" t="s">
        <v>356</v>
      </c>
      <c r="D143" s="4">
        <v>1.95</v>
      </c>
      <c r="E143" s="4">
        <v>4</v>
      </c>
      <c r="F143" s="4">
        <v>17</v>
      </c>
      <c r="G143" s="4">
        <v>13</v>
      </c>
      <c r="H143" s="4">
        <v>23.53</v>
      </c>
      <c r="I143" s="5">
        <v>0.11</v>
      </c>
    </row>
    <row r="144" spans="2:9" x14ac:dyDescent="0.3">
      <c r="B144" s="138">
        <v>41577</v>
      </c>
      <c r="C144" s="4" t="s">
        <v>356</v>
      </c>
      <c r="D144" s="4">
        <v>0.49</v>
      </c>
      <c r="E144" s="4">
        <v>4</v>
      </c>
      <c r="F144" s="4">
        <v>17</v>
      </c>
      <c r="G144" s="4">
        <v>13</v>
      </c>
      <c r="H144" s="4">
        <v>23.53</v>
      </c>
      <c r="I144" s="5">
        <v>0.22</v>
      </c>
    </row>
    <row r="145" spans="2:9" x14ac:dyDescent="0.3">
      <c r="B145" s="138">
        <v>41577</v>
      </c>
      <c r="C145" s="4" t="s">
        <v>356</v>
      </c>
      <c r="D145" s="4">
        <v>500</v>
      </c>
      <c r="E145" s="4">
        <v>13</v>
      </c>
      <c r="F145" s="4">
        <v>17</v>
      </c>
      <c r="G145" s="4">
        <v>4</v>
      </c>
      <c r="H145" s="4">
        <v>76.47</v>
      </c>
      <c r="I145" s="5">
        <v>0.93</v>
      </c>
    </row>
    <row r="146" spans="2:9" x14ac:dyDescent="0.3">
      <c r="B146" s="138">
        <v>41577</v>
      </c>
      <c r="C146" s="4" t="s">
        <v>356</v>
      </c>
      <c r="D146" s="4">
        <v>500</v>
      </c>
      <c r="E146" s="4">
        <v>13</v>
      </c>
      <c r="F146" s="4">
        <v>17</v>
      </c>
      <c r="G146" s="4">
        <v>4</v>
      </c>
      <c r="H146" s="4">
        <v>76.47</v>
      </c>
      <c r="I146" s="5">
        <v>0.93</v>
      </c>
    </row>
    <row r="147" spans="2:9" x14ac:dyDescent="0.3">
      <c r="B147" s="138">
        <v>41577</v>
      </c>
      <c r="C147" s="4" t="s">
        <v>356</v>
      </c>
      <c r="D147" s="4">
        <v>125</v>
      </c>
      <c r="E147" s="4">
        <v>16</v>
      </c>
      <c r="F147" s="4">
        <v>17</v>
      </c>
      <c r="G147" s="4">
        <v>1</v>
      </c>
      <c r="H147" s="4">
        <v>94.12</v>
      </c>
      <c r="I147" s="5">
        <v>0.97</v>
      </c>
    </row>
    <row r="148" spans="2:9" x14ac:dyDescent="0.3">
      <c r="B148" s="138">
        <v>41577</v>
      </c>
      <c r="C148" s="4" t="s">
        <v>356</v>
      </c>
      <c r="D148" s="4">
        <v>31.25</v>
      </c>
      <c r="E148" s="4">
        <v>13</v>
      </c>
      <c r="F148" s="4">
        <v>17</v>
      </c>
      <c r="G148" s="4">
        <v>4</v>
      </c>
      <c r="H148" s="4">
        <v>76.47</v>
      </c>
      <c r="I148" s="5">
        <v>0.85</v>
      </c>
    </row>
    <row r="149" spans="2:9" x14ac:dyDescent="0.3">
      <c r="B149" s="138">
        <v>41577</v>
      </c>
      <c r="C149" s="4" t="s">
        <v>356</v>
      </c>
      <c r="D149" s="4">
        <v>7.81</v>
      </c>
      <c r="E149" s="4">
        <v>3</v>
      </c>
      <c r="F149" s="4">
        <v>15</v>
      </c>
      <c r="G149" s="4">
        <v>12</v>
      </c>
      <c r="H149" s="4">
        <v>20</v>
      </c>
      <c r="I149" s="5">
        <v>-1.23</v>
      </c>
    </row>
    <row r="150" spans="2:9" x14ac:dyDescent="0.3">
      <c r="B150" s="138">
        <v>41577</v>
      </c>
      <c r="C150" s="4" t="s">
        <v>356</v>
      </c>
      <c r="D150" s="4">
        <v>1.95</v>
      </c>
      <c r="E150" s="4">
        <v>4</v>
      </c>
      <c r="F150" s="4">
        <v>17</v>
      </c>
      <c r="G150" s="4">
        <v>13</v>
      </c>
      <c r="H150" s="4">
        <v>23.53</v>
      </c>
      <c r="I150" s="5">
        <v>-0.53</v>
      </c>
    </row>
    <row r="151" spans="2:9" x14ac:dyDescent="0.3">
      <c r="B151" s="138">
        <v>41577</v>
      </c>
      <c r="C151" s="4" t="s">
        <v>356</v>
      </c>
      <c r="D151" s="4">
        <v>0.49</v>
      </c>
      <c r="E151" s="4">
        <v>2</v>
      </c>
      <c r="F151" s="4">
        <v>17</v>
      </c>
      <c r="G151" s="4">
        <v>15</v>
      </c>
      <c r="H151" s="4">
        <v>11.76</v>
      </c>
      <c r="I151" s="5">
        <v>-1.01</v>
      </c>
    </row>
    <row r="152" spans="2:9" x14ac:dyDescent="0.3">
      <c r="B152" s="138">
        <v>41577</v>
      </c>
      <c r="C152" s="4" t="s">
        <v>356</v>
      </c>
      <c r="D152" s="4">
        <v>500</v>
      </c>
      <c r="E152" s="4">
        <v>15</v>
      </c>
      <c r="F152" s="4">
        <v>17</v>
      </c>
      <c r="G152" s="4">
        <v>2</v>
      </c>
      <c r="H152" s="4">
        <v>88.24</v>
      </c>
      <c r="I152" s="5">
        <v>0.96</v>
      </c>
    </row>
    <row r="153" spans="2:9" x14ac:dyDescent="0.3">
      <c r="B153" s="138">
        <v>41577</v>
      </c>
      <c r="C153" s="4" t="s">
        <v>356</v>
      </c>
      <c r="D153" s="4">
        <v>125</v>
      </c>
      <c r="E153" s="4">
        <v>14</v>
      </c>
      <c r="F153" s="4">
        <v>17</v>
      </c>
      <c r="G153" s="4">
        <v>3</v>
      </c>
      <c r="H153" s="4">
        <v>82.35</v>
      </c>
      <c r="I153" s="5">
        <v>0.93</v>
      </c>
    </row>
    <row r="154" spans="2:9" x14ac:dyDescent="0.3">
      <c r="B154" s="138">
        <v>41577</v>
      </c>
      <c r="C154" s="4" t="s">
        <v>356</v>
      </c>
      <c r="D154" s="4">
        <v>31.25</v>
      </c>
      <c r="E154" s="4">
        <v>12</v>
      </c>
      <c r="F154" s="4">
        <v>17</v>
      </c>
      <c r="G154" s="4">
        <v>5</v>
      </c>
      <c r="H154" s="4">
        <v>70.59</v>
      </c>
      <c r="I154" s="5">
        <v>0.67</v>
      </c>
    </row>
    <row r="155" spans="2:9" x14ac:dyDescent="0.3">
      <c r="B155" s="138">
        <v>41577</v>
      </c>
      <c r="C155" s="4" t="s">
        <v>356</v>
      </c>
      <c r="D155" s="4">
        <v>7.81</v>
      </c>
      <c r="E155" s="4">
        <v>4</v>
      </c>
      <c r="F155" s="4">
        <v>17</v>
      </c>
      <c r="G155" s="4">
        <v>13</v>
      </c>
      <c r="H155" s="4">
        <v>23.53</v>
      </c>
      <c r="I155" s="5">
        <v>-0.11</v>
      </c>
    </row>
    <row r="156" spans="2:9" x14ac:dyDescent="0.3">
      <c r="B156" s="138">
        <v>41577</v>
      </c>
      <c r="C156" s="4" t="s">
        <v>356</v>
      </c>
      <c r="D156" s="4">
        <v>1.95</v>
      </c>
      <c r="E156" s="4">
        <v>4</v>
      </c>
      <c r="F156" s="4">
        <v>17</v>
      </c>
      <c r="G156" s="4">
        <v>13</v>
      </c>
      <c r="H156" s="4">
        <v>23.53</v>
      </c>
      <c r="I156" s="5">
        <v>-0.17</v>
      </c>
    </row>
    <row r="157" spans="2:9" x14ac:dyDescent="0.3">
      <c r="B157" s="138">
        <v>41577</v>
      </c>
      <c r="C157" s="4" t="s">
        <v>356</v>
      </c>
      <c r="D157" s="4">
        <v>0.49</v>
      </c>
      <c r="E157" s="4">
        <v>2</v>
      </c>
      <c r="F157" s="4">
        <v>17</v>
      </c>
      <c r="G157" s="4">
        <v>15</v>
      </c>
      <c r="H157" s="4">
        <v>11.76</v>
      </c>
      <c r="I157" s="5">
        <v>-0.67</v>
      </c>
    </row>
    <row r="158" spans="2:9" x14ac:dyDescent="0.3">
      <c r="B158" s="138">
        <v>41577</v>
      </c>
      <c r="C158" s="4" t="s">
        <v>356</v>
      </c>
      <c r="D158" s="4">
        <v>500</v>
      </c>
      <c r="E158" s="4">
        <v>16</v>
      </c>
      <c r="F158" s="4">
        <v>17</v>
      </c>
      <c r="G158" s="4">
        <v>1</v>
      </c>
      <c r="H158" s="4">
        <v>94.12</v>
      </c>
      <c r="I158" s="5">
        <v>0.97</v>
      </c>
    </row>
    <row r="159" spans="2:9" x14ac:dyDescent="0.3">
      <c r="B159" s="138">
        <v>41577</v>
      </c>
      <c r="C159" s="4" t="s">
        <v>356</v>
      </c>
      <c r="D159" s="4">
        <v>125</v>
      </c>
      <c r="E159" s="4">
        <v>15</v>
      </c>
      <c r="F159" s="4">
        <v>17</v>
      </c>
      <c r="G159" s="4">
        <v>2</v>
      </c>
      <c r="H159" s="4">
        <v>88.24</v>
      </c>
      <c r="I159" s="5">
        <v>0.95</v>
      </c>
    </row>
    <row r="160" spans="2:9" x14ac:dyDescent="0.3">
      <c r="B160" s="138">
        <v>41577</v>
      </c>
      <c r="C160" s="4" t="s">
        <v>356</v>
      </c>
      <c r="D160" s="4">
        <v>31.25</v>
      </c>
      <c r="E160" s="4">
        <v>7</v>
      </c>
      <c r="F160" s="4">
        <v>17</v>
      </c>
      <c r="G160" s="4">
        <v>10</v>
      </c>
      <c r="H160" s="4">
        <v>41.18</v>
      </c>
      <c r="I160" s="5">
        <v>0.49</v>
      </c>
    </row>
    <row r="161" spans="2:9" x14ac:dyDescent="0.3">
      <c r="B161" s="138">
        <v>41577</v>
      </c>
      <c r="C161" s="4" t="s">
        <v>356</v>
      </c>
      <c r="D161" s="4">
        <v>7.81</v>
      </c>
      <c r="E161" s="4">
        <v>6</v>
      </c>
      <c r="F161" s="4">
        <v>17</v>
      </c>
      <c r="G161" s="4">
        <v>11</v>
      </c>
      <c r="H161" s="4">
        <v>35.29</v>
      </c>
      <c r="I161" s="5">
        <v>-0.04</v>
      </c>
    </row>
    <row r="162" spans="2:9" x14ac:dyDescent="0.3">
      <c r="B162" s="138">
        <v>41577</v>
      </c>
      <c r="C162" s="4" t="s">
        <v>356</v>
      </c>
      <c r="D162" s="4">
        <v>1.95</v>
      </c>
      <c r="E162" s="4">
        <v>1</v>
      </c>
      <c r="F162" s="4">
        <v>17</v>
      </c>
      <c r="G162" s="4">
        <v>16</v>
      </c>
      <c r="H162" s="4">
        <v>5.88</v>
      </c>
      <c r="I162" s="5">
        <v>-0.94</v>
      </c>
    </row>
    <row r="163" spans="2:9" x14ac:dyDescent="0.3">
      <c r="B163" s="138">
        <v>41577</v>
      </c>
      <c r="C163" s="4" t="s">
        <v>356</v>
      </c>
      <c r="D163" s="4">
        <v>0.49</v>
      </c>
      <c r="E163" s="4">
        <v>2</v>
      </c>
      <c r="F163" s="4">
        <v>17</v>
      </c>
      <c r="G163" s="4">
        <v>15</v>
      </c>
      <c r="H163" s="4">
        <v>11.76</v>
      </c>
      <c r="I163" s="5">
        <v>-0.82</v>
      </c>
    </row>
    <row r="164" spans="2:9" x14ac:dyDescent="0.3">
      <c r="B164" s="138">
        <v>41577</v>
      </c>
      <c r="C164" s="4" t="s">
        <v>356</v>
      </c>
      <c r="D164" s="4">
        <v>500</v>
      </c>
      <c r="E164" s="4">
        <v>12</v>
      </c>
      <c r="F164" s="4">
        <v>17</v>
      </c>
      <c r="G164" s="4">
        <v>5</v>
      </c>
      <c r="H164" s="4">
        <v>70.59</v>
      </c>
      <c r="I164" s="5">
        <v>0.89</v>
      </c>
    </row>
    <row r="165" spans="2:9" x14ac:dyDescent="0.3">
      <c r="B165" s="138">
        <v>41577</v>
      </c>
      <c r="C165" s="4" t="s">
        <v>360</v>
      </c>
      <c r="D165" s="4">
        <v>125</v>
      </c>
      <c r="E165" s="4">
        <v>15</v>
      </c>
      <c r="F165" s="4">
        <v>17</v>
      </c>
      <c r="G165" s="4">
        <v>2</v>
      </c>
      <c r="H165" s="4">
        <v>88.24</v>
      </c>
      <c r="I165" s="5">
        <v>0.98</v>
      </c>
    </row>
    <row r="166" spans="2:9" x14ac:dyDescent="0.3">
      <c r="B166" s="138">
        <v>41577</v>
      </c>
      <c r="C166" s="4" t="s">
        <v>360</v>
      </c>
      <c r="D166" s="4">
        <v>31.25</v>
      </c>
      <c r="E166" s="4">
        <v>6</v>
      </c>
      <c r="F166" s="4">
        <v>17</v>
      </c>
      <c r="G166" s="4">
        <v>11</v>
      </c>
      <c r="H166" s="4">
        <v>35.29</v>
      </c>
      <c r="I166" s="5">
        <v>0.79</v>
      </c>
    </row>
    <row r="167" spans="2:9" x14ac:dyDescent="0.3">
      <c r="B167" s="138">
        <v>41577</v>
      </c>
      <c r="C167" s="4" t="s">
        <v>360</v>
      </c>
      <c r="D167" s="4">
        <v>7.81</v>
      </c>
      <c r="E167" s="4">
        <v>1</v>
      </c>
      <c r="F167" s="4">
        <v>16</v>
      </c>
      <c r="G167" s="4">
        <v>15</v>
      </c>
      <c r="H167" s="4">
        <v>6.25</v>
      </c>
      <c r="I167" s="5">
        <v>0.14000000000000001</v>
      </c>
    </row>
    <row r="168" spans="2:9" x14ac:dyDescent="0.3">
      <c r="B168" s="138">
        <v>41577</v>
      </c>
      <c r="C168" s="4" t="s">
        <v>360</v>
      </c>
      <c r="D168" s="4">
        <v>1.95</v>
      </c>
      <c r="E168" s="4">
        <v>2</v>
      </c>
      <c r="F168" s="4">
        <v>17</v>
      </c>
      <c r="G168" s="4">
        <v>15</v>
      </c>
      <c r="H168" s="4">
        <v>11.76</v>
      </c>
      <c r="I168" s="5">
        <v>-0.03</v>
      </c>
    </row>
    <row r="169" spans="2:9" x14ac:dyDescent="0.3">
      <c r="B169" s="138">
        <v>41577</v>
      </c>
      <c r="C169" s="4" t="s">
        <v>360</v>
      </c>
      <c r="D169" s="4">
        <v>0.49</v>
      </c>
      <c r="E169" s="4">
        <v>5</v>
      </c>
      <c r="F169" s="4">
        <v>17</v>
      </c>
      <c r="G169" s="4">
        <v>12</v>
      </c>
      <c r="H169" s="4">
        <v>29.41</v>
      </c>
      <c r="I169" s="5">
        <v>0.38</v>
      </c>
    </row>
    <row r="170" spans="2:9" x14ac:dyDescent="0.3">
      <c r="B170" s="138">
        <v>41577</v>
      </c>
      <c r="C170" s="4" t="s">
        <v>360</v>
      </c>
      <c r="D170" s="4">
        <v>500</v>
      </c>
      <c r="E170" s="4">
        <v>15</v>
      </c>
      <c r="F170" s="4">
        <v>17</v>
      </c>
      <c r="G170" s="4">
        <v>2</v>
      </c>
      <c r="H170" s="4">
        <v>88.24</v>
      </c>
      <c r="I170" s="5">
        <v>0.99</v>
      </c>
    </row>
    <row r="171" spans="2:9" x14ac:dyDescent="0.3">
      <c r="B171" s="138">
        <v>41577</v>
      </c>
      <c r="C171" s="4" t="s">
        <v>360</v>
      </c>
      <c r="D171" s="4">
        <v>125</v>
      </c>
      <c r="E171" s="4">
        <v>15</v>
      </c>
      <c r="F171" s="4">
        <v>17</v>
      </c>
      <c r="G171" s="4">
        <v>2</v>
      </c>
      <c r="H171" s="4">
        <v>88.24</v>
      </c>
      <c r="I171" s="5">
        <v>0.94</v>
      </c>
    </row>
    <row r="172" spans="2:9" x14ac:dyDescent="0.3">
      <c r="B172" s="138">
        <v>41577</v>
      </c>
      <c r="C172" s="4" t="s">
        <v>360</v>
      </c>
      <c r="D172" s="4">
        <v>31.25</v>
      </c>
      <c r="E172" s="4">
        <v>13</v>
      </c>
      <c r="F172" s="4">
        <v>17</v>
      </c>
      <c r="G172" s="4">
        <v>4</v>
      </c>
      <c r="H172" s="4">
        <v>76.47</v>
      </c>
      <c r="I172" s="5">
        <v>0.99</v>
      </c>
    </row>
    <row r="173" spans="2:9" x14ac:dyDescent="0.3">
      <c r="B173" s="138">
        <v>41577</v>
      </c>
      <c r="C173" s="4" t="s">
        <v>360</v>
      </c>
      <c r="D173" s="4">
        <v>7.81</v>
      </c>
      <c r="E173" s="4">
        <v>5</v>
      </c>
      <c r="F173" s="4">
        <v>17</v>
      </c>
      <c r="G173" s="4">
        <v>12</v>
      </c>
      <c r="H173" s="4">
        <v>29.41</v>
      </c>
      <c r="I173" s="5">
        <v>0.11</v>
      </c>
    </row>
    <row r="174" spans="2:9" x14ac:dyDescent="0.3">
      <c r="B174" s="138">
        <v>41577</v>
      </c>
      <c r="C174" s="4" t="s">
        <v>360</v>
      </c>
      <c r="D174" s="4">
        <v>1.95</v>
      </c>
      <c r="E174" s="4">
        <v>3</v>
      </c>
      <c r="F174" s="4">
        <v>17</v>
      </c>
      <c r="G174" s="4">
        <v>14</v>
      </c>
      <c r="H174" s="4">
        <v>17.649999999999999</v>
      </c>
      <c r="I174" s="5">
        <v>-0.06</v>
      </c>
    </row>
    <row r="175" spans="2:9" x14ac:dyDescent="0.3">
      <c r="B175" s="138">
        <v>41577</v>
      </c>
      <c r="C175" s="4" t="s">
        <v>360</v>
      </c>
      <c r="D175" s="4">
        <v>0.49</v>
      </c>
      <c r="E175" s="4">
        <v>3</v>
      </c>
      <c r="F175" s="4">
        <v>17</v>
      </c>
      <c r="G175" s="4">
        <v>14</v>
      </c>
      <c r="H175" s="4">
        <v>17.649999999999999</v>
      </c>
      <c r="I175" s="5">
        <v>7.0000000000000007E-2</v>
      </c>
    </row>
    <row r="176" spans="2:9" x14ac:dyDescent="0.3">
      <c r="B176" s="138">
        <v>41577</v>
      </c>
      <c r="C176" s="4" t="s">
        <v>360</v>
      </c>
      <c r="D176" s="4">
        <v>500</v>
      </c>
      <c r="E176" s="4">
        <v>16</v>
      </c>
      <c r="F176" s="4">
        <v>17</v>
      </c>
      <c r="G176" s="4">
        <v>1</v>
      </c>
      <c r="H176" s="4">
        <v>94.12</v>
      </c>
      <c r="I176" s="5">
        <v>0.99</v>
      </c>
    </row>
    <row r="177" spans="2:9" x14ac:dyDescent="0.3">
      <c r="B177" s="138">
        <v>41577</v>
      </c>
      <c r="C177" s="4" t="s">
        <v>360</v>
      </c>
      <c r="D177" s="4">
        <v>125</v>
      </c>
      <c r="E177" s="4">
        <v>16</v>
      </c>
      <c r="F177" s="4">
        <v>17</v>
      </c>
      <c r="G177" s="4">
        <v>1</v>
      </c>
      <c r="H177" s="4">
        <v>94.12</v>
      </c>
      <c r="I177" s="5">
        <v>0.99</v>
      </c>
    </row>
    <row r="178" spans="2:9" x14ac:dyDescent="0.3">
      <c r="B178" s="138">
        <v>41577</v>
      </c>
      <c r="C178" s="4" t="s">
        <v>360</v>
      </c>
      <c r="D178" s="4">
        <v>31.25</v>
      </c>
      <c r="E178" s="4">
        <v>8</v>
      </c>
      <c r="F178" s="4">
        <v>17</v>
      </c>
      <c r="G178" s="4">
        <v>9</v>
      </c>
      <c r="H178" s="4">
        <v>47.06</v>
      </c>
      <c r="I178" s="5">
        <v>0.88</v>
      </c>
    </row>
    <row r="179" spans="2:9" x14ac:dyDescent="0.3">
      <c r="B179" s="138">
        <v>41577</v>
      </c>
      <c r="C179" s="4" t="s">
        <v>360</v>
      </c>
      <c r="D179" s="4">
        <v>7.81</v>
      </c>
      <c r="E179" s="4">
        <v>3</v>
      </c>
      <c r="F179" s="4">
        <v>17</v>
      </c>
      <c r="G179" s="4">
        <v>14</v>
      </c>
      <c r="H179" s="4">
        <v>17.649999999999999</v>
      </c>
      <c r="I179" s="5">
        <v>0.01</v>
      </c>
    </row>
    <row r="180" spans="2:9" x14ac:dyDescent="0.3">
      <c r="B180" s="138">
        <v>41577</v>
      </c>
      <c r="C180" s="4" t="s">
        <v>360</v>
      </c>
      <c r="D180" s="4">
        <v>1.95</v>
      </c>
      <c r="E180" s="4">
        <v>1</v>
      </c>
      <c r="F180" s="4">
        <v>17</v>
      </c>
      <c r="G180" s="4">
        <v>16</v>
      </c>
      <c r="H180" s="4">
        <v>5.88</v>
      </c>
      <c r="I180" s="5">
        <v>0.23</v>
      </c>
    </row>
    <row r="181" spans="2:9" x14ac:dyDescent="0.3">
      <c r="B181" s="138">
        <v>41577</v>
      </c>
      <c r="C181" s="4" t="s">
        <v>360</v>
      </c>
      <c r="D181" s="4">
        <v>0.49</v>
      </c>
      <c r="E181" s="4">
        <v>5</v>
      </c>
      <c r="F181" s="4">
        <v>17</v>
      </c>
      <c r="G181" s="4">
        <v>12</v>
      </c>
      <c r="H181" s="4">
        <v>29.41</v>
      </c>
      <c r="I181" s="5">
        <v>0.18</v>
      </c>
    </row>
    <row r="182" spans="2:9" x14ac:dyDescent="0.3">
      <c r="B182" s="138">
        <v>41577</v>
      </c>
      <c r="C182" s="4" t="s">
        <v>360</v>
      </c>
      <c r="D182" s="4">
        <v>125</v>
      </c>
      <c r="E182" s="4">
        <v>15</v>
      </c>
      <c r="F182" s="4">
        <v>17</v>
      </c>
      <c r="G182" s="4">
        <v>2</v>
      </c>
      <c r="H182" s="4">
        <v>88.24</v>
      </c>
      <c r="I182" s="5">
        <v>0.92</v>
      </c>
    </row>
    <row r="183" spans="2:9" x14ac:dyDescent="0.3">
      <c r="B183" s="138">
        <v>41577</v>
      </c>
      <c r="C183" s="4" t="s">
        <v>360</v>
      </c>
      <c r="D183" s="4">
        <v>31.25</v>
      </c>
      <c r="E183" s="4">
        <v>8</v>
      </c>
      <c r="F183" s="4">
        <v>17</v>
      </c>
      <c r="G183" s="4">
        <v>9</v>
      </c>
      <c r="H183" s="4">
        <v>47.06</v>
      </c>
      <c r="I183" s="5">
        <v>0.38</v>
      </c>
    </row>
    <row r="184" spans="2:9" x14ac:dyDescent="0.3">
      <c r="B184" s="138">
        <v>41577</v>
      </c>
      <c r="C184" s="4" t="s">
        <v>360</v>
      </c>
      <c r="D184" s="4">
        <v>7.81</v>
      </c>
      <c r="E184" s="4">
        <v>6</v>
      </c>
      <c r="F184" s="4">
        <v>17</v>
      </c>
      <c r="G184" s="4">
        <v>11</v>
      </c>
      <c r="H184" s="4">
        <v>35.29</v>
      </c>
      <c r="I184" s="5">
        <v>0.55000000000000004</v>
      </c>
    </row>
    <row r="185" spans="2:9" x14ac:dyDescent="0.3">
      <c r="B185" s="138">
        <v>41577</v>
      </c>
      <c r="C185" s="4" t="s">
        <v>360</v>
      </c>
      <c r="D185" s="4">
        <v>1.95</v>
      </c>
      <c r="E185" s="4">
        <v>5</v>
      </c>
      <c r="F185" s="4">
        <v>17</v>
      </c>
      <c r="G185" s="4">
        <v>12</v>
      </c>
      <c r="H185" s="4">
        <v>29.41</v>
      </c>
      <c r="I185" s="5">
        <v>0.15</v>
      </c>
    </row>
    <row r="186" spans="2:9" x14ac:dyDescent="0.3">
      <c r="B186" s="138">
        <v>41577</v>
      </c>
      <c r="C186" s="4" t="s">
        <v>360</v>
      </c>
      <c r="D186" s="4">
        <v>0.49</v>
      </c>
      <c r="E186" s="4">
        <v>6</v>
      </c>
      <c r="F186" s="4">
        <v>17</v>
      </c>
      <c r="G186" s="4">
        <v>11</v>
      </c>
      <c r="H186" s="4">
        <v>35.29</v>
      </c>
      <c r="I186" s="5">
        <v>0.13</v>
      </c>
    </row>
    <row r="187" spans="2:9" x14ac:dyDescent="0.3">
      <c r="B187" s="138">
        <v>41577</v>
      </c>
      <c r="C187" s="4" t="s">
        <v>360</v>
      </c>
      <c r="D187" s="4">
        <v>500</v>
      </c>
      <c r="E187" s="4">
        <v>14</v>
      </c>
      <c r="F187" s="4">
        <v>18</v>
      </c>
      <c r="G187" s="4">
        <v>4</v>
      </c>
      <c r="H187" s="4">
        <v>77.78</v>
      </c>
      <c r="I187" s="5">
        <v>0.88</v>
      </c>
    </row>
    <row r="188" spans="2:9" x14ac:dyDescent="0.3">
      <c r="B188" s="138">
        <v>41577</v>
      </c>
      <c r="C188" s="4" t="s">
        <v>360</v>
      </c>
      <c r="D188" s="4">
        <v>125</v>
      </c>
      <c r="E188" s="4">
        <v>15</v>
      </c>
      <c r="F188" s="4">
        <v>17</v>
      </c>
      <c r="G188" s="4">
        <v>2</v>
      </c>
      <c r="H188" s="4">
        <v>88.24</v>
      </c>
      <c r="I188" s="5">
        <v>0.93</v>
      </c>
    </row>
    <row r="189" spans="2:9" x14ac:dyDescent="0.3">
      <c r="B189" s="138">
        <v>41577</v>
      </c>
      <c r="C189" s="4" t="s">
        <v>360</v>
      </c>
      <c r="D189" s="4">
        <v>31.25</v>
      </c>
      <c r="E189" s="4">
        <v>12</v>
      </c>
      <c r="F189" s="4">
        <v>17</v>
      </c>
      <c r="G189" s="4">
        <v>5</v>
      </c>
      <c r="H189" s="4">
        <v>70.59</v>
      </c>
      <c r="I189" s="5">
        <v>0.85</v>
      </c>
    </row>
    <row r="190" spans="2:9" x14ac:dyDescent="0.3">
      <c r="B190" s="138">
        <v>41577</v>
      </c>
      <c r="C190" s="4" t="s">
        <v>360</v>
      </c>
      <c r="D190" s="4">
        <v>7.81</v>
      </c>
      <c r="E190" s="4">
        <v>3</v>
      </c>
      <c r="F190" s="4">
        <v>17</v>
      </c>
      <c r="G190" s="4">
        <v>14</v>
      </c>
      <c r="H190" s="4">
        <v>17.649999999999999</v>
      </c>
      <c r="I190" s="5">
        <v>-0.2</v>
      </c>
    </row>
    <row r="191" spans="2:9" x14ac:dyDescent="0.3">
      <c r="B191" s="138">
        <v>41577</v>
      </c>
      <c r="C191" s="4" t="s">
        <v>360</v>
      </c>
      <c r="D191" s="4">
        <v>1.95</v>
      </c>
      <c r="E191" s="4">
        <v>3</v>
      </c>
      <c r="F191" s="4">
        <v>17</v>
      </c>
      <c r="G191" s="4">
        <v>14</v>
      </c>
      <c r="H191" s="4">
        <v>17.649999999999999</v>
      </c>
      <c r="I191" s="5">
        <v>-0.56999999999999995</v>
      </c>
    </row>
    <row r="192" spans="2:9" x14ac:dyDescent="0.3">
      <c r="B192" s="138">
        <v>41577</v>
      </c>
      <c r="C192" s="4" t="s">
        <v>360</v>
      </c>
      <c r="D192" s="4">
        <v>0.49</v>
      </c>
      <c r="E192" s="4">
        <v>6</v>
      </c>
      <c r="F192" s="4">
        <v>17</v>
      </c>
      <c r="G192" s="4">
        <v>11</v>
      </c>
      <c r="H192" s="4">
        <v>35.29</v>
      </c>
      <c r="I192" s="5">
        <v>-0.03</v>
      </c>
    </row>
    <row r="193" spans="2:9" x14ac:dyDescent="0.3">
      <c r="B193" s="138">
        <v>41577</v>
      </c>
      <c r="C193" s="4" t="s">
        <v>360</v>
      </c>
      <c r="D193" s="4">
        <v>500</v>
      </c>
      <c r="E193" s="4">
        <v>15</v>
      </c>
      <c r="F193" s="4">
        <v>17</v>
      </c>
      <c r="G193" s="4">
        <v>2</v>
      </c>
      <c r="H193" s="4">
        <v>88.24</v>
      </c>
      <c r="I193" s="5">
        <v>0.95</v>
      </c>
    </row>
    <row r="194" spans="2:9" x14ac:dyDescent="0.3">
      <c r="B194" s="138">
        <v>41577</v>
      </c>
      <c r="C194" s="4" t="s">
        <v>360</v>
      </c>
      <c r="D194" s="4">
        <v>125</v>
      </c>
      <c r="E194" s="4">
        <v>15</v>
      </c>
      <c r="F194" s="4">
        <v>17</v>
      </c>
      <c r="G194" s="4">
        <v>2</v>
      </c>
      <c r="H194" s="4">
        <v>88.24</v>
      </c>
      <c r="I194" s="5">
        <v>0.94</v>
      </c>
    </row>
    <row r="195" spans="2:9" x14ac:dyDescent="0.3">
      <c r="B195" s="138">
        <v>41577</v>
      </c>
      <c r="C195" s="4" t="s">
        <v>360</v>
      </c>
      <c r="D195" s="4">
        <v>31.25</v>
      </c>
      <c r="E195" s="4">
        <v>11</v>
      </c>
      <c r="F195" s="4">
        <v>17</v>
      </c>
      <c r="G195" s="4">
        <v>6</v>
      </c>
      <c r="H195" s="4">
        <v>64.709999999999994</v>
      </c>
      <c r="I195" s="5">
        <v>0.83</v>
      </c>
    </row>
    <row r="196" spans="2:9" x14ac:dyDescent="0.3">
      <c r="B196" s="138">
        <v>41577</v>
      </c>
      <c r="C196" s="4" t="s">
        <v>360</v>
      </c>
      <c r="D196" s="4">
        <v>7.81</v>
      </c>
      <c r="E196" s="4">
        <v>5</v>
      </c>
      <c r="F196" s="4">
        <v>17</v>
      </c>
      <c r="G196" s="4">
        <v>12</v>
      </c>
      <c r="H196" s="4">
        <v>29.41</v>
      </c>
      <c r="I196" s="5">
        <v>0.11</v>
      </c>
    </row>
    <row r="197" spans="2:9" x14ac:dyDescent="0.3">
      <c r="B197" s="138">
        <v>41577</v>
      </c>
      <c r="C197" s="4" t="s">
        <v>360</v>
      </c>
      <c r="D197" s="4">
        <v>1.95</v>
      </c>
      <c r="E197" s="4">
        <v>4</v>
      </c>
      <c r="F197" s="4">
        <v>17</v>
      </c>
      <c r="G197" s="4">
        <v>13</v>
      </c>
      <c r="H197" s="4">
        <v>23.53</v>
      </c>
      <c r="I197" s="5">
        <v>-0.1</v>
      </c>
    </row>
    <row r="198" spans="2:9" x14ac:dyDescent="0.3">
      <c r="B198" s="138">
        <v>41577</v>
      </c>
      <c r="C198" s="4" t="s">
        <v>360</v>
      </c>
      <c r="D198" s="4">
        <v>0.49</v>
      </c>
      <c r="E198" s="4">
        <v>3</v>
      </c>
      <c r="F198" s="4">
        <v>17</v>
      </c>
      <c r="G198" s="4">
        <v>14</v>
      </c>
      <c r="H198" s="4">
        <v>17.649999999999999</v>
      </c>
      <c r="I198" s="5">
        <v>-0.18</v>
      </c>
    </row>
    <row r="199" spans="2:9" x14ac:dyDescent="0.3">
      <c r="B199" s="138">
        <v>41423</v>
      </c>
      <c r="C199" s="4" t="s">
        <v>346</v>
      </c>
      <c r="D199" s="4">
        <v>500</v>
      </c>
      <c r="E199" s="4">
        <v>17</v>
      </c>
      <c r="F199" s="4">
        <v>18</v>
      </c>
      <c r="G199" s="4">
        <v>1</v>
      </c>
      <c r="H199" s="4">
        <v>94.44</v>
      </c>
      <c r="I199" s="5">
        <v>0.77</v>
      </c>
    </row>
    <row r="200" spans="2:9" x14ac:dyDescent="0.3">
      <c r="B200" s="138">
        <v>41423</v>
      </c>
      <c r="C200" s="4" t="s">
        <v>346</v>
      </c>
      <c r="D200" s="4">
        <v>500</v>
      </c>
      <c r="E200" s="4">
        <v>16</v>
      </c>
      <c r="F200" s="4">
        <v>18</v>
      </c>
      <c r="G200" s="4">
        <v>2</v>
      </c>
      <c r="H200" s="4">
        <v>88.89</v>
      </c>
      <c r="I200" s="5">
        <v>0.7</v>
      </c>
    </row>
    <row r="201" spans="2:9" x14ac:dyDescent="0.3">
      <c r="B201" s="138">
        <v>41437</v>
      </c>
      <c r="C201" s="4" t="s">
        <v>346</v>
      </c>
      <c r="D201" s="4">
        <v>0.48828125</v>
      </c>
      <c r="E201" s="4">
        <v>4</v>
      </c>
      <c r="F201" s="4">
        <v>17</v>
      </c>
      <c r="G201" s="4">
        <v>13</v>
      </c>
      <c r="H201" s="4">
        <v>23.53</v>
      </c>
      <c r="I201" s="5">
        <v>0.22</v>
      </c>
    </row>
    <row r="202" spans="2:9" x14ac:dyDescent="0.3">
      <c r="B202" s="138">
        <v>41437</v>
      </c>
      <c r="C202" s="4" t="s">
        <v>346</v>
      </c>
      <c r="D202" s="4">
        <v>7.8125</v>
      </c>
      <c r="E202" s="4">
        <v>9</v>
      </c>
      <c r="F202" s="4">
        <v>17</v>
      </c>
      <c r="G202" s="4">
        <v>8</v>
      </c>
      <c r="H202" s="4">
        <v>52.94</v>
      </c>
      <c r="I202" s="5">
        <v>0.45</v>
      </c>
    </row>
    <row r="203" spans="2:9" x14ac:dyDescent="0.3">
      <c r="B203" s="138">
        <v>41437</v>
      </c>
      <c r="C203" s="4" t="s">
        <v>346</v>
      </c>
      <c r="D203" s="4">
        <v>500</v>
      </c>
      <c r="E203" s="4">
        <v>9</v>
      </c>
      <c r="F203" s="4">
        <v>13</v>
      </c>
      <c r="G203" s="4">
        <v>4</v>
      </c>
      <c r="H203" s="4">
        <v>69.23</v>
      </c>
      <c r="I203" s="5">
        <v>0.6</v>
      </c>
    </row>
    <row r="204" spans="2:9" x14ac:dyDescent="0.3">
      <c r="B204" s="138">
        <v>41437</v>
      </c>
      <c r="C204" s="4" t="s">
        <v>346</v>
      </c>
      <c r="D204" s="4">
        <v>1.953125</v>
      </c>
      <c r="E204" s="4">
        <v>4</v>
      </c>
      <c r="F204" s="4">
        <v>17</v>
      </c>
      <c r="G204" s="4">
        <v>13</v>
      </c>
      <c r="H204" s="4">
        <v>23.53</v>
      </c>
      <c r="I204" s="5">
        <v>0.44</v>
      </c>
    </row>
    <row r="205" spans="2:9" x14ac:dyDescent="0.3">
      <c r="B205" s="138">
        <v>41437</v>
      </c>
      <c r="C205" s="4" t="s">
        <v>346</v>
      </c>
      <c r="D205" s="4">
        <v>31.25</v>
      </c>
      <c r="E205" s="4">
        <v>10</v>
      </c>
      <c r="F205" s="4">
        <v>17</v>
      </c>
      <c r="G205" s="4">
        <v>7</v>
      </c>
      <c r="H205" s="4">
        <v>58.82</v>
      </c>
      <c r="I205" s="5">
        <v>0.51</v>
      </c>
    </row>
    <row r="206" spans="2:9" x14ac:dyDescent="0.3">
      <c r="B206" s="138">
        <v>41437</v>
      </c>
      <c r="C206" s="4" t="s">
        <v>346</v>
      </c>
      <c r="D206" s="4">
        <v>125</v>
      </c>
      <c r="E206" s="4">
        <v>16</v>
      </c>
      <c r="F206" s="4">
        <v>17</v>
      </c>
      <c r="G206" s="4">
        <v>1</v>
      </c>
      <c r="H206" s="4">
        <v>94.12</v>
      </c>
      <c r="I206" s="5">
        <v>0.81</v>
      </c>
    </row>
    <row r="207" spans="2:9" x14ac:dyDescent="0.3">
      <c r="B207" s="138">
        <v>41437</v>
      </c>
      <c r="C207" s="4" t="s">
        <v>346</v>
      </c>
      <c r="D207" s="4">
        <v>0.48828125</v>
      </c>
      <c r="E207" s="4">
        <v>0</v>
      </c>
      <c r="F207" s="4">
        <v>17</v>
      </c>
      <c r="G207" s="4">
        <v>17</v>
      </c>
      <c r="H207" s="4">
        <v>0</v>
      </c>
      <c r="I207" s="5">
        <v>0.2</v>
      </c>
    </row>
    <row r="208" spans="2:9" x14ac:dyDescent="0.3">
      <c r="B208" s="138">
        <v>41437</v>
      </c>
      <c r="C208" s="4" t="s">
        <v>346</v>
      </c>
      <c r="D208" s="4">
        <v>500</v>
      </c>
      <c r="E208" s="4">
        <v>12</v>
      </c>
      <c r="F208" s="4">
        <v>17</v>
      </c>
      <c r="G208" s="4">
        <v>5</v>
      </c>
      <c r="H208" s="4">
        <v>70.59</v>
      </c>
      <c r="I208" s="5">
        <v>0.62</v>
      </c>
    </row>
    <row r="209" spans="2:9" x14ac:dyDescent="0.3">
      <c r="B209" s="138">
        <v>41437</v>
      </c>
      <c r="C209" s="4" t="s">
        <v>346</v>
      </c>
      <c r="D209" s="4">
        <v>7.8125</v>
      </c>
      <c r="E209" s="4">
        <v>11</v>
      </c>
      <c r="F209" s="4">
        <v>16</v>
      </c>
      <c r="G209" s="4">
        <v>5</v>
      </c>
      <c r="H209" s="4">
        <v>68.75</v>
      </c>
      <c r="I209" s="5">
        <v>0.75</v>
      </c>
    </row>
    <row r="210" spans="2:9" x14ac:dyDescent="0.3">
      <c r="B210" s="138">
        <v>41437</v>
      </c>
      <c r="C210" s="4" t="s">
        <v>346</v>
      </c>
      <c r="D210" s="4">
        <v>1.953125</v>
      </c>
      <c r="E210" s="4">
        <v>5</v>
      </c>
      <c r="F210" s="4">
        <v>15</v>
      </c>
      <c r="G210" s="4">
        <v>10</v>
      </c>
      <c r="H210" s="4">
        <v>33.33</v>
      </c>
      <c r="I210" s="5">
        <v>0.6</v>
      </c>
    </row>
    <row r="211" spans="2:9" x14ac:dyDescent="0.3">
      <c r="B211" s="138">
        <v>41437</v>
      </c>
      <c r="C211" s="4" t="s">
        <v>346</v>
      </c>
      <c r="D211" s="4">
        <v>31.25</v>
      </c>
      <c r="E211" s="4">
        <v>10</v>
      </c>
      <c r="F211" s="4">
        <v>15</v>
      </c>
      <c r="G211" s="4">
        <v>5</v>
      </c>
      <c r="H211" s="4">
        <v>66.67</v>
      </c>
      <c r="I211" s="5">
        <v>0.68</v>
      </c>
    </row>
    <row r="212" spans="2:9" x14ac:dyDescent="0.3">
      <c r="B212" s="138">
        <v>41437</v>
      </c>
      <c r="C212" s="4" t="s">
        <v>346</v>
      </c>
      <c r="D212" s="4">
        <v>125</v>
      </c>
      <c r="E212" s="4">
        <v>10</v>
      </c>
      <c r="F212" s="4">
        <v>17</v>
      </c>
      <c r="G212" s="4">
        <v>7</v>
      </c>
      <c r="H212" s="4">
        <v>58.82</v>
      </c>
      <c r="I212" s="5">
        <v>0.85</v>
      </c>
    </row>
    <row r="213" spans="2:9" x14ac:dyDescent="0.3">
      <c r="B213" s="138">
        <v>41458</v>
      </c>
      <c r="C213" s="4" t="s">
        <v>346</v>
      </c>
      <c r="D213" s="4">
        <v>7.8125</v>
      </c>
      <c r="E213" s="4">
        <v>10</v>
      </c>
      <c r="F213" s="4">
        <v>17</v>
      </c>
      <c r="G213" s="4">
        <v>7</v>
      </c>
      <c r="H213" s="4">
        <v>58.82</v>
      </c>
      <c r="I213" s="5">
        <v>0.61</v>
      </c>
    </row>
    <row r="214" spans="2:9" x14ac:dyDescent="0.3">
      <c r="B214" s="138">
        <v>41458</v>
      </c>
      <c r="C214" s="4" t="s">
        <v>346</v>
      </c>
      <c r="D214" s="4">
        <v>0.48828125</v>
      </c>
      <c r="E214" s="4">
        <v>1</v>
      </c>
      <c r="F214" s="4">
        <v>17</v>
      </c>
      <c r="G214" s="4">
        <v>16</v>
      </c>
      <c r="H214" s="4">
        <v>5.88</v>
      </c>
      <c r="I214" s="5">
        <v>-0.13</v>
      </c>
    </row>
    <row r="215" spans="2:9" x14ac:dyDescent="0.3">
      <c r="B215" s="138">
        <v>41458</v>
      </c>
      <c r="C215" s="4" t="s">
        <v>346</v>
      </c>
      <c r="D215" s="4">
        <v>31.25</v>
      </c>
      <c r="E215" s="4">
        <v>7</v>
      </c>
      <c r="F215" s="4">
        <v>9</v>
      </c>
      <c r="G215" s="4">
        <v>2</v>
      </c>
      <c r="H215" s="4">
        <v>77.78</v>
      </c>
      <c r="I215" s="5">
        <v>0.33</v>
      </c>
    </row>
    <row r="216" spans="2:9" x14ac:dyDescent="0.3">
      <c r="B216" s="138">
        <v>41458</v>
      </c>
      <c r="C216" s="4" t="s">
        <v>346</v>
      </c>
      <c r="D216" s="4">
        <v>1.953125</v>
      </c>
      <c r="E216" s="4">
        <v>6</v>
      </c>
      <c r="F216" s="4">
        <v>18</v>
      </c>
      <c r="G216" s="4">
        <v>12</v>
      </c>
      <c r="H216" s="4">
        <v>33.33</v>
      </c>
      <c r="I216" s="5">
        <v>0.4</v>
      </c>
    </row>
    <row r="217" spans="2:9" x14ac:dyDescent="0.3">
      <c r="B217" s="138">
        <v>41458</v>
      </c>
      <c r="C217" s="4" t="s">
        <v>346</v>
      </c>
      <c r="D217" s="4">
        <v>125</v>
      </c>
      <c r="E217" s="4">
        <v>14</v>
      </c>
      <c r="F217" s="4">
        <v>16</v>
      </c>
      <c r="G217" s="4">
        <v>2</v>
      </c>
      <c r="H217" s="4">
        <v>87.5</v>
      </c>
      <c r="I217" s="5">
        <v>0.11</v>
      </c>
    </row>
    <row r="218" spans="2:9" x14ac:dyDescent="0.3">
      <c r="B218" s="138">
        <v>41458</v>
      </c>
      <c r="C218" s="4" t="s">
        <v>346</v>
      </c>
      <c r="D218" s="4">
        <v>7.8125</v>
      </c>
      <c r="E218" s="4">
        <v>5</v>
      </c>
      <c r="F218" s="4">
        <v>17</v>
      </c>
      <c r="G218" s="4">
        <v>12</v>
      </c>
      <c r="H218" s="4">
        <v>29.41</v>
      </c>
      <c r="I218" s="5">
        <v>0.51</v>
      </c>
    </row>
    <row r="219" spans="2:9" x14ac:dyDescent="0.3">
      <c r="B219" s="138">
        <v>41458</v>
      </c>
      <c r="C219" s="4" t="s">
        <v>346</v>
      </c>
      <c r="D219" s="4">
        <v>0.48828125</v>
      </c>
      <c r="E219" s="4">
        <v>3</v>
      </c>
      <c r="F219" s="4">
        <v>18</v>
      </c>
      <c r="G219" s="4">
        <v>15</v>
      </c>
      <c r="H219" s="4">
        <v>16.670000000000002</v>
      </c>
      <c r="I219" s="5">
        <v>0.08</v>
      </c>
    </row>
    <row r="220" spans="2:9" x14ac:dyDescent="0.3">
      <c r="B220" s="138">
        <v>41458</v>
      </c>
      <c r="C220" s="4" t="s">
        <v>346</v>
      </c>
      <c r="D220" s="4">
        <v>500</v>
      </c>
      <c r="E220" s="4">
        <v>16</v>
      </c>
      <c r="F220" s="4">
        <v>17</v>
      </c>
      <c r="G220" s="4">
        <v>1</v>
      </c>
      <c r="H220" s="4">
        <v>94.12</v>
      </c>
      <c r="I220" s="5">
        <v>0.73</v>
      </c>
    </row>
    <row r="221" spans="2:9" x14ac:dyDescent="0.3">
      <c r="B221" s="138">
        <v>41458</v>
      </c>
      <c r="C221" s="4" t="s">
        <v>346</v>
      </c>
      <c r="D221" s="4">
        <v>31.25</v>
      </c>
      <c r="E221" s="4">
        <v>12</v>
      </c>
      <c r="F221" s="4">
        <v>17</v>
      </c>
      <c r="G221" s="4">
        <v>5</v>
      </c>
      <c r="H221" s="4">
        <v>70.59</v>
      </c>
      <c r="I221" s="5">
        <v>0.79</v>
      </c>
    </row>
    <row r="222" spans="2:9" x14ac:dyDescent="0.3">
      <c r="B222" s="138">
        <v>41458</v>
      </c>
      <c r="C222" s="4" t="s">
        <v>346</v>
      </c>
      <c r="D222" s="4">
        <v>1.953125</v>
      </c>
      <c r="E222" s="4">
        <v>8</v>
      </c>
      <c r="F222" s="4">
        <v>17</v>
      </c>
      <c r="G222" s="4">
        <v>9</v>
      </c>
      <c r="H222" s="4">
        <v>47.06</v>
      </c>
      <c r="I222" s="5">
        <v>0.55000000000000004</v>
      </c>
    </row>
    <row r="223" spans="2:9" x14ac:dyDescent="0.3">
      <c r="B223" s="138">
        <v>41458</v>
      </c>
      <c r="C223" s="4" t="s">
        <v>346</v>
      </c>
      <c r="D223" s="4">
        <v>125</v>
      </c>
      <c r="E223" s="4">
        <v>15</v>
      </c>
      <c r="F223" s="4">
        <v>17</v>
      </c>
      <c r="G223" s="4">
        <v>2</v>
      </c>
      <c r="H223" s="4">
        <v>88.24</v>
      </c>
      <c r="I223" s="5">
        <v>0.87</v>
      </c>
    </row>
    <row r="224" spans="2:9" x14ac:dyDescent="0.3">
      <c r="B224" s="138">
        <v>41472</v>
      </c>
      <c r="C224" s="4" t="s">
        <v>346</v>
      </c>
      <c r="D224" s="4">
        <v>500</v>
      </c>
      <c r="E224" s="4">
        <v>16</v>
      </c>
      <c r="F224" s="4">
        <v>17</v>
      </c>
      <c r="G224" s="4">
        <v>1</v>
      </c>
      <c r="H224" s="4">
        <v>94.12</v>
      </c>
      <c r="I224" s="5">
        <v>0.99</v>
      </c>
    </row>
    <row r="225" spans="2:9" x14ac:dyDescent="0.3">
      <c r="B225" s="138">
        <v>41472</v>
      </c>
      <c r="C225" s="4" t="s">
        <v>346</v>
      </c>
      <c r="D225" s="4">
        <v>125</v>
      </c>
      <c r="E225" s="4">
        <v>17</v>
      </c>
      <c r="F225" s="4">
        <v>17</v>
      </c>
      <c r="G225" s="4">
        <v>0</v>
      </c>
      <c r="H225" s="4">
        <v>100</v>
      </c>
      <c r="I225" s="5">
        <v>1</v>
      </c>
    </row>
    <row r="226" spans="2:9" x14ac:dyDescent="0.3">
      <c r="B226" s="138">
        <v>41472</v>
      </c>
      <c r="C226" s="4" t="s">
        <v>346</v>
      </c>
      <c r="D226" s="4">
        <v>31.25</v>
      </c>
      <c r="E226" s="4">
        <v>13</v>
      </c>
      <c r="F226" s="4">
        <v>17</v>
      </c>
      <c r="G226" s="4">
        <v>4</v>
      </c>
      <c r="H226" s="4">
        <v>76.47</v>
      </c>
      <c r="I226" s="5">
        <v>0.94</v>
      </c>
    </row>
    <row r="227" spans="2:9" x14ac:dyDescent="0.3">
      <c r="B227" s="138">
        <v>41472</v>
      </c>
      <c r="C227" s="4" t="s">
        <v>346</v>
      </c>
      <c r="D227" s="4">
        <v>7.8125</v>
      </c>
      <c r="E227" s="4">
        <v>9</v>
      </c>
      <c r="F227" s="4">
        <v>17</v>
      </c>
      <c r="G227" s="4">
        <v>8</v>
      </c>
      <c r="H227" s="4">
        <v>52.94</v>
      </c>
      <c r="I227" s="5">
        <v>0.85</v>
      </c>
    </row>
    <row r="228" spans="2:9" x14ac:dyDescent="0.3">
      <c r="B228" s="138">
        <v>41472</v>
      </c>
      <c r="C228" s="4" t="s">
        <v>346</v>
      </c>
      <c r="D228" s="4">
        <v>1.953125</v>
      </c>
      <c r="E228" s="4">
        <v>4</v>
      </c>
      <c r="F228" s="4">
        <v>17</v>
      </c>
      <c r="G228" s="4">
        <v>13</v>
      </c>
      <c r="H228" s="4">
        <v>23.53</v>
      </c>
      <c r="I228" s="5">
        <v>0.64</v>
      </c>
    </row>
    <row r="229" spans="2:9" x14ac:dyDescent="0.3">
      <c r="B229" s="138">
        <v>41472</v>
      </c>
      <c r="C229" s="4" t="s">
        <v>346</v>
      </c>
      <c r="D229" s="4">
        <v>0.48828125</v>
      </c>
      <c r="E229" s="4">
        <v>4</v>
      </c>
      <c r="F229" s="4">
        <v>17</v>
      </c>
      <c r="G229" s="4">
        <v>13</v>
      </c>
      <c r="H229" s="4">
        <v>23.53</v>
      </c>
      <c r="I229" s="5">
        <v>7.0000000000000007E-2</v>
      </c>
    </row>
    <row r="230" spans="2:9" x14ac:dyDescent="0.3">
      <c r="B230" s="138">
        <v>41472</v>
      </c>
      <c r="C230" s="4" t="s">
        <v>346</v>
      </c>
      <c r="D230" s="4">
        <v>500</v>
      </c>
      <c r="E230" s="4">
        <v>16</v>
      </c>
      <c r="F230" s="4">
        <v>17</v>
      </c>
      <c r="G230" s="4">
        <v>1</v>
      </c>
      <c r="H230" s="4">
        <v>94.12</v>
      </c>
      <c r="I230" s="5">
        <v>0.99</v>
      </c>
    </row>
    <row r="231" spans="2:9" x14ac:dyDescent="0.3">
      <c r="B231" s="138">
        <v>41472</v>
      </c>
      <c r="C231" s="4" t="s">
        <v>346</v>
      </c>
      <c r="D231" s="4">
        <v>125</v>
      </c>
      <c r="E231" s="4">
        <v>15</v>
      </c>
      <c r="F231" s="4">
        <v>17</v>
      </c>
      <c r="G231" s="4">
        <v>2</v>
      </c>
      <c r="H231" s="4">
        <v>88.24</v>
      </c>
      <c r="I231" s="5">
        <v>0.98</v>
      </c>
    </row>
    <row r="232" spans="2:9" x14ac:dyDescent="0.3">
      <c r="B232" s="138">
        <v>41472</v>
      </c>
      <c r="C232" s="4" t="s">
        <v>346</v>
      </c>
      <c r="D232" s="4">
        <v>31.25</v>
      </c>
      <c r="E232" s="4">
        <v>12</v>
      </c>
      <c r="F232" s="4">
        <v>17</v>
      </c>
      <c r="G232" s="4">
        <v>5</v>
      </c>
      <c r="H232" s="4">
        <v>70.59</v>
      </c>
      <c r="I232" s="5">
        <v>0.89</v>
      </c>
    </row>
    <row r="233" spans="2:9" x14ac:dyDescent="0.3">
      <c r="B233" s="138">
        <v>41472</v>
      </c>
      <c r="C233" s="4" t="s">
        <v>346</v>
      </c>
      <c r="D233" s="4">
        <v>7.8125</v>
      </c>
      <c r="E233" s="4">
        <v>13</v>
      </c>
      <c r="F233" s="4">
        <v>17</v>
      </c>
      <c r="G233" s="4">
        <v>4</v>
      </c>
      <c r="H233" s="4">
        <v>76.47</v>
      </c>
      <c r="I233" s="5">
        <v>0.93</v>
      </c>
    </row>
    <row r="234" spans="2:9" x14ac:dyDescent="0.3">
      <c r="B234" s="138">
        <v>41472</v>
      </c>
      <c r="C234" s="4" t="s">
        <v>346</v>
      </c>
      <c r="D234" s="4">
        <v>1.953125</v>
      </c>
      <c r="E234" s="4">
        <v>7</v>
      </c>
      <c r="F234" s="4">
        <v>17</v>
      </c>
      <c r="G234" s="4">
        <v>10</v>
      </c>
      <c r="H234" s="4">
        <v>41.18</v>
      </c>
      <c r="I234" s="5">
        <v>0.6</v>
      </c>
    </row>
    <row r="235" spans="2:9" x14ac:dyDescent="0.3">
      <c r="B235" s="138">
        <v>41472</v>
      </c>
      <c r="C235" s="4" t="s">
        <v>346</v>
      </c>
      <c r="D235" s="4">
        <v>0.48828125</v>
      </c>
      <c r="E235" s="4">
        <v>3</v>
      </c>
      <c r="F235" s="4">
        <v>17</v>
      </c>
      <c r="G235" s="4">
        <v>14</v>
      </c>
      <c r="H235" s="4">
        <v>17.649999999999999</v>
      </c>
      <c r="I235" s="5">
        <v>0.2</v>
      </c>
    </row>
    <row r="236" spans="2:9" x14ac:dyDescent="0.3">
      <c r="B236" s="138">
        <v>41423</v>
      </c>
      <c r="C236" s="4" t="s">
        <v>351</v>
      </c>
      <c r="D236" s="4">
        <v>500</v>
      </c>
      <c r="E236" s="4">
        <v>15</v>
      </c>
      <c r="F236" s="4">
        <v>17</v>
      </c>
      <c r="G236" s="4">
        <v>2</v>
      </c>
      <c r="H236" s="4">
        <v>88.24</v>
      </c>
      <c r="I236" s="5">
        <v>0.79</v>
      </c>
    </row>
    <row r="237" spans="2:9" x14ac:dyDescent="0.3">
      <c r="B237" s="138">
        <v>41423</v>
      </c>
      <c r="C237" s="4" t="s">
        <v>351</v>
      </c>
      <c r="D237" s="4">
        <v>500</v>
      </c>
      <c r="E237" s="4">
        <v>15</v>
      </c>
      <c r="F237" s="4">
        <v>17</v>
      </c>
      <c r="G237" s="4">
        <v>2</v>
      </c>
      <c r="H237" s="4">
        <v>88.24</v>
      </c>
      <c r="I237" s="5">
        <v>0.64</v>
      </c>
    </row>
    <row r="238" spans="2:9" x14ac:dyDescent="0.3">
      <c r="B238" s="138">
        <v>41437</v>
      </c>
      <c r="C238" s="4" t="s">
        <v>351</v>
      </c>
      <c r="D238" s="4">
        <v>7.8125</v>
      </c>
      <c r="E238" s="4">
        <v>7</v>
      </c>
      <c r="F238" s="4">
        <v>17</v>
      </c>
      <c r="G238" s="4">
        <v>10</v>
      </c>
      <c r="H238" s="4">
        <v>41.18</v>
      </c>
      <c r="I238" s="5">
        <v>0.6</v>
      </c>
    </row>
    <row r="239" spans="2:9" x14ac:dyDescent="0.3">
      <c r="B239" s="138">
        <v>41437</v>
      </c>
      <c r="C239" s="4" t="s">
        <v>351</v>
      </c>
      <c r="D239" s="4">
        <v>125</v>
      </c>
      <c r="E239" s="4">
        <v>11</v>
      </c>
      <c r="F239" s="4">
        <v>17</v>
      </c>
      <c r="G239" s="4">
        <v>6</v>
      </c>
      <c r="H239" s="4">
        <v>64.709999999999994</v>
      </c>
      <c r="I239" s="5">
        <v>0.69</v>
      </c>
    </row>
    <row r="240" spans="2:9" x14ac:dyDescent="0.3">
      <c r="B240" s="138">
        <v>41437</v>
      </c>
      <c r="C240" s="4" t="s">
        <v>351</v>
      </c>
      <c r="D240" s="4">
        <v>500</v>
      </c>
      <c r="E240" s="4">
        <v>13</v>
      </c>
      <c r="F240" s="4">
        <v>15</v>
      </c>
      <c r="G240" s="4">
        <v>2</v>
      </c>
      <c r="H240" s="4">
        <v>86.67</v>
      </c>
      <c r="I240" s="5">
        <v>0.75</v>
      </c>
    </row>
    <row r="241" spans="2:9" x14ac:dyDescent="0.3">
      <c r="B241" s="138">
        <v>41437</v>
      </c>
      <c r="C241" s="4" t="s">
        <v>351</v>
      </c>
      <c r="D241" s="4">
        <v>31.25</v>
      </c>
      <c r="E241" s="4">
        <v>7</v>
      </c>
      <c r="F241" s="4">
        <v>17</v>
      </c>
      <c r="G241" s="4">
        <v>10</v>
      </c>
      <c r="H241" s="4">
        <v>41.18</v>
      </c>
      <c r="I241" s="5">
        <v>0.66</v>
      </c>
    </row>
    <row r="242" spans="2:9" x14ac:dyDescent="0.3">
      <c r="B242" s="138">
        <v>41437</v>
      </c>
      <c r="C242" s="4" t="s">
        <v>351</v>
      </c>
      <c r="D242" s="4">
        <v>0.48828125</v>
      </c>
      <c r="E242" s="4">
        <v>0</v>
      </c>
      <c r="F242" s="4">
        <v>15</v>
      </c>
      <c r="G242" s="4">
        <v>15</v>
      </c>
      <c r="H242" s="4">
        <v>0</v>
      </c>
      <c r="I242" s="5">
        <v>-7.0000000000000007E-2</v>
      </c>
    </row>
    <row r="243" spans="2:9" x14ac:dyDescent="0.3">
      <c r="B243" s="138">
        <v>41437</v>
      </c>
      <c r="C243" s="4" t="s">
        <v>351</v>
      </c>
      <c r="D243" s="4">
        <v>1.953125</v>
      </c>
      <c r="E243" s="4">
        <v>3</v>
      </c>
      <c r="F243" s="4">
        <v>17</v>
      </c>
      <c r="G243" s="4">
        <v>14</v>
      </c>
      <c r="H243" s="4">
        <v>17.649999999999999</v>
      </c>
      <c r="I243" s="5">
        <v>0.28999999999999998</v>
      </c>
    </row>
    <row r="244" spans="2:9" x14ac:dyDescent="0.3">
      <c r="B244" s="138">
        <v>41437</v>
      </c>
      <c r="C244" s="4" t="s">
        <v>351</v>
      </c>
      <c r="D244" s="4">
        <v>7.8125</v>
      </c>
      <c r="E244" s="4">
        <v>8</v>
      </c>
      <c r="F244" s="4">
        <v>17</v>
      </c>
      <c r="G244" s="4">
        <v>9</v>
      </c>
      <c r="H244" s="4">
        <v>47.06</v>
      </c>
      <c r="I244" s="5">
        <v>0.43</v>
      </c>
    </row>
    <row r="245" spans="2:9" x14ac:dyDescent="0.3">
      <c r="B245" s="138">
        <v>41437</v>
      </c>
      <c r="C245" s="4" t="s">
        <v>351</v>
      </c>
      <c r="D245" s="4">
        <v>125</v>
      </c>
      <c r="E245" s="4">
        <v>11</v>
      </c>
      <c r="F245" s="4">
        <v>17</v>
      </c>
      <c r="G245" s="4">
        <v>6</v>
      </c>
      <c r="H245" s="4">
        <v>64.709999999999994</v>
      </c>
      <c r="I245" s="5">
        <v>0.73</v>
      </c>
    </row>
    <row r="246" spans="2:9" x14ac:dyDescent="0.3">
      <c r="B246" s="138">
        <v>41437</v>
      </c>
      <c r="C246" s="4" t="s">
        <v>351</v>
      </c>
      <c r="D246" s="4">
        <v>500</v>
      </c>
      <c r="E246" s="4">
        <v>13</v>
      </c>
      <c r="F246" s="4">
        <v>17</v>
      </c>
      <c r="G246" s="4">
        <v>4</v>
      </c>
      <c r="H246" s="4">
        <v>76.47</v>
      </c>
      <c r="I246" s="5">
        <v>0.76</v>
      </c>
    </row>
    <row r="247" spans="2:9" x14ac:dyDescent="0.3">
      <c r="B247" s="138">
        <v>41437</v>
      </c>
      <c r="C247" s="4" t="s">
        <v>351</v>
      </c>
      <c r="D247" s="4">
        <v>31.25</v>
      </c>
      <c r="E247" s="4">
        <v>13</v>
      </c>
      <c r="F247" s="4">
        <v>17</v>
      </c>
      <c r="G247" s="4">
        <v>4</v>
      </c>
      <c r="H247" s="4">
        <v>76.47</v>
      </c>
      <c r="I247" s="5">
        <v>0.68</v>
      </c>
    </row>
    <row r="248" spans="2:9" x14ac:dyDescent="0.3">
      <c r="B248" s="138">
        <v>41437</v>
      </c>
      <c r="C248" s="4" t="s">
        <v>351</v>
      </c>
      <c r="D248" s="4">
        <v>0.48828125</v>
      </c>
      <c r="E248" s="4">
        <v>1</v>
      </c>
      <c r="F248" s="4">
        <v>17</v>
      </c>
      <c r="G248" s="4">
        <v>16</v>
      </c>
      <c r="H248" s="4">
        <v>5.88</v>
      </c>
      <c r="I248" s="5">
        <v>0.4</v>
      </c>
    </row>
    <row r="249" spans="2:9" x14ac:dyDescent="0.3">
      <c r="B249" s="138">
        <v>41437</v>
      </c>
      <c r="C249" s="4" t="s">
        <v>351</v>
      </c>
      <c r="D249" s="4">
        <v>1.953125</v>
      </c>
      <c r="E249" s="4">
        <v>3</v>
      </c>
      <c r="F249" s="4">
        <v>17</v>
      </c>
      <c r="G249" s="4">
        <v>14</v>
      </c>
      <c r="H249" s="4">
        <v>17.649999999999999</v>
      </c>
      <c r="I249" s="5">
        <v>0.51</v>
      </c>
    </row>
    <row r="250" spans="2:9" x14ac:dyDescent="0.3">
      <c r="B250" s="138">
        <v>41458</v>
      </c>
      <c r="C250" s="4" t="s">
        <v>351</v>
      </c>
      <c r="D250" s="4">
        <v>0.48828125</v>
      </c>
      <c r="E250" s="4">
        <v>0</v>
      </c>
      <c r="F250" s="4">
        <v>7</v>
      </c>
      <c r="G250" s="4">
        <v>7</v>
      </c>
      <c r="H250" s="4">
        <v>0</v>
      </c>
      <c r="I250" s="5">
        <v>-2.17</v>
      </c>
    </row>
    <row r="251" spans="2:9" x14ac:dyDescent="0.3">
      <c r="B251" s="138">
        <v>41458</v>
      </c>
      <c r="C251" s="4" t="s">
        <v>351</v>
      </c>
      <c r="D251" s="4">
        <v>7.8125</v>
      </c>
      <c r="E251" s="4">
        <v>5</v>
      </c>
      <c r="F251" s="4">
        <v>8</v>
      </c>
      <c r="G251" s="4">
        <v>3</v>
      </c>
      <c r="H251" s="4">
        <v>62.5</v>
      </c>
      <c r="I251" s="5">
        <v>0.28999999999999998</v>
      </c>
    </row>
    <row r="252" spans="2:9" x14ac:dyDescent="0.3">
      <c r="B252" s="138">
        <v>41458</v>
      </c>
      <c r="C252" s="4" t="s">
        <v>351</v>
      </c>
      <c r="D252" s="4">
        <v>1.953125</v>
      </c>
      <c r="E252" s="4">
        <v>4</v>
      </c>
      <c r="F252" s="4">
        <v>16</v>
      </c>
      <c r="G252" s="4">
        <v>12</v>
      </c>
      <c r="H252" s="4">
        <v>25</v>
      </c>
      <c r="I252" s="5">
        <v>0.24</v>
      </c>
    </row>
    <row r="253" spans="2:9" x14ac:dyDescent="0.3">
      <c r="B253" s="138">
        <v>41458</v>
      </c>
      <c r="C253" s="4" t="s">
        <v>351</v>
      </c>
      <c r="D253" s="4">
        <v>500</v>
      </c>
      <c r="E253" s="4">
        <v>7</v>
      </c>
      <c r="F253" s="4">
        <v>11</v>
      </c>
      <c r="G253" s="4">
        <v>4</v>
      </c>
      <c r="H253" s="4">
        <v>63.64</v>
      </c>
      <c r="I253" s="5">
        <v>0.4</v>
      </c>
    </row>
    <row r="254" spans="2:9" x14ac:dyDescent="0.3">
      <c r="B254" s="138">
        <v>41458</v>
      </c>
      <c r="C254" s="4" t="s">
        <v>351</v>
      </c>
      <c r="D254" s="4">
        <v>125</v>
      </c>
      <c r="E254" s="4">
        <v>11</v>
      </c>
      <c r="F254" s="4">
        <v>16</v>
      </c>
      <c r="G254" s="4">
        <v>5</v>
      </c>
      <c r="H254" s="4">
        <v>68.75</v>
      </c>
      <c r="I254" s="5">
        <v>0.61</v>
      </c>
    </row>
    <row r="255" spans="2:9" x14ac:dyDescent="0.3">
      <c r="B255" s="138">
        <v>41458</v>
      </c>
      <c r="C255" s="4" t="s">
        <v>351</v>
      </c>
      <c r="D255" s="4">
        <v>0.48828125</v>
      </c>
      <c r="E255" s="4">
        <v>2</v>
      </c>
      <c r="F255" s="4">
        <v>17</v>
      </c>
      <c r="G255" s="4">
        <v>15</v>
      </c>
      <c r="H255" s="4">
        <v>11.77</v>
      </c>
      <c r="I255" s="5">
        <v>0.2</v>
      </c>
    </row>
    <row r="256" spans="2:9" x14ac:dyDescent="0.3">
      <c r="B256" s="138">
        <v>41458</v>
      </c>
      <c r="C256" s="4" t="s">
        <v>351</v>
      </c>
      <c r="D256" s="4">
        <v>31.25</v>
      </c>
      <c r="E256" s="4">
        <v>11</v>
      </c>
      <c r="F256" s="4">
        <v>14</v>
      </c>
      <c r="G256" s="4">
        <v>3</v>
      </c>
      <c r="H256" s="4">
        <v>78.569999999999993</v>
      </c>
      <c r="I256" s="5">
        <v>0.73</v>
      </c>
    </row>
    <row r="257" spans="2:9" x14ac:dyDescent="0.3">
      <c r="B257" s="138">
        <v>41458</v>
      </c>
      <c r="C257" s="4" t="s">
        <v>351</v>
      </c>
      <c r="D257" s="4">
        <v>7.8125</v>
      </c>
      <c r="E257" s="4">
        <v>7</v>
      </c>
      <c r="F257" s="4">
        <v>17</v>
      </c>
      <c r="G257" s="4">
        <v>10</v>
      </c>
      <c r="H257" s="4">
        <v>41.18</v>
      </c>
      <c r="I257" s="5">
        <v>0.6</v>
      </c>
    </row>
    <row r="258" spans="2:9" x14ac:dyDescent="0.3">
      <c r="B258" s="138">
        <v>41458</v>
      </c>
      <c r="C258" s="4" t="s">
        <v>351</v>
      </c>
      <c r="D258" s="4">
        <v>1.953125</v>
      </c>
      <c r="E258" s="4">
        <v>6</v>
      </c>
      <c r="F258" s="4">
        <v>17</v>
      </c>
      <c r="G258" s="4">
        <v>11</v>
      </c>
      <c r="H258" s="4">
        <v>35.29</v>
      </c>
      <c r="I258" s="5">
        <v>0.55000000000000004</v>
      </c>
    </row>
    <row r="259" spans="2:9" x14ac:dyDescent="0.3">
      <c r="B259" s="138">
        <v>41458</v>
      </c>
      <c r="C259" s="4" t="s">
        <v>351</v>
      </c>
      <c r="D259" s="4">
        <v>500</v>
      </c>
      <c r="E259" s="4">
        <v>10</v>
      </c>
      <c r="F259" s="4">
        <v>17</v>
      </c>
      <c r="G259" s="4">
        <v>7</v>
      </c>
      <c r="H259" s="4">
        <v>58.82</v>
      </c>
      <c r="I259" s="5">
        <v>0.78</v>
      </c>
    </row>
    <row r="260" spans="2:9" x14ac:dyDescent="0.3">
      <c r="B260" s="138">
        <v>41458</v>
      </c>
      <c r="C260" s="4" t="s">
        <v>351</v>
      </c>
      <c r="D260" s="4">
        <v>125</v>
      </c>
      <c r="E260" s="4">
        <v>13</v>
      </c>
      <c r="F260" s="4">
        <v>17</v>
      </c>
      <c r="G260" s="4">
        <v>4</v>
      </c>
      <c r="H260" s="4">
        <v>76.47</v>
      </c>
      <c r="I260" s="5">
        <v>0.81</v>
      </c>
    </row>
    <row r="261" spans="2:9" x14ac:dyDescent="0.3">
      <c r="B261" s="138">
        <v>41472</v>
      </c>
      <c r="C261" s="4" t="s">
        <v>351</v>
      </c>
      <c r="D261" s="4">
        <v>500</v>
      </c>
      <c r="E261" s="4">
        <v>13</v>
      </c>
      <c r="F261" s="4">
        <v>17</v>
      </c>
      <c r="G261" s="4">
        <v>4</v>
      </c>
      <c r="H261" s="4">
        <v>76.47</v>
      </c>
      <c r="I261" s="5">
        <v>0.93</v>
      </c>
    </row>
    <row r="262" spans="2:9" x14ac:dyDescent="0.3">
      <c r="B262" s="138">
        <v>41472</v>
      </c>
      <c r="C262" s="4" t="s">
        <v>351</v>
      </c>
      <c r="D262" s="4">
        <v>125</v>
      </c>
      <c r="E262" s="4">
        <v>14</v>
      </c>
      <c r="F262" s="4">
        <v>17</v>
      </c>
      <c r="G262" s="4">
        <v>3</v>
      </c>
      <c r="H262" s="4">
        <v>82.35</v>
      </c>
      <c r="I262" s="5">
        <v>0.94</v>
      </c>
    </row>
    <row r="263" spans="2:9" x14ac:dyDescent="0.3">
      <c r="B263" s="138">
        <v>41472</v>
      </c>
      <c r="C263" s="4" t="s">
        <v>351</v>
      </c>
      <c r="D263" s="4">
        <v>31.25</v>
      </c>
      <c r="E263" s="4">
        <v>13</v>
      </c>
      <c r="F263" s="4">
        <v>17</v>
      </c>
      <c r="G263" s="4">
        <v>4</v>
      </c>
      <c r="H263" s="4">
        <v>76.47</v>
      </c>
      <c r="I263" s="5">
        <v>0.93</v>
      </c>
    </row>
    <row r="264" spans="2:9" x14ac:dyDescent="0.3">
      <c r="B264" s="138">
        <v>41472</v>
      </c>
      <c r="C264" s="4" t="s">
        <v>351</v>
      </c>
      <c r="D264" s="4">
        <v>7.8125</v>
      </c>
      <c r="E264" s="4">
        <v>7</v>
      </c>
      <c r="F264" s="4">
        <v>17</v>
      </c>
      <c r="G264" s="4">
        <v>10</v>
      </c>
      <c r="H264" s="4">
        <v>41.18</v>
      </c>
      <c r="I264" s="5">
        <v>0.81</v>
      </c>
    </row>
    <row r="265" spans="2:9" x14ac:dyDescent="0.3">
      <c r="B265" s="138">
        <v>41472</v>
      </c>
      <c r="C265" s="4" t="s">
        <v>351</v>
      </c>
      <c r="D265" s="4">
        <v>1.953125</v>
      </c>
      <c r="E265" s="4">
        <v>4</v>
      </c>
      <c r="F265" s="4">
        <v>17</v>
      </c>
      <c r="G265" s="4">
        <v>12</v>
      </c>
      <c r="H265" s="4">
        <v>23.53</v>
      </c>
      <c r="I265" s="5">
        <v>0.51</v>
      </c>
    </row>
    <row r="266" spans="2:9" x14ac:dyDescent="0.3">
      <c r="B266" s="138">
        <v>41472</v>
      </c>
      <c r="C266" s="4" t="s">
        <v>351</v>
      </c>
      <c r="D266" s="4">
        <v>0.48828125</v>
      </c>
      <c r="E266" s="4">
        <v>3</v>
      </c>
      <c r="F266" s="4">
        <v>17</v>
      </c>
      <c r="G266" s="4">
        <v>14</v>
      </c>
      <c r="H266" s="4">
        <v>17.649999999999999</v>
      </c>
      <c r="I266" s="5">
        <v>0.36</v>
      </c>
    </row>
    <row r="267" spans="2:9" x14ac:dyDescent="0.3">
      <c r="B267" s="138">
        <v>41472</v>
      </c>
      <c r="C267" s="4" t="s">
        <v>351</v>
      </c>
      <c r="D267" s="4">
        <v>500</v>
      </c>
      <c r="E267" s="4">
        <v>12</v>
      </c>
      <c r="F267" s="4">
        <v>17</v>
      </c>
      <c r="G267" s="4">
        <v>5</v>
      </c>
      <c r="H267" s="4">
        <v>70.59</v>
      </c>
      <c r="I267" s="5">
        <v>0.91</v>
      </c>
    </row>
    <row r="268" spans="2:9" x14ac:dyDescent="0.3">
      <c r="B268" s="138">
        <v>41472</v>
      </c>
      <c r="C268" s="4" t="s">
        <v>351</v>
      </c>
      <c r="D268" s="4">
        <v>125</v>
      </c>
      <c r="E268" s="4">
        <v>13</v>
      </c>
      <c r="F268" s="4">
        <v>17</v>
      </c>
      <c r="G268" s="4">
        <v>4</v>
      </c>
      <c r="H268" s="4">
        <v>76.47</v>
      </c>
      <c r="I268" s="5">
        <v>0.93</v>
      </c>
    </row>
    <row r="269" spans="2:9" x14ac:dyDescent="0.3">
      <c r="B269" s="138">
        <v>41472</v>
      </c>
      <c r="C269" s="4" t="s">
        <v>351</v>
      </c>
      <c r="D269" s="4">
        <v>31.25</v>
      </c>
      <c r="E269" s="4">
        <v>12</v>
      </c>
      <c r="F269" s="4">
        <v>17</v>
      </c>
      <c r="G269" s="4">
        <v>5</v>
      </c>
      <c r="H269" s="4">
        <v>70.59</v>
      </c>
      <c r="I269" s="5">
        <v>0.9</v>
      </c>
    </row>
    <row r="270" spans="2:9" x14ac:dyDescent="0.3">
      <c r="B270" s="138">
        <v>41472</v>
      </c>
      <c r="C270" s="4" t="s">
        <v>351</v>
      </c>
      <c r="D270" s="4">
        <v>7.8125</v>
      </c>
      <c r="E270" s="4">
        <v>8</v>
      </c>
      <c r="F270" s="4">
        <v>17</v>
      </c>
      <c r="G270" s="4">
        <v>9</v>
      </c>
      <c r="H270" s="4">
        <v>47.06</v>
      </c>
      <c r="I270" s="5">
        <v>0.77</v>
      </c>
    </row>
    <row r="271" spans="2:9" x14ac:dyDescent="0.3">
      <c r="B271" s="138">
        <v>41472</v>
      </c>
      <c r="C271" s="4" t="s">
        <v>351</v>
      </c>
      <c r="D271" s="4">
        <v>1.953125</v>
      </c>
      <c r="E271" s="4">
        <v>3</v>
      </c>
      <c r="F271" s="4">
        <v>15</v>
      </c>
      <c r="G271" s="4">
        <v>12</v>
      </c>
      <c r="H271" s="4">
        <v>20</v>
      </c>
      <c r="I271" s="5">
        <v>0.38</v>
      </c>
    </row>
    <row r="272" spans="2:9" x14ac:dyDescent="0.3">
      <c r="B272" s="138">
        <v>41472</v>
      </c>
      <c r="C272" s="4" t="s">
        <v>351</v>
      </c>
      <c r="D272" s="4">
        <v>0.48828125</v>
      </c>
      <c r="E272" s="4">
        <v>5</v>
      </c>
      <c r="F272" s="4">
        <v>17</v>
      </c>
      <c r="G272" s="4">
        <v>12</v>
      </c>
      <c r="H272" s="4">
        <v>29.41</v>
      </c>
      <c r="I272" s="5">
        <v>0.04</v>
      </c>
    </row>
    <row r="273" spans="2:9" x14ac:dyDescent="0.3">
      <c r="B273" s="138">
        <v>41325</v>
      </c>
      <c r="C273" s="4" t="s">
        <v>480</v>
      </c>
      <c r="D273" s="4">
        <v>500</v>
      </c>
      <c r="E273" s="4">
        <v>15</v>
      </c>
      <c r="F273" s="4">
        <v>17</v>
      </c>
      <c r="G273" s="4">
        <v>2</v>
      </c>
      <c r="H273" s="4">
        <v>88.24</v>
      </c>
      <c r="I273" s="5">
        <v>0.98</v>
      </c>
    </row>
    <row r="274" spans="2:9" x14ac:dyDescent="0.3">
      <c r="B274" s="138">
        <v>41325</v>
      </c>
      <c r="C274" s="4" t="s">
        <v>480</v>
      </c>
      <c r="D274" s="4">
        <v>500</v>
      </c>
      <c r="E274" s="4">
        <v>12</v>
      </c>
      <c r="F274" s="4">
        <v>17</v>
      </c>
      <c r="G274" s="4">
        <v>5</v>
      </c>
      <c r="H274" s="4">
        <v>70.59</v>
      </c>
      <c r="I274" s="5">
        <v>0.93</v>
      </c>
    </row>
    <row r="275" spans="2:9" x14ac:dyDescent="0.3">
      <c r="B275" s="138">
        <v>41339</v>
      </c>
      <c r="C275" s="4" t="s">
        <v>480</v>
      </c>
      <c r="D275" s="4">
        <v>500</v>
      </c>
      <c r="E275" s="4">
        <v>16</v>
      </c>
      <c r="F275" s="4">
        <v>17</v>
      </c>
      <c r="G275" s="4">
        <v>1</v>
      </c>
      <c r="H275" s="4">
        <v>94.12</v>
      </c>
      <c r="I275" s="5">
        <v>0.98</v>
      </c>
    </row>
    <row r="276" spans="2:9" x14ac:dyDescent="0.3">
      <c r="B276" s="138">
        <v>41339</v>
      </c>
      <c r="C276" s="4" t="s">
        <v>480</v>
      </c>
      <c r="D276" s="4">
        <v>500</v>
      </c>
      <c r="E276" s="4">
        <v>14</v>
      </c>
      <c r="F276" s="4">
        <v>17</v>
      </c>
      <c r="G276" s="4">
        <v>3</v>
      </c>
      <c r="H276" s="4">
        <v>82.35</v>
      </c>
      <c r="I276" s="5">
        <v>0.92</v>
      </c>
    </row>
    <row r="277" spans="2:9" x14ac:dyDescent="0.3">
      <c r="B277" s="138">
        <v>41339</v>
      </c>
      <c r="C277" s="4" t="s">
        <v>480</v>
      </c>
      <c r="D277" s="4">
        <v>125</v>
      </c>
      <c r="E277" s="4">
        <v>13</v>
      </c>
      <c r="F277" s="4">
        <v>17</v>
      </c>
      <c r="G277" s="4">
        <v>4</v>
      </c>
      <c r="H277" s="4">
        <v>76.47</v>
      </c>
      <c r="I277" s="5">
        <v>0.79</v>
      </c>
    </row>
    <row r="278" spans="2:9" x14ac:dyDescent="0.3">
      <c r="B278" s="138">
        <v>41339</v>
      </c>
      <c r="C278" s="4" t="s">
        <v>480</v>
      </c>
      <c r="D278" s="4">
        <v>31.25</v>
      </c>
      <c r="E278" s="4">
        <v>16</v>
      </c>
      <c r="F278" s="4">
        <v>17</v>
      </c>
      <c r="G278" s="4">
        <v>1</v>
      </c>
      <c r="H278" s="4">
        <v>94.12</v>
      </c>
      <c r="I278" s="5">
        <v>0.98</v>
      </c>
    </row>
    <row r="279" spans="2:9" x14ac:dyDescent="0.3">
      <c r="B279" s="138">
        <v>41339</v>
      </c>
      <c r="C279" s="4" t="s">
        <v>480</v>
      </c>
      <c r="D279" s="4">
        <v>7.8125</v>
      </c>
      <c r="E279" s="4">
        <v>10</v>
      </c>
      <c r="F279" s="4">
        <v>16</v>
      </c>
      <c r="G279" s="4">
        <v>6</v>
      </c>
      <c r="H279" s="4">
        <v>62.5</v>
      </c>
      <c r="I279" s="5">
        <v>0.72</v>
      </c>
    </row>
    <row r="280" spans="2:9" x14ac:dyDescent="0.3">
      <c r="B280" s="138">
        <v>41339</v>
      </c>
      <c r="C280" s="4" t="s">
        <v>480</v>
      </c>
      <c r="D280" s="4">
        <v>1.953125</v>
      </c>
      <c r="E280" s="4">
        <v>0</v>
      </c>
      <c r="F280" s="4">
        <v>17</v>
      </c>
      <c r="G280" s="4">
        <v>17</v>
      </c>
      <c r="H280" s="4">
        <v>0</v>
      </c>
      <c r="I280" s="5">
        <v>-0.44</v>
      </c>
    </row>
    <row r="281" spans="2:9" x14ac:dyDescent="0.3">
      <c r="B281" s="138">
        <v>41339</v>
      </c>
      <c r="C281" s="4" t="s">
        <v>480</v>
      </c>
      <c r="D281" s="4">
        <v>0.48828125</v>
      </c>
      <c r="E281" s="4">
        <v>2</v>
      </c>
      <c r="F281" s="4">
        <v>17</v>
      </c>
      <c r="G281" s="4">
        <v>15</v>
      </c>
      <c r="H281" s="4">
        <v>11.77</v>
      </c>
      <c r="I281" s="5">
        <v>-0.18</v>
      </c>
    </row>
    <row r="282" spans="2:9" x14ac:dyDescent="0.3">
      <c r="B282" s="138">
        <v>41339</v>
      </c>
      <c r="C282" s="4" t="s">
        <v>480</v>
      </c>
      <c r="D282" s="4">
        <v>500</v>
      </c>
      <c r="E282" s="4">
        <v>14</v>
      </c>
      <c r="F282" s="4">
        <v>18</v>
      </c>
      <c r="G282" s="4">
        <v>4</v>
      </c>
      <c r="H282" s="4">
        <v>77.78</v>
      </c>
      <c r="I282" s="5">
        <v>0.93</v>
      </c>
    </row>
    <row r="283" spans="2:9" x14ac:dyDescent="0.3">
      <c r="B283" s="138">
        <v>41339</v>
      </c>
      <c r="C283" s="4" t="s">
        <v>480</v>
      </c>
      <c r="D283" s="4">
        <v>500</v>
      </c>
      <c r="E283" s="4">
        <v>15</v>
      </c>
      <c r="F283" s="4">
        <v>17</v>
      </c>
      <c r="G283" s="4">
        <v>2</v>
      </c>
      <c r="H283" s="4">
        <v>88.24</v>
      </c>
      <c r="I283" s="5">
        <v>0.96</v>
      </c>
    </row>
    <row r="284" spans="2:9" x14ac:dyDescent="0.3">
      <c r="B284" s="138">
        <v>41339</v>
      </c>
      <c r="C284" s="4" t="s">
        <v>480</v>
      </c>
      <c r="D284" s="4">
        <v>125</v>
      </c>
      <c r="E284" s="4">
        <v>17</v>
      </c>
      <c r="F284" s="4">
        <v>17</v>
      </c>
      <c r="G284" s="4">
        <v>0</v>
      </c>
      <c r="H284" s="4">
        <v>100</v>
      </c>
      <c r="I284" s="5">
        <v>1</v>
      </c>
    </row>
    <row r="285" spans="2:9" x14ac:dyDescent="0.3">
      <c r="B285" s="138">
        <v>41339</v>
      </c>
      <c r="C285" s="4" t="s">
        <v>480</v>
      </c>
      <c r="D285" s="4">
        <v>31.25</v>
      </c>
      <c r="E285" s="4">
        <v>16</v>
      </c>
      <c r="F285" s="4">
        <v>17</v>
      </c>
      <c r="G285" s="4">
        <v>1</v>
      </c>
      <c r="H285" s="4">
        <v>94.12</v>
      </c>
      <c r="I285" s="5">
        <v>0.96</v>
      </c>
    </row>
    <row r="286" spans="2:9" x14ac:dyDescent="0.3">
      <c r="B286" s="138">
        <v>41339</v>
      </c>
      <c r="C286" s="4" t="s">
        <v>480</v>
      </c>
      <c r="D286" s="4">
        <v>7.8125</v>
      </c>
      <c r="E286" s="4">
        <v>12</v>
      </c>
      <c r="F286" s="4">
        <v>17</v>
      </c>
      <c r="G286" s="4">
        <v>5</v>
      </c>
      <c r="H286" s="4">
        <v>70.59</v>
      </c>
      <c r="I286" s="5">
        <v>0.82</v>
      </c>
    </row>
    <row r="287" spans="2:9" x14ac:dyDescent="0.3">
      <c r="B287" s="138">
        <v>41339</v>
      </c>
      <c r="C287" s="4" t="s">
        <v>480</v>
      </c>
      <c r="D287" s="4">
        <v>1.953125</v>
      </c>
      <c r="E287" s="4">
        <v>2</v>
      </c>
      <c r="F287" s="4">
        <v>17</v>
      </c>
      <c r="G287" s="4">
        <v>15</v>
      </c>
      <c r="H287" s="4">
        <v>11.77</v>
      </c>
      <c r="I287" s="5">
        <v>0.23</v>
      </c>
    </row>
    <row r="288" spans="2:9" x14ac:dyDescent="0.3">
      <c r="B288" s="138">
        <v>41339</v>
      </c>
      <c r="C288" s="4" t="s">
        <v>480</v>
      </c>
      <c r="D288" s="4">
        <v>0.48828125</v>
      </c>
      <c r="E288" s="4">
        <v>1</v>
      </c>
      <c r="F288" s="4">
        <v>16</v>
      </c>
      <c r="G288" s="4">
        <v>15</v>
      </c>
      <c r="H288" s="4">
        <v>6.25</v>
      </c>
      <c r="I288" s="5">
        <v>-0.08</v>
      </c>
    </row>
    <row r="289" spans="2:9" x14ac:dyDescent="0.3">
      <c r="B289" s="138">
        <v>41367</v>
      </c>
      <c r="C289" s="4" t="s">
        <v>480</v>
      </c>
      <c r="D289" s="4">
        <v>500</v>
      </c>
      <c r="E289" s="4">
        <v>15</v>
      </c>
      <c r="F289" s="4">
        <v>17</v>
      </c>
      <c r="G289" s="4">
        <v>2</v>
      </c>
      <c r="H289" s="4">
        <v>73.239999999999995</v>
      </c>
      <c r="I289" s="5">
        <v>0.94</v>
      </c>
    </row>
    <row r="290" spans="2:9" x14ac:dyDescent="0.3">
      <c r="B290" s="138">
        <v>41367</v>
      </c>
      <c r="C290" s="4" t="s">
        <v>480</v>
      </c>
      <c r="D290" s="4">
        <v>500</v>
      </c>
      <c r="E290" s="4">
        <v>17</v>
      </c>
      <c r="F290" s="4">
        <v>17</v>
      </c>
      <c r="G290" s="4">
        <v>0</v>
      </c>
      <c r="H290" s="4">
        <v>85</v>
      </c>
      <c r="I290" s="5">
        <v>1</v>
      </c>
    </row>
    <row r="291" spans="2:9" x14ac:dyDescent="0.3">
      <c r="B291" s="138">
        <v>41381</v>
      </c>
      <c r="C291" s="4" t="s">
        <v>480</v>
      </c>
      <c r="D291" s="4">
        <v>1.953125</v>
      </c>
      <c r="E291" s="4">
        <v>7</v>
      </c>
      <c r="F291" s="4">
        <v>17</v>
      </c>
      <c r="G291" s="4">
        <v>10</v>
      </c>
      <c r="H291" s="4">
        <v>41.18</v>
      </c>
      <c r="I291" s="5">
        <v>0.57999999999999996</v>
      </c>
    </row>
    <row r="292" spans="2:9" x14ac:dyDescent="0.3">
      <c r="B292" s="138">
        <v>41381</v>
      </c>
      <c r="C292" s="4" t="s">
        <v>480</v>
      </c>
      <c r="D292" s="4">
        <v>31.25</v>
      </c>
      <c r="E292" s="4">
        <v>15</v>
      </c>
      <c r="F292" s="4">
        <v>17</v>
      </c>
      <c r="G292" s="4">
        <v>2</v>
      </c>
      <c r="H292" s="4">
        <v>88.24</v>
      </c>
      <c r="I292" s="5">
        <v>0.56000000000000005</v>
      </c>
    </row>
    <row r="293" spans="2:9" x14ac:dyDescent="0.3">
      <c r="B293" s="138">
        <v>41381</v>
      </c>
      <c r="C293" s="4" t="s">
        <v>480</v>
      </c>
      <c r="D293" s="4">
        <v>125</v>
      </c>
      <c r="E293" s="4">
        <v>16</v>
      </c>
      <c r="F293" s="4">
        <v>17</v>
      </c>
      <c r="G293" s="4">
        <v>1</v>
      </c>
      <c r="H293" s="4">
        <v>94.12</v>
      </c>
      <c r="I293" s="5">
        <v>0.83</v>
      </c>
    </row>
    <row r="294" spans="2:9" x14ac:dyDescent="0.3">
      <c r="B294" s="138">
        <v>41381</v>
      </c>
      <c r="C294" s="4" t="s">
        <v>480</v>
      </c>
      <c r="D294" s="4">
        <v>7.8125</v>
      </c>
      <c r="E294" s="4">
        <v>10</v>
      </c>
      <c r="F294" s="4">
        <v>17</v>
      </c>
      <c r="G294" s="4">
        <v>7</v>
      </c>
      <c r="H294" s="4">
        <v>58.82</v>
      </c>
      <c r="I294" s="5">
        <v>0.68</v>
      </c>
    </row>
    <row r="295" spans="2:9" x14ac:dyDescent="0.3">
      <c r="B295" s="138">
        <v>41381</v>
      </c>
      <c r="C295" s="4" t="s">
        <v>480</v>
      </c>
      <c r="D295" s="4">
        <v>500</v>
      </c>
      <c r="E295" s="4">
        <v>13</v>
      </c>
      <c r="F295" s="4">
        <v>14</v>
      </c>
      <c r="G295" s="4">
        <v>1</v>
      </c>
      <c r="H295" s="4">
        <v>92.86</v>
      </c>
      <c r="I295" s="5">
        <v>0.73</v>
      </c>
    </row>
    <row r="296" spans="2:9" x14ac:dyDescent="0.3">
      <c r="B296" s="138">
        <v>41381</v>
      </c>
      <c r="C296" s="4" t="s">
        <v>480</v>
      </c>
      <c r="D296" s="4">
        <v>0.48828125</v>
      </c>
      <c r="E296" s="4">
        <v>5</v>
      </c>
      <c r="F296" s="4">
        <v>17</v>
      </c>
      <c r="G296" s="4">
        <v>12</v>
      </c>
      <c r="H296" s="4">
        <v>29.41</v>
      </c>
      <c r="I296" s="5">
        <v>0.52</v>
      </c>
    </row>
    <row r="297" spans="2:9" x14ac:dyDescent="0.3">
      <c r="B297" s="138">
        <v>41381</v>
      </c>
      <c r="C297" s="4" t="s">
        <v>480</v>
      </c>
      <c r="D297" s="4">
        <v>1.953125</v>
      </c>
      <c r="E297" s="4">
        <v>4</v>
      </c>
      <c r="F297" s="4">
        <v>17</v>
      </c>
      <c r="G297" s="4">
        <v>13</v>
      </c>
      <c r="H297" s="4">
        <v>23.53</v>
      </c>
      <c r="I297" s="5">
        <v>0.6</v>
      </c>
    </row>
    <row r="298" spans="2:9" x14ac:dyDescent="0.3">
      <c r="B298" s="138">
        <v>41381</v>
      </c>
      <c r="C298" s="4" t="s">
        <v>480</v>
      </c>
      <c r="D298" s="4">
        <v>31.25</v>
      </c>
      <c r="E298" s="4">
        <v>13</v>
      </c>
      <c r="F298" s="4">
        <v>17</v>
      </c>
      <c r="G298" s="4">
        <v>4</v>
      </c>
      <c r="H298" s="4">
        <v>76.47</v>
      </c>
      <c r="I298" s="5">
        <v>0.76</v>
      </c>
    </row>
    <row r="299" spans="2:9" x14ac:dyDescent="0.3">
      <c r="B299" s="138">
        <v>41381</v>
      </c>
      <c r="C299" s="4" t="s">
        <v>480</v>
      </c>
      <c r="D299" s="4">
        <v>125</v>
      </c>
      <c r="E299" s="4">
        <v>13</v>
      </c>
      <c r="F299" s="4">
        <v>17</v>
      </c>
      <c r="G299" s="4">
        <v>4</v>
      </c>
      <c r="H299" s="4">
        <v>76.47</v>
      </c>
      <c r="I299" s="5">
        <v>0.57999999999999996</v>
      </c>
    </row>
    <row r="300" spans="2:9" x14ac:dyDescent="0.3">
      <c r="B300" s="138">
        <v>41381</v>
      </c>
      <c r="C300" s="4" t="s">
        <v>480</v>
      </c>
      <c r="D300" s="4">
        <v>7.8125</v>
      </c>
      <c r="E300" s="4">
        <v>9</v>
      </c>
      <c r="F300" s="4">
        <v>16</v>
      </c>
      <c r="G300" s="4">
        <v>7</v>
      </c>
      <c r="H300" s="4">
        <v>56.25</v>
      </c>
      <c r="I300" s="5">
        <v>0.76</v>
      </c>
    </row>
    <row r="301" spans="2:9" x14ac:dyDescent="0.3">
      <c r="B301" s="138">
        <v>41381</v>
      </c>
      <c r="C301" s="4" t="s">
        <v>480</v>
      </c>
      <c r="D301" s="4">
        <v>500</v>
      </c>
      <c r="E301" s="4">
        <v>17</v>
      </c>
      <c r="F301" s="4">
        <v>17</v>
      </c>
      <c r="G301" s="4">
        <v>0</v>
      </c>
      <c r="H301" s="4">
        <v>100</v>
      </c>
      <c r="I301" s="5">
        <v>1</v>
      </c>
    </row>
    <row r="302" spans="2:9" x14ac:dyDescent="0.3">
      <c r="B302" s="138">
        <v>41381</v>
      </c>
      <c r="C302" s="4" t="s">
        <v>480</v>
      </c>
      <c r="D302" s="4">
        <v>0.48828125</v>
      </c>
      <c r="E302" s="4">
        <v>2</v>
      </c>
      <c r="F302" s="4">
        <v>17</v>
      </c>
      <c r="G302" s="4">
        <v>15</v>
      </c>
      <c r="H302" s="4">
        <v>11.77</v>
      </c>
      <c r="I302" s="5">
        <v>0.56000000000000005</v>
      </c>
    </row>
    <row r="303" spans="2:9" x14ac:dyDescent="0.3">
      <c r="B303" s="138">
        <v>41325</v>
      </c>
      <c r="C303" s="4" t="s">
        <v>484</v>
      </c>
      <c r="D303" s="4">
        <v>500</v>
      </c>
      <c r="E303" s="4">
        <v>13</v>
      </c>
      <c r="F303" s="4">
        <v>17</v>
      </c>
      <c r="G303" s="4">
        <v>4</v>
      </c>
      <c r="H303" s="4">
        <v>76.47</v>
      </c>
      <c r="I303" s="5">
        <v>0.97</v>
      </c>
    </row>
    <row r="304" spans="2:9" x14ac:dyDescent="0.3">
      <c r="B304" s="138">
        <v>41325</v>
      </c>
      <c r="C304" s="4" t="s">
        <v>484</v>
      </c>
      <c r="D304" s="4">
        <v>500</v>
      </c>
      <c r="E304" s="4">
        <v>14</v>
      </c>
      <c r="F304" s="4">
        <v>17</v>
      </c>
      <c r="G304" s="4">
        <v>3</v>
      </c>
      <c r="H304" s="4">
        <v>82.35</v>
      </c>
      <c r="I304" s="5">
        <v>0.98</v>
      </c>
    </row>
    <row r="305" spans="2:9" x14ac:dyDescent="0.3">
      <c r="B305" s="138">
        <v>41339</v>
      </c>
      <c r="C305" s="4" t="s">
        <v>484</v>
      </c>
      <c r="D305" s="4">
        <v>500</v>
      </c>
      <c r="E305" s="4">
        <v>15</v>
      </c>
      <c r="F305" s="4">
        <v>17</v>
      </c>
      <c r="G305" s="4">
        <v>2</v>
      </c>
      <c r="H305" s="4">
        <v>88.24</v>
      </c>
      <c r="I305" s="5">
        <v>0.95</v>
      </c>
    </row>
    <row r="306" spans="2:9" x14ac:dyDescent="0.3">
      <c r="B306" s="138">
        <v>41339</v>
      </c>
      <c r="C306" s="4" t="s">
        <v>484</v>
      </c>
      <c r="D306" s="4">
        <v>500</v>
      </c>
      <c r="E306" s="4">
        <v>17</v>
      </c>
      <c r="F306" s="4">
        <v>17</v>
      </c>
      <c r="G306" s="4">
        <v>0</v>
      </c>
      <c r="H306" s="4">
        <v>100</v>
      </c>
      <c r="I306" s="5">
        <v>1</v>
      </c>
    </row>
    <row r="307" spans="2:9" x14ac:dyDescent="0.3">
      <c r="B307" s="138">
        <v>41339</v>
      </c>
      <c r="C307" s="4" t="s">
        <v>484</v>
      </c>
      <c r="D307" s="4">
        <v>125</v>
      </c>
      <c r="E307" s="4">
        <v>17</v>
      </c>
      <c r="F307" s="4">
        <v>17</v>
      </c>
      <c r="G307" s="4">
        <v>0</v>
      </c>
      <c r="H307" s="4">
        <v>100</v>
      </c>
      <c r="I307" s="5">
        <v>1</v>
      </c>
    </row>
    <row r="308" spans="2:9" x14ac:dyDescent="0.3">
      <c r="B308" s="138">
        <v>41339</v>
      </c>
      <c r="C308" s="4" t="s">
        <v>484</v>
      </c>
      <c r="D308" s="4">
        <v>31.25</v>
      </c>
      <c r="E308" s="4">
        <v>16</v>
      </c>
      <c r="F308" s="4">
        <v>17</v>
      </c>
      <c r="G308" s="4">
        <v>1</v>
      </c>
      <c r="H308" s="4">
        <v>94.12</v>
      </c>
      <c r="I308" s="5">
        <v>0.96</v>
      </c>
    </row>
    <row r="309" spans="2:9" x14ac:dyDescent="0.3">
      <c r="B309" s="138">
        <v>41339</v>
      </c>
      <c r="C309" s="4" t="s">
        <v>484</v>
      </c>
      <c r="D309" s="4">
        <v>7.8125</v>
      </c>
      <c r="E309" s="4">
        <v>10</v>
      </c>
      <c r="F309" s="4">
        <v>17</v>
      </c>
      <c r="G309" s="4">
        <v>7</v>
      </c>
      <c r="H309" s="4">
        <v>58.82</v>
      </c>
      <c r="I309" s="5">
        <v>0.77</v>
      </c>
    </row>
    <row r="310" spans="2:9" x14ac:dyDescent="0.3">
      <c r="B310" s="138">
        <v>41339</v>
      </c>
      <c r="C310" s="4" t="s">
        <v>484</v>
      </c>
      <c r="D310" s="4">
        <v>1.953125</v>
      </c>
      <c r="E310" s="4">
        <v>7</v>
      </c>
      <c r="F310" s="4">
        <v>17</v>
      </c>
      <c r="G310" s="4">
        <v>10</v>
      </c>
      <c r="H310" s="4">
        <v>41.18</v>
      </c>
      <c r="I310" s="5">
        <v>0.66</v>
      </c>
    </row>
    <row r="311" spans="2:9" x14ac:dyDescent="0.3">
      <c r="B311" s="138">
        <v>41339</v>
      </c>
      <c r="C311" s="4" t="s">
        <v>484</v>
      </c>
      <c r="D311" s="4">
        <v>0.48828125</v>
      </c>
      <c r="E311" s="4">
        <v>3</v>
      </c>
      <c r="F311" s="4">
        <v>16</v>
      </c>
      <c r="G311" s="4">
        <v>13</v>
      </c>
      <c r="H311" s="4">
        <v>18.75</v>
      </c>
      <c r="I311" s="5">
        <v>-0.34</v>
      </c>
    </row>
    <row r="312" spans="2:9" x14ac:dyDescent="0.3">
      <c r="B312" s="138">
        <v>41339</v>
      </c>
      <c r="C312" s="4" t="s">
        <v>484</v>
      </c>
      <c r="D312" s="4">
        <v>500</v>
      </c>
      <c r="E312" s="4">
        <v>16</v>
      </c>
      <c r="F312" s="4">
        <v>17</v>
      </c>
      <c r="G312" s="4">
        <v>1</v>
      </c>
      <c r="H312" s="4">
        <v>94.12</v>
      </c>
      <c r="I312" s="5">
        <v>0.99</v>
      </c>
    </row>
    <row r="313" spans="2:9" x14ac:dyDescent="0.3">
      <c r="B313" s="138">
        <v>41339</v>
      </c>
      <c r="C313" s="4" t="s">
        <v>484</v>
      </c>
      <c r="D313" s="4">
        <v>500</v>
      </c>
      <c r="E313" s="4">
        <v>17</v>
      </c>
      <c r="F313" s="4">
        <v>17</v>
      </c>
      <c r="G313" s="4">
        <v>0</v>
      </c>
      <c r="H313" s="4">
        <v>100</v>
      </c>
      <c r="I313" s="5">
        <v>1</v>
      </c>
    </row>
    <row r="314" spans="2:9" x14ac:dyDescent="0.3">
      <c r="B314" s="138">
        <v>41339</v>
      </c>
      <c r="C314" s="4" t="s">
        <v>484</v>
      </c>
      <c r="D314" s="4">
        <v>125</v>
      </c>
      <c r="E314" s="4">
        <v>16</v>
      </c>
      <c r="F314" s="4">
        <v>17</v>
      </c>
      <c r="G314" s="4">
        <v>1</v>
      </c>
      <c r="H314" s="4">
        <v>94.12</v>
      </c>
      <c r="I314" s="5">
        <v>0.99</v>
      </c>
    </row>
    <row r="315" spans="2:9" x14ac:dyDescent="0.3">
      <c r="B315" s="138">
        <v>41339</v>
      </c>
      <c r="C315" s="4" t="s">
        <v>484</v>
      </c>
      <c r="D315" s="4">
        <v>31.25</v>
      </c>
      <c r="E315" s="4">
        <v>16</v>
      </c>
      <c r="F315" s="4">
        <v>17</v>
      </c>
      <c r="G315" s="4">
        <v>1</v>
      </c>
      <c r="H315" s="4">
        <v>94.12</v>
      </c>
      <c r="I315" s="5">
        <v>0.99</v>
      </c>
    </row>
    <row r="316" spans="2:9" x14ac:dyDescent="0.3">
      <c r="B316" s="138">
        <v>41339</v>
      </c>
      <c r="C316" s="4" t="s">
        <v>484</v>
      </c>
      <c r="D316" s="4">
        <v>7.8125</v>
      </c>
      <c r="E316" s="4">
        <v>10</v>
      </c>
      <c r="F316" s="4">
        <v>17</v>
      </c>
      <c r="G316" s="4">
        <v>7</v>
      </c>
      <c r="H316" s="4">
        <v>58.82</v>
      </c>
      <c r="I316" s="5">
        <v>0.73</v>
      </c>
    </row>
    <row r="317" spans="2:9" x14ac:dyDescent="0.3">
      <c r="B317" s="138">
        <v>41339</v>
      </c>
      <c r="C317" s="4" t="s">
        <v>484</v>
      </c>
      <c r="D317" s="4">
        <v>1.953125</v>
      </c>
      <c r="E317" s="4">
        <v>9</v>
      </c>
      <c r="F317" s="4">
        <v>17</v>
      </c>
      <c r="G317" s="4">
        <v>10</v>
      </c>
      <c r="H317" s="4">
        <v>52.94</v>
      </c>
      <c r="I317" s="5">
        <v>0.8</v>
      </c>
    </row>
    <row r="318" spans="2:9" x14ac:dyDescent="0.3">
      <c r="B318" s="138">
        <v>41339</v>
      </c>
      <c r="C318" s="4" t="s">
        <v>484</v>
      </c>
      <c r="D318" s="4">
        <v>0.48828125</v>
      </c>
      <c r="E318" s="4">
        <v>0</v>
      </c>
      <c r="F318" s="4">
        <v>17</v>
      </c>
      <c r="G318" s="4">
        <v>17</v>
      </c>
      <c r="H318" s="4">
        <v>0</v>
      </c>
      <c r="I318" s="5">
        <v>0.08</v>
      </c>
    </row>
    <row r="319" spans="2:9" x14ac:dyDescent="0.3">
      <c r="B319" s="138">
        <v>41367</v>
      </c>
      <c r="C319" s="4" t="s">
        <v>484</v>
      </c>
      <c r="D319" s="4">
        <v>500</v>
      </c>
      <c r="E319" s="4">
        <v>16</v>
      </c>
      <c r="F319" s="4">
        <v>17</v>
      </c>
      <c r="G319" s="4">
        <v>1</v>
      </c>
      <c r="H319" s="4">
        <v>79.12</v>
      </c>
      <c r="I319" s="5">
        <v>0.98</v>
      </c>
    </row>
    <row r="320" spans="2:9" x14ac:dyDescent="0.3">
      <c r="B320" s="138">
        <v>41367</v>
      </c>
      <c r="C320" s="4" t="s">
        <v>484</v>
      </c>
      <c r="D320" s="4">
        <v>500</v>
      </c>
      <c r="E320" s="4">
        <v>16</v>
      </c>
      <c r="F320" s="4">
        <v>17</v>
      </c>
      <c r="G320" s="4">
        <v>1</v>
      </c>
      <c r="H320" s="4">
        <v>79.12</v>
      </c>
      <c r="I320" s="5">
        <v>0.99</v>
      </c>
    </row>
    <row r="321" spans="2:9" x14ac:dyDescent="0.3">
      <c r="B321" s="138">
        <v>41381</v>
      </c>
      <c r="C321" s="4" t="s">
        <v>484</v>
      </c>
      <c r="D321" s="4">
        <v>31.25</v>
      </c>
      <c r="E321" s="4">
        <v>16</v>
      </c>
      <c r="F321" s="4">
        <v>17</v>
      </c>
      <c r="G321" s="4">
        <v>1</v>
      </c>
      <c r="H321" s="4">
        <v>94.12</v>
      </c>
      <c r="I321" s="5">
        <v>0.77</v>
      </c>
    </row>
    <row r="322" spans="2:9" x14ac:dyDescent="0.3">
      <c r="B322" s="138">
        <v>41381</v>
      </c>
      <c r="C322" s="4" t="s">
        <v>484</v>
      </c>
      <c r="D322" s="4">
        <v>7.8125</v>
      </c>
      <c r="E322" s="4">
        <v>16</v>
      </c>
      <c r="F322" s="4">
        <v>18</v>
      </c>
      <c r="G322" s="4">
        <v>2</v>
      </c>
      <c r="H322" s="4">
        <v>88.89</v>
      </c>
      <c r="I322" s="5">
        <v>0.68</v>
      </c>
    </row>
    <row r="323" spans="2:9" x14ac:dyDescent="0.3">
      <c r="B323" s="138">
        <v>41381</v>
      </c>
      <c r="C323" s="4" t="s">
        <v>484</v>
      </c>
      <c r="D323" s="4">
        <v>1.953125</v>
      </c>
      <c r="E323" s="4">
        <v>13</v>
      </c>
      <c r="F323" s="4">
        <v>18</v>
      </c>
      <c r="G323" s="4">
        <v>5</v>
      </c>
      <c r="H323" s="4">
        <v>72.22</v>
      </c>
      <c r="I323" s="5">
        <v>0.77</v>
      </c>
    </row>
    <row r="324" spans="2:9" x14ac:dyDescent="0.3">
      <c r="B324" s="138">
        <v>41381</v>
      </c>
      <c r="C324" s="4" t="s">
        <v>484</v>
      </c>
      <c r="D324" s="4">
        <v>500</v>
      </c>
      <c r="E324" s="4">
        <v>16</v>
      </c>
      <c r="F324" s="4">
        <v>17</v>
      </c>
      <c r="G324" s="4">
        <v>1</v>
      </c>
      <c r="H324" s="4">
        <v>94.12</v>
      </c>
      <c r="I324" s="5">
        <v>0.87</v>
      </c>
    </row>
    <row r="325" spans="2:9" x14ac:dyDescent="0.3">
      <c r="B325" s="138">
        <v>41381</v>
      </c>
      <c r="C325" s="4" t="s">
        <v>484</v>
      </c>
      <c r="D325" s="4">
        <v>125</v>
      </c>
      <c r="E325" s="4">
        <v>15</v>
      </c>
      <c r="F325" s="4">
        <v>17</v>
      </c>
      <c r="G325" s="4">
        <v>2</v>
      </c>
      <c r="H325" s="4">
        <v>88.24</v>
      </c>
      <c r="I325" s="5">
        <v>0.79</v>
      </c>
    </row>
    <row r="326" spans="2:9" x14ac:dyDescent="0.3">
      <c r="B326" s="138">
        <v>41381</v>
      </c>
      <c r="C326" s="4" t="s">
        <v>484</v>
      </c>
      <c r="D326" s="4">
        <v>0.48828125</v>
      </c>
      <c r="E326" s="4">
        <v>2</v>
      </c>
      <c r="F326" s="4">
        <v>17</v>
      </c>
      <c r="G326" s="4">
        <v>15</v>
      </c>
      <c r="H326" s="4">
        <v>11.77</v>
      </c>
      <c r="I326" s="5">
        <v>0.42</v>
      </c>
    </row>
    <row r="327" spans="2:9" x14ac:dyDescent="0.3">
      <c r="B327" s="138">
        <v>41381</v>
      </c>
      <c r="C327" s="4" t="s">
        <v>484</v>
      </c>
      <c r="D327" s="4">
        <v>31.25</v>
      </c>
      <c r="E327" s="4">
        <v>11</v>
      </c>
      <c r="F327" s="4">
        <v>17</v>
      </c>
      <c r="G327" s="4">
        <v>6</v>
      </c>
      <c r="H327" s="4">
        <v>64.709999999999994</v>
      </c>
      <c r="I327" s="5">
        <v>0.61</v>
      </c>
    </row>
    <row r="328" spans="2:9" x14ac:dyDescent="0.3">
      <c r="B328" s="138">
        <v>41381</v>
      </c>
      <c r="C328" s="4" t="s">
        <v>484</v>
      </c>
      <c r="D328" s="4">
        <v>7.8125</v>
      </c>
      <c r="E328" s="4">
        <v>17</v>
      </c>
      <c r="F328" s="4">
        <v>17</v>
      </c>
      <c r="G328" s="4">
        <v>0</v>
      </c>
      <c r="H328" s="4">
        <v>100</v>
      </c>
      <c r="I328" s="5">
        <v>1</v>
      </c>
    </row>
    <row r="329" spans="2:9" x14ac:dyDescent="0.3">
      <c r="B329" s="138">
        <v>41381</v>
      </c>
      <c r="C329" s="4" t="s">
        <v>484</v>
      </c>
      <c r="D329" s="4">
        <v>1.953125</v>
      </c>
      <c r="E329" s="4">
        <v>7</v>
      </c>
      <c r="F329" s="4">
        <v>16</v>
      </c>
      <c r="G329" s="4">
        <v>9</v>
      </c>
      <c r="H329" s="4">
        <v>43.75</v>
      </c>
      <c r="I329" s="5">
        <v>0.73</v>
      </c>
    </row>
    <row r="330" spans="2:9" x14ac:dyDescent="0.3">
      <c r="B330" s="138">
        <v>41381</v>
      </c>
      <c r="C330" s="4" t="s">
        <v>484</v>
      </c>
      <c r="D330" s="4">
        <v>500</v>
      </c>
      <c r="E330" s="4">
        <v>15</v>
      </c>
      <c r="F330" s="4">
        <v>15</v>
      </c>
      <c r="G330" s="4">
        <v>0</v>
      </c>
      <c r="H330" s="4">
        <v>100</v>
      </c>
      <c r="I330" s="5">
        <v>1</v>
      </c>
    </row>
    <row r="331" spans="2:9" x14ac:dyDescent="0.3">
      <c r="B331" s="138">
        <v>41381</v>
      </c>
      <c r="C331" s="4" t="s">
        <v>484</v>
      </c>
      <c r="D331" s="4">
        <v>125</v>
      </c>
      <c r="E331" s="4">
        <v>17</v>
      </c>
      <c r="F331" s="4">
        <v>17</v>
      </c>
      <c r="G331" s="4">
        <v>0</v>
      </c>
      <c r="H331" s="4">
        <v>100</v>
      </c>
      <c r="I331" s="5">
        <v>1</v>
      </c>
    </row>
    <row r="332" spans="2:9" x14ac:dyDescent="0.3">
      <c r="B332" s="138">
        <v>41381</v>
      </c>
      <c r="C332" s="4" t="s">
        <v>484</v>
      </c>
      <c r="D332" s="4">
        <v>0.48828125</v>
      </c>
      <c r="E332" s="4">
        <v>2</v>
      </c>
      <c r="F332" s="4">
        <v>17</v>
      </c>
      <c r="G332" s="4">
        <v>15</v>
      </c>
      <c r="H332" s="4">
        <v>11.77</v>
      </c>
      <c r="I332" s="5">
        <v>0.54</v>
      </c>
    </row>
    <row r="333" spans="2:9" x14ac:dyDescent="0.3">
      <c r="B333" s="138">
        <v>41031</v>
      </c>
      <c r="C333" s="4" t="s">
        <v>991</v>
      </c>
      <c r="D333" s="4">
        <v>500</v>
      </c>
      <c r="E333" s="4">
        <v>15</v>
      </c>
      <c r="F333" s="4">
        <v>17</v>
      </c>
      <c r="G333" s="4">
        <v>2</v>
      </c>
      <c r="H333" s="4">
        <v>88.24</v>
      </c>
      <c r="I333" s="5">
        <v>0.93</v>
      </c>
    </row>
    <row r="334" spans="2:9" x14ac:dyDescent="0.3">
      <c r="B334" s="138">
        <v>41031</v>
      </c>
      <c r="C334" s="4" t="s">
        <v>991</v>
      </c>
      <c r="D334" s="4">
        <v>500</v>
      </c>
      <c r="E334" s="4">
        <v>12</v>
      </c>
      <c r="F334" s="4">
        <v>15</v>
      </c>
      <c r="G334" s="4">
        <v>3</v>
      </c>
      <c r="H334" s="4">
        <v>80</v>
      </c>
      <c r="I334" s="5">
        <v>0.88</v>
      </c>
    </row>
    <row r="335" spans="2:9" x14ac:dyDescent="0.3">
      <c r="B335" s="138">
        <v>41045</v>
      </c>
      <c r="C335" s="4" t="s">
        <v>991</v>
      </c>
      <c r="D335" s="4">
        <v>500</v>
      </c>
      <c r="E335" s="4">
        <v>14</v>
      </c>
      <c r="F335" s="4">
        <v>17</v>
      </c>
      <c r="G335" s="4">
        <v>3</v>
      </c>
      <c r="H335" s="4">
        <v>82.35</v>
      </c>
      <c r="I335" s="5">
        <v>0.93</v>
      </c>
    </row>
    <row r="336" spans="2:9" x14ac:dyDescent="0.3">
      <c r="B336" s="138">
        <v>41045</v>
      </c>
      <c r="C336" s="4" t="s">
        <v>991</v>
      </c>
      <c r="D336" s="4">
        <v>500</v>
      </c>
      <c r="E336" s="4">
        <v>14</v>
      </c>
      <c r="F336" s="4">
        <v>17</v>
      </c>
      <c r="G336" s="4">
        <v>3</v>
      </c>
      <c r="H336" s="4">
        <v>82.35</v>
      </c>
      <c r="I336" s="5">
        <v>0.87</v>
      </c>
    </row>
    <row r="337" spans="2:9" x14ac:dyDescent="0.3">
      <c r="B337" s="138">
        <v>41059</v>
      </c>
      <c r="C337" s="4" t="s">
        <v>991</v>
      </c>
      <c r="D337" s="4">
        <v>500</v>
      </c>
      <c r="E337" s="4">
        <v>13</v>
      </c>
      <c r="F337" s="4">
        <v>17</v>
      </c>
      <c r="G337" s="4">
        <v>4</v>
      </c>
      <c r="H337" s="4">
        <v>76.47</v>
      </c>
      <c r="I337" s="5">
        <v>0.94</v>
      </c>
    </row>
    <row r="338" spans="2:9" x14ac:dyDescent="0.3">
      <c r="B338" s="138">
        <v>41059</v>
      </c>
      <c r="C338" s="4" t="s">
        <v>991</v>
      </c>
      <c r="D338" s="4">
        <v>125</v>
      </c>
      <c r="E338" s="4">
        <v>9</v>
      </c>
      <c r="F338" s="4">
        <v>17</v>
      </c>
      <c r="G338" s="4">
        <v>8</v>
      </c>
      <c r="H338" s="4">
        <v>52.94</v>
      </c>
      <c r="I338" s="5">
        <v>0.82</v>
      </c>
    </row>
    <row r="339" spans="2:9" x14ac:dyDescent="0.3">
      <c r="B339" s="138">
        <v>41059</v>
      </c>
      <c r="C339" s="4" t="s">
        <v>991</v>
      </c>
      <c r="D339" s="4">
        <v>31.25</v>
      </c>
      <c r="E339" s="4">
        <v>13</v>
      </c>
      <c r="F339" s="4">
        <v>17</v>
      </c>
      <c r="G339" s="4">
        <v>4</v>
      </c>
      <c r="H339" s="4">
        <v>76.47</v>
      </c>
      <c r="I339" s="5">
        <v>0.91</v>
      </c>
    </row>
    <row r="340" spans="2:9" x14ac:dyDescent="0.3">
      <c r="B340" s="138">
        <v>41059</v>
      </c>
      <c r="C340" s="4" t="s">
        <v>991</v>
      </c>
      <c r="D340" s="4">
        <v>7.8125</v>
      </c>
      <c r="E340" s="4">
        <v>7</v>
      </c>
      <c r="F340" s="4">
        <v>16</v>
      </c>
      <c r="G340" s="4">
        <v>9</v>
      </c>
      <c r="H340" s="4">
        <v>43.75</v>
      </c>
      <c r="I340" s="5">
        <v>0.7</v>
      </c>
    </row>
    <row r="341" spans="2:9" x14ac:dyDescent="0.3">
      <c r="B341" s="138">
        <v>41059</v>
      </c>
      <c r="C341" s="4" t="s">
        <v>991</v>
      </c>
      <c r="D341" s="4">
        <v>1.953125</v>
      </c>
      <c r="E341" s="4">
        <v>4</v>
      </c>
      <c r="F341" s="4">
        <v>17</v>
      </c>
      <c r="G341" s="4">
        <v>13</v>
      </c>
      <c r="H341" s="4">
        <v>23.53</v>
      </c>
      <c r="I341" s="5">
        <v>0.56000000000000005</v>
      </c>
    </row>
    <row r="342" spans="2:9" x14ac:dyDescent="0.3">
      <c r="B342" s="138">
        <v>41059</v>
      </c>
      <c r="C342" s="4" t="s">
        <v>991</v>
      </c>
      <c r="D342" s="4">
        <v>0.48828125</v>
      </c>
      <c r="E342" s="4">
        <v>1</v>
      </c>
      <c r="F342" s="4">
        <v>17</v>
      </c>
      <c r="G342" s="4">
        <v>16</v>
      </c>
      <c r="H342" s="4">
        <v>5.88</v>
      </c>
      <c r="I342" s="5">
        <v>0.55000000000000004</v>
      </c>
    </row>
    <row r="343" spans="2:9" x14ac:dyDescent="0.3">
      <c r="B343" s="138">
        <v>41059</v>
      </c>
      <c r="C343" s="4" t="s">
        <v>991</v>
      </c>
      <c r="D343" s="4">
        <v>500</v>
      </c>
      <c r="E343" s="4">
        <v>13</v>
      </c>
      <c r="F343" s="4">
        <v>17</v>
      </c>
      <c r="G343" s="4">
        <v>4</v>
      </c>
      <c r="H343" s="4">
        <v>76.47</v>
      </c>
      <c r="I343" s="5">
        <v>0.92</v>
      </c>
    </row>
    <row r="344" spans="2:9" x14ac:dyDescent="0.3">
      <c r="B344" s="138">
        <v>41059</v>
      </c>
      <c r="C344" s="4" t="s">
        <v>991</v>
      </c>
      <c r="D344" s="4">
        <v>125</v>
      </c>
      <c r="E344" s="4">
        <v>8</v>
      </c>
      <c r="F344" s="4">
        <v>16</v>
      </c>
      <c r="G344" s="4">
        <v>8</v>
      </c>
      <c r="H344" s="4">
        <v>50</v>
      </c>
      <c r="I344" s="5">
        <v>0.75</v>
      </c>
    </row>
    <row r="345" spans="2:9" x14ac:dyDescent="0.3">
      <c r="B345" s="138">
        <v>41059</v>
      </c>
      <c r="C345" s="4" t="s">
        <v>991</v>
      </c>
      <c r="D345" s="4">
        <v>31.25</v>
      </c>
      <c r="E345" s="4">
        <v>8</v>
      </c>
      <c r="F345" s="4">
        <v>17</v>
      </c>
      <c r="G345" s="4">
        <v>9</v>
      </c>
      <c r="H345" s="4">
        <v>47.06</v>
      </c>
      <c r="I345" s="5">
        <v>0.79</v>
      </c>
    </row>
    <row r="346" spans="2:9" x14ac:dyDescent="0.3">
      <c r="B346" s="138">
        <v>41059</v>
      </c>
      <c r="C346" s="4" t="s">
        <v>991</v>
      </c>
      <c r="D346" s="4">
        <v>7.8125</v>
      </c>
      <c r="E346" s="4">
        <v>5</v>
      </c>
      <c r="F346" s="4">
        <v>17</v>
      </c>
      <c r="G346" s="4">
        <v>12</v>
      </c>
      <c r="H346" s="4">
        <v>29.41</v>
      </c>
      <c r="I346" s="5">
        <v>0.61</v>
      </c>
    </row>
    <row r="347" spans="2:9" x14ac:dyDescent="0.3">
      <c r="B347" s="138">
        <v>41059</v>
      </c>
      <c r="C347" s="4" t="s">
        <v>991</v>
      </c>
      <c r="D347" s="4">
        <v>1.953125</v>
      </c>
      <c r="E347" s="4">
        <v>2</v>
      </c>
      <c r="F347" s="4">
        <v>17</v>
      </c>
      <c r="G347" s="4">
        <v>15</v>
      </c>
      <c r="H347" s="4">
        <v>11.77</v>
      </c>
      <c r="I347" s="5">
        <v>0.28999999999999998</v>
      </c>
    </row>
    <row r="348" spans="2:9" x14ac:dyDescent="0.3">
      <c r="B348" s="138">
        <v>41059</v>
      </c>
      <c r="C348" s="4" t="s">
        <v>991</v>
      </c>
      <c r="D348" s="4">
        <v>0.48828125</v>
      </c>
      <c r="E348" s="4">
        <v>0</v>
      </c>
      <c r="F348" s="4">
        <v>16</v>
      </c>
      <c r="G348" s="4">
        <v>16</v>
      </c>
      <c r="H348" s="4">
        <v>0</v>
      </c>
      <c r="I348" s="5">
        <v>-0.15</v>
      </c>
    </row>
    <row r="349" spans="2:9" x14ac:dyDescent="0.3">
      <c r="B349" s="138">
        <v>41066</v>
      </c>
      <c r="C349" s="4" t="s">
        <v>991</v>
      </c>
      <c r="D349" s="4">
        <v>500</v>
      </c>
      <c r="E349" s="4">
        <v>15</v>
      </c>
      <c r="F349" s="4">
        <v>17</v>
      </c>
      <c r="G349" s="4">
        <v>2</v>
      </c>
      <c r="H349" s="4">
        <v>88.24</v>
      </c>
      <c r="I349" s="5">
        <v>0.95</v>
      </c>
    </row>
    <row r="350" spans="2:9" x14ac:dyDescent="0.3">
      <c r="B350" s="138">
        <v>41066</v>
      </c>
      <c r="C350" s="4" t="s">
        <v>991</v>
      </c>
      <c r="D350" s="4">
        <v>125</v>
      </c>
      <c r="E350" s="4">
        <v>14</v>
      </c>
      <c r="F350" s="4">
        <v>17</v>
      </c>
      <c r="G350" s="4">
        <v>3</v>
      </c>
      <c r="H350" s="4">
        <v>82.35</v>
      </c>
      <c r="I350" s="5">
        <v>0.85</v>
      </c>
    </row>
    <row r="351" spans="2:9" x14ac:dyDescent="0.3">
      <c r="B351" s="138">
        <v>41066</v>
      </c>
      <c r="C351" s="4" t="s">
        <v>991</v>
      </c>
      <c r="D351" s="4">
        <v>31.25</v>
      </c>
      <c r="E351" s="4">
        <v>14</v>
      </c>
      <c r="F351" s="4">
        <v>17</v>
      </c>
      <c r="G351" s="4">
        <v>3</v>
      </c>
      <c r="H351" s="4">
        <v>82.35</v>
      </c>
      <c r="I351" s="5">
        <v>0.88</v>
      </c>
    </row>
    <row r="352" spans="2:9" x14ac:dyDescent="0.3">
      <c r="B352" s="138">
        <v>41066</v>
      </c>
      <c r="C352" s="4" t="s">
        <v>991</v>
      </c>
      <c r="D352" s="4">
        <v>7.8125</v>
      </c>
      <c r="E352" s="4">
        <v>9</v>
      </c>
      <c r="F352" s="4">
        <v>17</v>
      </c>
      <c r="G352" s="4">
        <v>8</v>
      </c>
      <c r="H352" s="4">
        <v>52.94</v>
      </c>
      <c r="I352" s="5">
        <v>0.55000000000000004</v>
      </c>
    </row>
    <row r="353" spans="2:9" x14ac:dyDescent="0.3">
      <c r="B353" s="138">
        <v>41066</v>
      </c>
      <c r="C353" s="4" t="s">
        <v>991</v>
      </c>
      <c r="D353" s="4">
        <v>1.953125</v>
      </c>
      <c r="E353" s="4">
        <v>0</v>
      </c>
      <c r="F353" s="4">
        <v>17</v>
      </c>
      <c r="G353" s="4">
        <v>17</v>
      </c>
      <c r="H353" s="4">
        <v>0</v>
      </c>
      <c r="I353" s="5">
        <v>-0.45</v>
      </c>
    </row>
    <row r="354" spans="2:9" x14ac:dyDescent="0.3">
      <c r="B354" s="138">
        <v>41066</v>
      </c>
      <c r="C354" s="4" t="s">
        <v>991</v>
      </c>
      <c r="D354" s="4">
        <v>0.48828125</v>
      </c>
      <c r="E354" s="4">
        <v>0</v>
      </c>
      <c r="F354" s="4">
        <v>17</v>
      </c>
      <c r="G354" s="4">
        <v>17</v>
      </c>
      <c r="H354" s="4">
        <v>0</v>
      </c>
      <c r="I354" s="5">
        <v>-0.15</v>
      </c>
    </row>
    <row r="355" spans="2:9" x14ac:dyDescent="0.3">
      <c r="B355" s="138">
        <v>41066</v>
      </c>
      <c r="C355" s="4" t="s">
        <v>991</v>
      </c>
      <c r="D355" s="4">
        <v>500</v>
      </c>
      <c r="E355" s="4">
        <v>15</v>
      </c>
      <c r="F355" s="4">
        <v>17</v>
      </c>
      <c r="G355" s="4">
        <v>2</v>
      </c>
      <c r="H355" s="4">
        <v>88.24</v>
      </c>
      <c r="I355" s="5">
        <v>0.91</v>
      </c>
    </row>
    <row r="356" spans="2:9" x14ac:dyDescent="0.3">
      <c r="B356" s="138">
        <v>41066</v>
      </c>
      <c r="C356" s="4" t="s">
        <v>991</v>
      </c>
      <c r="D356" s="4">
        <v>125</v>
      </c>
      <c r="E356" s="4">
        <v>15</v>
      </c>
      <c r="F356" s="4">
        <v>17</v>
      </c>
      <c r="G356" s="4">
        <v>2</v>
      </c>
      <c r="H356" s="4">
        <v>88.24</v>
      </c>
      <c r="I356" s="5">
        <v>0.91</v>
      </c>
    </row>
    <row r="357" spans="2:9" x14ac:dyDescent="0.3">
      <c r="B357" s="138">
        <v>41066</v>
      </c>
      <c r="C357" s="4" t="s">
        <v>991</v>
      </c>
      <c r="D357" s="4">
        <v>31.25</v>
      </c>
      <c r="E357" s="4">
        <v>10</v>
      </c>
      <c r="F357" s="4">
        <v>15</v>
      </c>
      <c r="G357" s="4">
        <v>5</v>
      </c>
      <c r="H357" s="4">
        <v>66.67</v>
      </c>
      <c r="I357" s="5">
        <v>0.7</v>
      </c>
    </row>
    <row r="358" spans="2:9" x14ac:dyDescent="0.3">
      <c r="B358" s="138">
        <v>41066</v>
      </c>
      <c r="C358" s="4" t="s">
        <v>991</v>
      </c>
      <c r="D358" s="4">
        <v>7.8125</v>
      </c>
      <c r="E358" s="4">
        <v>12</v>
      </c>
      <c r="F358" s="4">
        <v>18</v>
      </c>
      <c r="G358" s="4">
        <v>6</v>
      </c>
      <c r="H358" s="4">
        <v>66.67</v>
      </c>
      <c r="I358" s="5">
        <v>0.7</v>
      </c>
    </row>
    <row r="359" spans="2:9" x14ac:dyDescent="0.3">
      <c r="B359" s="138">
        <v>41066</v>
      </c>
      <c r="C359" s="4" t="s">
        <v>991</v>
      </c>
      <c r="D359" s="4">
        <v>1.953125</v>
      </c>
      <c r="E359" s="4">
        <v>4</v>
      </c>
      <c r="F359" s="4">
        <v>17</v>
      </c>
      <c r="G359" s="4">
        <v>13</v>
      </c>
      <c r="H359" s="4">
        <v>23.53</v>
      </c>
      <c r="I359" s="5">
        <v>-0.17</v>
      </c>
    </row>
    <row r="360" spans="2:9" x14ac:dyDescent="0.3">
      <c r="B360" s="138">
        <v>41066</v>
      </c>
      <c r="C360" s="4" t="s">
        <v>991</v>
      </c>
      <c r="D360" s="4">
        <v>0.48828125</v>
      </c>
      <c r="E360" s="4">
        <v>2</v>
      </c>
      <c r="F360" s="4">
        <v>17</v>
      </c>
      <c r="G360" s="4">
        <v>15</v>
      </c>
      <c r="H360" s="4">
        <v>11.77</v>
      </c>
      <c r="I360" s="5">
        <v>-0.08</v>
      </c>
    </row>
    <row r="361" spans="2:9" x14ac:dyDescent="0.3">
      <c r="B361" s="138">
        <v>41031</v>
      </c>
      <c r="C361" s="4" t="s">
        <v>992</v>
      </c>
      <c r="D361" s="4">
        <v>500</v>
      </c>
      <c r="E361" s="4">
        <v>16</v>
      </c>
      <c r="F361" s="4">
        <v>17</v>
      </c>
      <c r="G361" s="4">
        <v>1</v>
      </c>
      <c r="H361" s="4">
        <v>94.12</v>
      </c>
      <c r="I361" s="5">
        <v>0.9</v>
      </c>
    </row>
    <row r="362" spans="2:9" x14ac:dyDescent="0.3">
      <c r="B362" s="138">
        <v>41031</v>
      </c>
      <c r="C362" s="4" t="s">
        <v>992</v>
      </c>
      <c r="D362" s="4">
        <v>500</v>
      </c>
      <c r="E362" s="4">
        <v>13</v>
      </c>
      <c r="F362" s="4">
        <v>15</v>
      </c>
      <c r="G362" s="4">
        <v>2</v>
      </c>
      <c r="H362" s="4">
        <v>86.67</v>
      </c>
      <c r="I362" s="5">
        <v>0.94</v>
      </c>
    </row>
    <row r="363" spans="2:9" x14ac:dyDescent="0.3">
      <c r="B363" s="138">
        <v>41045</v>
      </c>
      <c r="C363" s="4" t="s">
        <v>992</v>
      </c>
      <c r="D363" s="4">
        <v>500</v>
      </c>
      <c r="E363" s="4">
        <v>16</v>
      </c>
      <c r="F363" s="4">
        <v>17</v>
      </c>
      <c r="G363" s="4">
        <v>1</v>
      </c>
      <c r="H363" s="4">
        <v>94.12</v>
      </c>
      <c r="I363" s="5">
        <v>0.98</v>
      </c>
    </row>
    <row r="364" spans="2:9" x14ac:dyDescent="0.3">
      <c r="B364" s="138">
        <v>41045</v>
      </c>
      <c r="C364" s="4" t="s">
        <v>992</v>
      </c>
      <c r="D364" s="4">
        <v>500</v>
      </c>
      <c r="E364" s="4">
        <v>12</v>
      </c>
      <c r="F364" s="4">
        <v>17</v>
      </c>
      <c r="G364" s="4">
        <v>5</v>
      </c>
      <c r="H364" s="4">
        <v>70.59</v>
      </c>
      <c r="I364" s="5">
        <v>0.73</v>
      </c>
    </row>
    <row r="365" spans="2:9" x14ac:dyDescent="0.3">
      <c r="B365" s="138">
        <v>41059</v>
      </c>
      <c r="C365" s="4" t="s">
        <v>992</v>
      </c>
      <c r="D365" s="4">
        <v>500</v>
      </c>
      <c r="E365" s="4">
        <v>9</v>
      </c>
      <c r="F365" s="4">
        <v>17</v>
      </c>
      <c r="G365" s="4">
        <v>7</v>
      </c>
      <c r="H365" s="4">
        <v>52.94</v>
      </c>
      <c r="I365" s="5">
        <v>0.89</v>
      </c>
    </row>
    <row r="366" spans="2:9" x14ac:dyDescent="0.3">
      <c r="B366" s="138">
        <v>41059</v>
      </c>
      <c r="C366" s="4" t="s">
        <v>992</v>
      </c>
      <c r="D366" s="4">
        <v>125</v>
      </c>
      <c r="E366" s="4">
        <v>10</v>
      </c>
      <c r="F366" s="4">
        <v>17</v>
      </c>
      <c r="G366" s="4">
        <v>7</v>
      </c>
      <c r="H366" s="4">
        <v>58.82</v>
      </c>
      <c r="I366" s="5">
        <v>0.88</v>
      </c>
    </row>
    <row r="367" spans="2:9" x14ac:dyDescent="0.3">
      <c r="B367" s="138">
        <v>41059</v>
      </c>
      <c r="C367" s="4" t="s">
        <v>992</v>
      </c>
      <c r="D367" s="4">
        <v>31.25</v>
      </c>
      <c r="E367" s="4">
        <v>13</v>
      </c>
      <c r="F367" s="4">
        <v>17</v>
      </c>
      <c r="G367" s="4">
        <v>4</v>
      </c>
      <c r="H367" s="4">
        <v>76.47</v>
      </c>
      <c r="I367" s="5">
        <v>0.9</v>
      </c>
    </row>
    <row r="368" spans="2:9" x14ac:dyDescent="0.3">
      <c r="B368" s="138">
        <v>41059</v>
      </c>
      <c r="C368" s="4" t="s">
        <v>992</v>
      </c>
      <c r="D368" s="4">
        <v>7.8125</v>
      </c>
      <c r="E368" s="4">
        <v>8</v>
      </c>
      <c r="F368" s="4">
        <v>17</v>
      </c>
      <c r="G368" s="4">
        <v>9</v>
      </c>
      <c r="H368" s="4">
        <v>47.06</v>
      </c>
      <c r="I368" s="5">
        <v>0.73</v>
      </c>
    </row>
    <row r="369" spans="2:9" x14ac:dyDescent="0.3">
      <c r="B369" s="138">
        <v>41059</v>
      </c>
      <c r="C369" s="4" t="s">
        <v>992</v>
      </c>
      <c r="D369" s="4">
        <v>1.953125</v>
      </c>
      <c r="E369" s="4">
        <v>0</v>
      </c>
      <c r="F369" s="4">
        <v>17</v>
      </c>
      <c r="G369" s="4">
        <v>17</v>
      </c>
      <c r="H369" s="4">
        <v>0</v>
      </c>
      <c r="I369" s="5">
        <v>0.46</v>
      </c>
    </row>
    <row r="370" spans="2:9" x14ac:dyDescent="0.3">
      <c r="B370" s="138">
        <v>41059</v>
      </c>
      <c r="C370" s="4" t="s">
        <v>992</v>
      </c>
      <c r="D370" s="4">
        <v>0.48828125</v>
      </c>
      <c r="E370" s="4">
        <v>2</v>
      </c>
      <c r="F370" s="4">
        <v>17</v>
      </c>
      <c r="G370" s="4">
        <v>15</v>
      </c>
      <c r="H370" s="4">
        <v>11.77</v>
      </c>
      <c r="I370" s="5">
        <v>0.4</v>
      </c>
    </row>
    <row r="371" spans="2:9" x14ac:dyDescent="0.3">
      <c r="B371" s="138">
        <v>41059</v>
      </c>
      <c r="C371" s="4" t="s">
        <v>992</v>
      </c>
      <c r="D371" s="4">
        <v>500</v>
      </c>
      <c r="E371" s="4">
        <v>12</v>
      </c>
      <c r="F371" s="4">
        <v>17</v>
      </c>
      <c r="G371" s="4">
        <v>5</v>
      </c>
      <c r="H371" s="4">
        <v>70.59</v>
      </c>
      <c r="I371" s="5">
        <v>0.89</v>
      </c>
    </row>
    <row r="372" spans="2:9" x14ac:dyDescent="0.3">
      <c r="B372" s="138">
        <v>41059</v>
      </c>
      <c r="C372" s="4" t="s">
        <v>992</v>
      </c>
      <c r="D372" s="4">
        <v>125</v>
      </c>
      <c r="E372" s="4">
        <v>10</v>
      </c>
      <c r="F372" s="4">
        <v>17</v>
      </c>
      <c r="G372" s="4">
        <v>7</v>
      </c>
      <c r="H372" s="4">
        <v>58.82</v>
      </c>
      <c r="I372" s="5">
        <v>0.8</v>
      </c>
    </row>
    <row r="373" spans="2:9" x14ac:dyDescent="0.3">
      <c r="B373" s="138">
        <v>41059</v>
      </c>
      <c r="C373" s="4" t="s">
        <v>992</v>
      </c>
      <c r="D373" s="4">
        <v>31.25</v>
      </c>
      <c r="E373" s="4">
        <v>5</v>
      </c>
      <c r="F373" s="4">
        <v>16</v>
      </c>
      <c r="G373" s="4">
        <v>11</v>
      </c>
      <c r="H373" s="4">
        <v>31.25</v>
      </c>
      <c r="I373" s="5">
        <v>0.66</v>
      </c>
    </row>
    <row r="374" spans="2:9" x14ac:dyDescent="0.3">
      <c r="B374" s="138">
        <v>41059</v>
      </c>
      <c r="C374" s="4" t="s">
        <v>992</v>
      </c>
      <c r="D374" s="4">
        <v>7.8125</v>
      </c>
      <c r="E374" s="4">
        <v>4</v>
      </c>
      <c r="F374" s="4">
        <v>17</v>
      </c>
      <c r="G374" s="4">
        <v>13</v>
      </c>
      <c r="H374" s="4">
        <v>23.53</v>
      </c>
      <c r="I374" s="5">
        <v>0.56000000000000005</v>
      </c>
    </row>
    <row r="375" spans="2:9" x14ac:dyDescent="0.3">
      <c r="B375" s="138">
        <v>41059</v>
      </c>
      <c r="C375" s="4" t="s">
        <v>992</v>
      </c>
      <c r="D375" s="4">
        <v>1.953125</v>
      </c>
      <c r="E375" s="4">
        <v>3</v>
      </c>
      <c r="F375" s="4">
        <v>17</v>
      </c>
      <c r="G375" s="4">
        <v>13</v>
      </c>
      <c r="H375" s="4">
        <v>17.649999999999999</v>
      </c>
      <c r="I375" s="5">
        <v>0.15</v>
      </c>
    </row>
    <row r="376" spans="2:9" x14ac:dyDescent="0.3">
      <c r="B376" s="138">
        <v>41059</v>
      </c>
      <c r="C376" s="4" t="s">
        <v>992</v>
      </c>
      <c r="D376" s="4">
        <v>0.48828125</v>
      </c>
      <c r="E376" s="4">
        <v>1</v>
      </c>
      <c r="F376" s="4">
        <v>17</v>
      </c>
      <c r="G376" s="4">
        <v>16</v>
      </c>
      <c r="H376" s="4">
        <v>5.88</v>
      </c>
      <c r="I376" s="5">
        <v>0.2</v>
      </c>
    </row>
    <row r="377" spans="2:9" x14ac:dyDescent="0.3">
      <c r="B377" s="138">
        <v>41066</v>
      </c>
      <c r="C377" s="4" t="s">
        <v>992</v>
      </c>
      <c r="D377" s="4">
        <v>500</v>
      </c>
      <c r="E377" s="4">
        <v>13</v>
      </c>
      <c r="F377" s="4">
        <v>17</v>
      </c>
      <c r="G377" s="4">
        <v>4</v>
      </c>
      <c r="H377" s="4">
        <v>76.47</v>
      </c>
      <c r="I377" s="5">
        <v>0.86</v>
      </c>
    </row>
    <row r="378" spans="2:9" x14ac:dyDescent="0.3">
      <c r="B378" s="138">
        <v>41066</v>
      </c>
      <c r="C378" s="4" t="s">
        <v>992</v>
      </c>
      <c r="D378" s="4">
        <v>125</v>
      </c>
      <c r="E378" s="4">
        <v>12</v>
      </c>
      <c r="F378" s="4">
        <v>17</v>
      </c>
      <c r="G378" s="4">
        <v>5</v>
      </c>
      <c r="H378" s="4">
        <v>70.59</v>
      </c>
      <c r="I378" s="5">
        <v>0.79</v>
      </c>
    </row>
    <row r="379" spans="2:9" x14ac:dyDescent="0.3">
      <c r="B379" s="138">
        <v>41066</v>
      </c>
      <c r="C379" s="4" t="s">
        <v>992</v>
      </c>
      <c r="D379" s="4">
        <v>31.25</v>
      </c>
      <c r="E379" s="4">
        <v>13</v>
      </c>
      <c r="F379" s="4">
        <v>17</v>
      </c>
      <c r="G379" s="4">
        <v>4</v>
      </c>
      <c r="H379" s="4">
        <v>76.47</v>
      </c>
      <c r="I379" s="5">
        <v>0.83</v>
      </c>
    </row>
    <row r="380" spans="2:9" x14ac:dyDescent="0.3">
      <c r="B380" s="138">
        <v>41066</v>
      </c>
      <c r="C380" s="4" t="s">
        <v>992</v>
      </c>
      <c r="D380" s="4">
        <v>7.8125</v>
      </c>
      <c r="E380" s="4">
        <v>7</v>
      </c>
      <c r="F380" s="4">
        <v>17</v>
      </c>
      <c r="G380" s="4">
        <v>10</v>
      </c>
      <c r="H380" s="4">
        <v>41.18</v>
      </c>
      <c r="I380" s="5">
        <v>0.51</v>
      </c>
    </row>
    <row r="381" spans="2:9" x14ac:dyDescent="0.3">
      <c r="B381" s="138">
        <v>41066</v>
      </c>
      <c r="C381" s="4" t="s">
        <v>992</v>
      </c>
      <c r="D381" s="4">
        <v>1.953125</v>
      </c>
      <c r="E381" s="4">
        <v>2</v>
      </c>
      <c r="F381" s="4">
        <v>17</v>
      </c>
      <c r="G381" s="4">
        <v>15</v>
      </c>
      <c r="H381" s="4">
        <v>11.77</v>
      </c>
      <c r="I381" s="5">
        <v>-0.01</v>
      </c>
    </row>
    <row r="382" spans="2:9" x14ac:dyDescent="0.3">
      <c r="B382" s="138">
        <v>41066</v>
      </c>
      <c r="C382" s="4" t="s">
        <v>992</v>
      </c>
      <c r="D382" s="4">
        <v>0.48828125</v>
      </c>
      <c r="E382" s="4">
        <v>2</v>
      </c>
      <c r="F382" s="4">
        <v>17</v>
      </c>
      <c r="G382" s="4">
        <v>15</v>
      </c>
      <c r="H382" s="4">
        <v>11.77</v>
      </c>
      <c r="I382" s="5">
        <v>-0.1</v>
      </c>
    </row>
    <row r="383" spans="2:9" x14ac:dyDescent="0.3">
      <c r="B383" s="138">
        <v>41066</v>
      </c>
      <c r="C383" s="4" t="s">
        <v>992</v>
      </c>
      <c r="D383" s="4">
        <v>500</v>
      </c>
      <c r="E383" s="4">
        <v>10</v>
      </c>
      <c r="F383" s="4">
        <v>17</v>
      </c>
      <c r="G383" s="4">
        <v>7</v>
      </c>
      <c r="H383" s="4">
        <v>58.82</v>
      </c>
      <c r="I383" s="5">
        <v>0.78</v>
      </c>
    </row>
    <row r="384" spans="2:9" x14ac:dyDescent="0.3">
      <c r="B384" s="138">
        <v>41066</v>
      </c>
      <c r="C384" s="4" t="s">
        <v>992</v>
      </c>
      <c r="D384" s="4">
        <v>125</v>
      </c>
      <c r="E384" s="4">
        <v>12</v>
      </c>
      <c r="F384" s="4">
        <v>17</v>
      </c>
      <c r="G384" s="4">
        <v>5</v>
      </c>
      <c r="H384" s="4">
        <v>70.59</v>
      </c>
      <c r="I384" s="5">
        <v>0.73</v>
      </c>
    </row>
    <row r="385" spans="2:9" x14ac:dyDescent="0.3">
      <c r="B385" s="138">
        <v>41066</v>
      </c>
      <c r="C385" s="4" t="s">
        <v>992</v>
      </c>
      <c r="D385" s="4">
        <v>31.25</v>
      </c>
      <c r="E385" s="4">
        <v>15</v>
      </c>
      <c r="F385" s="4">
        <v>17</v>
      </c>
      <c r="G385" s="4">
        <v>2</v>
      </c>
      <c r="H385" s="4">
        <v>88.24</v>
      </c>
      <c r="I385" s="5">
        <v>0.87</v>
      </c>
    </row>
    <row r="386" spans="2:9" x14ac:dyDescent="0.3">
      <c r="B386" s="138">
        <v>41066</v>
      </c>
      <c r="C386" s="4" t="s">
        <v>992</v>
      </c>
      <c r="D386" s="4">
        <v>7.8125</v>
      </c>
      <c r="E386" s="4">
        <v>10</v>
      </c>
      <c r="F386" s="4">
        <v>17</v>
      </c>
      <c r="G386" s="4">
        <v>7</v>
      </c>
      <c r="H386" s="4">
        <v>58.82</v>
      </c>
      <c r="I386" s="5">
        <v>0.62</v>
      </c>
    </row>
    <row r="387" spans="2:9" x14ac:dyDescent="0.3">
      <c r="B387" s="138">
        <v>41066</v>
      </c>
      <c r="C387" s="4" t="s">
        <v>992</v>
      </c>
      <c r="D387" s="4">
        <v>1.953125</v>
      </c>
      <c r="E387" s="4">
        <v>0</v>
      </c>
      <c r="F387" s="4">
        <v>17</v>
      </c>
      <c r="G387" s="4">
        <v>17</v>
      </c>
      <c r="H387" s="4">
        <v>0</v>
      </c>
      <c r="I387" s="5">
        <v>-1.1299999999999999</v>
      </c>
    </row>
    <row r="388" spans="2:9" x14ac:dyDescent="0.3">
      <c r="B388" s="138">
        <v>41066</v>
      </c>
      <c r="C388" s="4" t="s">
        <v>992</v>
      </c>
      <c r="D388" s="4">
        <v>0.48828125</v>
      </c>
      <c r="E388" s="4">
        <v>1</v>
      </c>
      <c r="F388" s="4">
        <v>17</v>
      </c>
      <c r="G388" s="4">
        <v>15</v>
      </c>
      <c r="H388" s="4">
        <v>5.88</v>
      </c>
      <c r="I388" s="5">
        <v>-0.22</v>
      </c>
    </row>
    <row r="389" spans="2:9" x14ac:dyDescent="0.3">
      <c r="B389" s="138" t="s">
        <v>993</v>
      </c>
      <c r="C389" s="4" t="s">
        <v>454</v>
      </c>
      <c r="D389" s="4">
        <v>500</v>
      </c>
      <c r="E389" s="4">
        <v>13</v>
      </c>
      <c r="F389" s="4">
        <v>17</v>
      </c>
      <c r="G389" s="4">
        <v>4</v>
      </c>
      <c r="H389" s="4">
        <v>76.47</v>
      </c>
      <c r="I389" s="5">
        <v>0.94</v>
      </c>
    </row>
    <row r="390" spans="2:9" x14ac:dyDescent="0.3">
      <c r="B390" s="138" t="s">
        <v>993</v>
      </c>
      <c r="C390" s="4" t="s">
        <v>454</v>
      </c>
      <c r="D390" s="4">
        <v>125</v>
      </c>
      <c r="E390" s="4">
        <v>13</v>
      </c>
      <c r="F390" s="4">
        <v>15</v>
      </c>
      <c r="G390" s="4">
        <v>2</v>
      </c>
      <c r="H390" s="4">
        <v>86.67</v>
      </c>
      <c r="I390" s="5">
        <v>0.99</v>
      </c>
    </row>
    <row r="391" spans="2:9" x14ac:dyDescent="0.3">
      <c r="B391" s="138" t="s">
        <v>993</v>
      </c>
      <c r="C391" s="4" t="s">
        <v>454</v>
      </c>
      <c r="D391" s="4">
        <v>31.25</v>
      </c>
      <c r="E391" s="4">
        <v>10</v>
      </c>
      <c r="F391" s="4">
        <v>15</v>
      </c>
      <c r="G391" s="4">
        <v>5</v>
      </c>
      <c r="H391" s="4">
        <v>66.67</v>
      </c>
      <c r="I391" s="5">
        <v>0.87</v>
      </c>
    </row>
    <row r="392" spans="2:9" x14ac:dyDescent="0.3">
      <c r="B392" s="138" t="s">
        <v>993</v>
      </c>
      <c r="C392" s="4" t="s">
        <v>454</v>
      </c>
      <c r="D392" s="4">
        <v>7.81</v>
      </c>
      <c r="E392" s="4">
        <v>1</v>
      </c>
      <c r="F392" s="4">
        <v>17</v>
      </c>
      <c r="G392" s="4">
        <v>16</v>
      </c>
      <c r="H392" s="4">
        <v>5.88</v>
      </c>
      <c r="I392" s="5">
        <v>0.53</v>
      </c>
    </row>
    <row r="393" spans="2:9" x14ac:dyDescent="0.3">
      <c r="B393" s="138" t="s">
        <v>993</v>
      </c>
      <c r="C393" s="4" t="s">
        <v>454</v>
      </c>
      <c r="D393" s="4">
        <v>1.95</v>
      </c>
      <c r="E393" s="4">
        <v>3</v>
      </c>
      <c r="F393" s="4">
        <v>17</v>
      </c>
      <c r="G393" s="4">
        <v>14</v>
      </c>
      <c r="H393" s="4">
        <v>17.649999999999999</v>
      </c>
      <c r="I393" s="5">
        <v>0.39</v>
      </c>
    </row>
    <row r="394" spans="2:9" x14ac:dyDescent="0.3">
      <c r="B394" s="138" t="s">
        <v>993</v>
      </c>
      <c r="C394" s="4" t="s">
        <v>454</v>
      </c>
      <c r="D394" s="4">
        <v>0.49</v>
      </c>
      <c r="E394" s="4">
        <v>1</v>
      </c>
      <c r="F394" s="4">
        <v>17</v>
      </c>
      <c r="G394" s="4">
        <v>16</v>
      </c>
      <c r="H394" s="4">
        <v>5.88</v>
      </c>
      <c r="I394" s="5">
        <v>0.53</v>
      </c>
    </row>
    <row r="395" spans="2:9" x14ac:dyDescent="0.3">
      <c r="B395" s="138" t="s">
        <v>993</v>
      </c>
      <c r="C395" s="4" t="s">
        <v>454</v>
      </c>
      <c r="D395" s="4">
        <v>500</v>
      </c>
      <c r="E395" s="4">
        <v>13</v>
      </c>
      <c r="F395" s="4">
        <v>15</v>
      </c>
      <c r="G395" s="4">
        <v>2</v>
      </c>
      <c r="H395" s="4">
        <v>86.67</v>
      </c>
      <c r="I395" s="5">
        <v>0.99</v>
      </c>
    </row>
    <row r="396" spans="2:9" x14ac:dyDescent="0.3">
      <c r="B396" s="138" t="s">
        <v>993</v>
      </c>
      <c r="C396" s="4" t="s">
        <v>454</v>
      </c>
      <c r="D396" s="4">
        <v>125</v>
      </c>
      <c r="E396" s="4">
        <v>6</v>
      </c>
      <c r="F396" s="4">
        <v>15</v>
      </c>
      <c r="G396" s="4">
        <v>9</v>
      </c>
      <c r="H396" s="4">
        <v>40</v>
      </c>
      <c r="I396" s="5">
        <v>0.93</v>
      </c>
    </row>
    <row r="397" spans="2:9" x14ac:dyDescent="0.3">
      <c r="B397" s="138" t="s">
        <v>993</v>
      </c>
      <c r="C397" s="4" t="s">
        <v>454</v>
      </c>
      <c r="D397" s="4">
        <v>31.25</v>
      </c>
      <c r="E397" s="4">
        <v>10</v>
      </c>
      <c r="F397" s="4">
        <v>17</v>
      </c>
      <c r="G397" s="4">
        <v>7</v>
      </c>
      <c r="H397" s="4">
        <v>58.82</v>
      </c>
      <c r="I397" s="5">
        <v>0.87</v>
      </c>
    </row>
    <row r="398" spans="2:9" x14ac:dyDescent="0.3">
      <c r="B398" s="138" t="s">
        <v>993</v>
      </c>
      <c r="C398" s="4" t="s">
        <v>454</v>
      </c>
      <c r="D398" s="4">
        <v>7.81</v>
      </c>
      <c r="E398" s="4">
        <v>0</v>
      </c>
      <c r="F398" s="4">
        <v>17</v>
      </c>
      <c r="G398" s="4">
        <v>17</v>
      </c>
      <c r="H398" s="4">
        <v>0</v>
      </c>
      <c r="I398" s="5">
        <v>0.39</v>
      </c>
    </row>
    <row r="399" spans="2:9" x14ac:dyDescent="0.3">
      <c r="B399" s="138" t="s">
        <v>993</v>
      </c>
      <c r="C399" s="4" t="s">
        <v>454</v>
      </c>
      <c r="D399" s="4">
        <v>1.95</v>
      </c>
      <c r="E399" s="4">
        <v>1</v>
      </c>
      <c r="F399" s="4">
        <v>14</v>
      </c>
      <c r="G399" s="4">
        <v>13</v>
      </c>
      <c r="H399" s="4">
        <v>7.14</v>
      </c>
      <c r="I399" s="5">
        <v>0.25</v>
      </c>
    </row>
    <row r="400" spans="2:9" x14ac:dyDescent="0.3">
      <c r="B400" s="138" t="s">
        <v>993</v>
      </c>
      <c r="C400" s="4" t="s">
        <v>454</v>
      </c>
      <c r="D400" s="4">
        <v>0.49</v>
      </c>
      <c r="E400" s="4">
        <v>0</v>
      </c>
      <c r="F400" s="4">
        <v>17</v>
      </c>
      <c r="G400" s="4">
        <v>17</v>
      </c>
      <c r="H400" s="4">
        <v>0</v>
      </c>
      <c r="I400" s="5">
        <v>0.49</v>
      </c>
    </row>
    <row r="401" spans="2:9" x14ac:dyDescent="0.3">
      <c r="B401" s="138" t="s">
        <v>994</v>
      </c>
      <c r="C401" s="4" t="s">
        <v>454</v>
      </c>
      <c r="D401" s="4">
        <v>500</v>
      </c>
      <c r="E401" s="4">
        <v>16</v>
      </c>
      <c r="F401" s="4">
        <v>17</v>
      </c>
      <c r="G401" s="4">
        <v>1</v>
      </c>
      <c r="H401" s="4">
        <v>94.12</v>
      </c>
      <c r="I401" s="5">
        <v>0.99</v>
      </c>
    </row>
    <row r="402" spans="2:9" x14ac:dyDescent="0.3">
      <c r="B402" s="138" t="s">
        <v>994</v>
      </c>
      <c r="C402" s="4" t="s">
        <v>454</v>
      </c>
      <c r="D402" s="4">
        <v>125</v>
      </c>
      <c r="E402" s="4">
        <v>13</v>
      </c>
      <c r="F402" s="4">
        <v>17</v>
      </c>
      <c r="G402" s="4">
        <v>4</v>
      </c>
      <c r="H402" s="4">
        <v>76.47</v>
      </c>
      <c r="I402" s="5">
        <v>0.97</v>
      </c>
    </row>
    <row r="403" spans="2:9" x14ac:dyDescent="0.3">
      <c r="B403" s="138" t="s">
        <v>994</v>
      </c>
      <c r="C403" s="4" t="s">
        <v>454</v>
      </c>
      <c r="D403" s="4">
        <v>31.25</v>
      </c>
      <c r="E403" s="4">
        <v>10</v>
      </c>
      <c r="F403" s="4">
        <v>15</v>
      </c>
      <c r="G403" s="4">
        <v>5</v>
      </c>
      <c r="H403" s="4">
        <v>66.67</v>
      </c>
      <c r="I403" s="5">
        <v>0.9</v>
      </c>
    </row>
    <row r="404" spans="2:9" x14ac:dyDescent="0.3">
      <c r="B404" s="138" t="s">
        <v>994</v>
      </c>
      <c r="C404" s="4" t="s">
        <v>454</v>
      </c>
      <c r="D404" s="4">
        <v>7.81</v>
      </c>
      <c r="E404" s="4">
        <v>3</v>
      </c>
      <c r="F404" s="4">
        <v>17</v>
      </c>
      <c r="G404" s="4">
        <v>14</v>
      </c>
      <c r="H404" s="4">
        <v>17.649999999999999</v>
      </c>
      <c r="I404" s="5">
        <v>0.51</v>
      </c>
    </row>
    <row r="405" spans="2:9" x14ac:dyDescent="0.3">
      <c r="B405" s="138" t="s">
        <v>994</v>
      </c>
      <c r="C405" s="4" t="s">
        <v>454</v>
      </c>
      <c r="D405" s="4">
        <v>1.95</v>
      </c>
      <c r="E405" s="4">
        <v>0</v>
      </c>
      <c r="F405" s="4">
        <v>17</v>
      </c>
      <c r="G405" s="4">
        <v>17</v>
      </c>
      <c r="H405" s="4">
        <v>0</v>
      </c>
      <c r="I405" s="5">
        <v>0.25</v>
      </c>
    </row>
    <row r="406" spans="2:9" x14ac:dyDescent="0.3">
      <c r="B406" s="138" t="s">
        <v>994</v>
      </c>
      <c r="C406" s="4" t="s">
        <v>454</v>
      </c>
      <c r="D406" s="4">
        <v>0.49</v>
      </c>
      <c r="E406" s="4">
        <v>0</v>
      </c>
      <c r="F406" s="4">
        <v>17</v>
      </c>
      <c r="G406" s="4">
        <v>17</v>
      </c>
      <c r="H406" s="4">
        <v>0</v>
      </c>
      <c r="I406" s="5">
        <v>0.04</v>
      </c>
    </row>
    <row r="407" spans="2:9" x14ac:dyDescent="0.3">
      <c r="B407" s="138" t="s">
        <v>994</v>
      </c>
      <c r="C407" s="4" t="s">
        <v>454</v>
      </c>
      <c r="D407" s="4">
        <v>500</v>
      </c>
      <c r="E407" s="4">
        <v>12</v>
      </c>
      <c r="F407" s="4">
        <v>16</v>
      </c>
      <c r="G407" s="4">
        <v>4</v>
      </c>
      <c r="H407" s="4">
        <v>75</v>
      </c>
      <c r="I407" s="5">
        <v>0.96</v>
      </c>
    </row>
    <row r="408" spans="2:9" x14ac:dyDescent="0.3">
      <c r="B408" s="138" t="s">
        <v>994</v>
      </c>
      <c r="C408" s="4" t="s">
        <v>454</v>
      </c>
      <c r="D408" s="4">
        <v>125</v>
      </c>
      <c r="E408" s="4">
        <v>12</v>
      </c>
      <c r="F408" s="4">
        <v>17</v>
      </c>
      <c r="G408" s="4">
        <v>5</v>
      </c>
      <c r="H408" s="4">
        <v>70.59</v>
      </c>
      <c r="I408" s="5">
        <v>0.96</v>
      </c>
    </row>
    <row r="409" spans="2:9" x14ac:dyDescent="0.3">
      <c r="B409" s="138" t="s">
        <v>994</v>
      </c>
      <c r="C409" s="4" t="s">
        <v>454</v>
      </c>
      <c r="D409" s="4">
        <v>31.25</v>
      </c>
      <c r="E409" s="4">
        <v>8</v>
      </c>
      <c r="F409" s="4">
        <v>16</v>
      </c>
      <c r="G409" s="4">
        <v>8</v>
      </c>
      <c r="H409" s="4">
        <v>50</v>
      </c>
      <c r="I409" s="5">
        <v>0.9</v>
      </c>
    </row>
    <row r="410" spans="2:9" x14ac:dyDescent="0.3">
      <c r="B410" s="138" t="s">
        <v>994</v>
      </c>
      <c r="C410" s="4" t="s">
        <v>454</v>
      </c>
      <c r="D410" s="4">
        <v>7.81</v>
      </c>
      <c r="E410" s="4">
        <v>4</v>
      </c>
      <c r="F410" s="4">
        <v>16</v>
      </c>
      <c r="G410" s="4">
        <v>12</v>
      </c>
      <c r="H410" s="4">
        <v>25</v>
      </c>
      <c r="I410" s="5">
        <v>0.44</v>
      </c>
    </row>
    <row r="411" spans="2:9" x14ac:dyDescent="0.3">
      <c r="B411" s="138" t="s">
        <v>994</v>
      </c>
      <c r="C411" s="4" t="s">
        <v>454</v>
      </c>
      <c r="D411" s="4">
        <v>1.95</v>
      </c>
      <c r="E411" s="4">
        <v>3</v>
      </c>
      <c r="F411" s="4">
        <v>15</v>
      </c>
      <c r="G411" s="4">
        <v>12</v>
      </c>
      <c r="H411" s="4">
        <v>20</v>
      </c>
      <c r="I411" s="5">
        <v>0.37</v>
      </c>
    </row>
    <row r="412" spans="2:9" x14ac:dyDescent="0.3">
      <c r="B412" s="138" t="s">
        <v>994</v>
      </c>
      <c r="C412" s="4" t="s">
        <v>454</v>
      </c>
      <c r="D412" s="4">
        <v>0.49</v>
      </c>
      <c r="E412" s="4">
        <v>0</v>
      </c>
      <c r="F412" s="4">
        <v>17</v>
      </c>
      <c r="G412" s="4">
        <v>17</v>
      </c>
      <c r="H412" s="4">
        <v>0</v>
      </c>
      <c r="I412" s="5">
        <v>0.09</v>
      </c>
    </row>
    <row r="413" spans="2:9" x14ac:dyDescent="0.3">
      <c r="B413" s="138" t="s">
        <v>995</v>
      </c>
      <c r="C413" s="4" t="s">
        <v>454</v>
      </c>
      <c r="D413" s="4">
        <v>500</v>
      </c>
      <c r="E413" s="4">
        <v>17</v>
      </c>
      <c r="F413" s="4">
        <v>17</v>
      </c>
      <c r="G413" s="4">
        <v>0</v>
      </c>
      <c r="H413" s="4">
        <v>100</v>
      </c>
      <c r="I413" s="5">
        <v>1</v>
      </c>
    </row>
    <row r="414" spans="2:9" x14ac:dyDescent="0.3">
      <c r="B414" s="138" t="s">
        <v>995</v>
      </c>
      <c r="C414" s="4" t="s">
        <v>454</v>
      </c>
      <c r="D414" s="4">
        <v>125</v>
      </c>
      <c r="E414" s="4">
        <v>17</v>
      </c>
      <c r="F414" s="4">
        <v>17</v>
      </c>
      <c r="G414" s="4">
        <v>0</v>
      </c>
      <c r="H414" s="4">
        <v>100</v>
      </c>
      <c r="I414" s="5">
        <v>1</v>
      </c>
    </row>
    <row r="415" spans="2:9" x14ac:dyDescent="0.3">
      <c r="B415" s="138" t="s">
        <v>995</v>
      </c>
      <c r="C415" s="4" t="s">
        <v>454</v>
      </c>
      <c r="D415" s="4">
        <v>31.25</v>
      </c>
      <c r="E415" s="4">
        <v>13</v>
      </c>
      <c r="F415" s="4">
        <v>16</v>
      </c>
      <c r="G415" s="4">
        <v>3</v>
      </c>
      <c r="H415" s="4">
        <v>81.25</v>
      </c>
      <c r="I415" s="5">
        <v>0.96</v>
      </c>
    </row>
    <row r="416" spans="2:9" x14ac:dyDescent="0.3">
      <c r="B416" s="138" t="s">
        <v>995</v>
      </c>
      <c r="C416" s="4" t="s">
        <v>454</v>
      </c>
      <c r="D416" s="4">
        <v>7.81</v>
      </c>
      <c r="E416" s="4">
        <v>9</v>
      </c>
      <c r="F416" s="4">
        <v>17</v>
      </c>
      <c r="G416" s="4">
        <v>8</v>
      </c>
      <c r="H416" s="4">
        <v>52.94</v>
      </c>
      <c r="I416" s="5">
        <v>0.5</v>
      </c>
    </row>
    <row r="417" spans="2:9" x14ac:dyDescent="0.3">
      <c r="B417" s="138" t="s">
        <v>995</v>
      </c>
      <c r="C417" s="4" t="s">
        <v>454</v>
      </c>
      <c r="D417" s="4">
        <v>1.95</v>
      </c>
      <c r="E417" s="4">
        <v>3</v>
      </c>
      <c r="F417" s="4">
        <v>17</v>
      </c>
      <c r="G417" s="4">
        <v>14</v>
      </c>
      <c r="H417" s="4">
        <v>17.649999999999999</v>
      </c>
      <c r="I417" s="5">
        <v>0.21</v>
      </c>
    </row>
    <row r="418" spans="2:9" x14ac:dyDescent="0.3">
      <c r="B418" s="138" t="s">
        <v>995</v>
      </c>
      <c r="C418" s="4" t="s">
        <v>454</v>
      </c>
      <c r="D418" s="4">
        <v>0.49</v>
      </c>
      <c r="E418" s="4">
        <v>8</v>
      </c>
      <c r="F418" s="4">
        <v>17</v>
      </c>
      <c r="G418" s="4">
        <v>9</v>
      </c>
      <c r="H418" s="4">
        <v>47.06</v>
      </c>
      <c r="I418" s="5">
        <v>0.22</v>
      </c>
    </row>
    <row r="419" spans="2:9" x14ac:dyDescent="0.3">
      <c r="B419" s="138" t="s">
        <v>995</v>
      </c>
      <c r="C419" s="4" t="s">
        <v>454</v>
      </c>
      <c r="D419" s="4">
        <v>500</v>
      </c>
      <c r="E419" s="4">
        <v>14</v>
      </c>
      <c r="F419" s="4">
        <v>17</v>
      </c>
      <c r="G419" s="4">
        <v>3</v>
      </c>
      <c r="H419" s="4">
        <v>82.35</v>
      </c>
      <c r="I419" s="5">
        <v>0.95</v>
      </c>
    </row>
    <row r="420" spans="2:9" x14ac:dyDescent="0.3">
      <c r="B420" s="138" t="s">
        <v>995</v>
      </c>
      <c r="C420" s="4" t="s">
        <v>454</v>
      </c>
      <c r="D420" s="4">
        <v>125</v>
      </c>
      <c r="E420" s="4">
        <v>10</v>
      </c>
      <c r="F420" s="4">
        <v>10</v>
      </c>
      <c r="G420" s="4">
        <v>0</v>
      </c>
      <c r="H420" s="4">
        <v>100</v>
      </c>
      <c r="I420" s="5">
        <v>1</v>
      </c>
    </row>
    <row r="421" spans="2:9" x14ac:dyDescent="0.3">
      <c r="B421" s="138" t="s">
        <v>995</v>
      </c>
      <c r="C421" s="4" t="s">
        <v>454</v>
      </c>
      <c r="D421" s="4">
        <v>31.25</v>
      </c>
      <c r="E421" s="4">
        <v>12</v>
      </c>
      <c r="F421" s="4">
        <v>17</v>
      </c>
      <c r="G421" s="4">
        <v>5</v>
      </c>
      <c r="H421" s="4">
        <v>70.59</v>
      </c>
      <c r="I421" s="5">
        <v>0.88</v>
      </c>
    </row>
    <row r="422" spans="2:9" x14ac:dyDescent="0.3">
      <c r="B422" s="138" t="s">
        <v>995</v>
      </c>
      <c r="C422" s="4" t="s">
        <v>454</v>
      </c>
      <c r="D422" s="4">
        <v>7.81</v>
      </c>
      <c r="E422" s="4">
        <v>9</v>
      </c>
      <c r="F422" s="4">
        <v>17</v>
      </c>
      <c r="G422" s="4">
        <v>8</v>
      </c>
      <c r="H422" s="4">
        <v>52.94</v>
      </c>
      <c r="I422" s="5">
        <v>0.79</v>
      </c>
    </row>
    <row r="423" spans="2:9" x14ac:dyDescent="0.3">
      <c r="B423" s="138" t="s">
        <v>995</v>
      </c>
      <c r="C423" s="4" t="s">
        <v>454</v>
      </c>
      <c r="D423" s="4">
        <v>1.95</v>
      </c>
      <c r="E423" s="4">
        <v>5</v>
      </c>
      <c r="F423" s="4">
        <v>17</v>
      </c>
      <c r="G423" s="4">
        <v>12</v>
      </c>
      <c r="H423" s="4">
        <v>29.41</v>
      </c>
      <c r="I423" s="5">
        <v>0.48</v>
      </c>
    </row>
    <row r="424" spans="2:9" x14ac:dyDescent="0.3">
      <c r="B424" s="138" t="s">
        <v>995</v>
      </c>
      <c r="C424" s="4" t="s">
        <v>454</v>
      </c>
      <c r="D424" s="4">
        <v>0.49</v>
      </c>
      <c r="E424" s="4">
        <v>5</v>
      </c>
      <c r="F424" s="4">
        <v>17</v>
      </c>
      <c r="G424" s="4">
        <v>12</v>
      </c>
      <c r="H424" s="4">
        <v>29.41</v>
      </c>
      <c r="I424" s="5">
        <v>0.34</v>
      </c>
    </row>
    <row r="425" spans="2:9" x14ac:dyDescent="0.3">
      <c r="B425" s="138">
        <v>41612</v>
      </c>
      <c r="C425" s="4" t="s">
        <v>996</v>
      </c>
      <c r="D425" s="4">
        <v>500</v>
      </c>
      <c r="E425" s="4">
        <v>8</v>
      </c>
      <c r="F425" s="4">
        <v>17</v>
      </c>
      <c r="G425" s="4">
        <v>9</v>
      </c>
      <c r="H425" s="4">
        <v>47.06</v>
      </c>
      <c r="I425" s="5">
        <v>0.86</v>
      </c>
    </row>
    <row r="426" spans="2:9" x14ac:dyDescent="0.3">
      <c r="B426" s="138">
        <v>41612</v>
      </c>
      <c r="C426" s="4" t="s">
        <v>996</v>
      </c>
      <c r="D426" s="4">
        <v>500</v>
      </c>
      <c r="E426" s="4">
        <v>9</v>
      </c>
      <c r="F426" s="4">
        <v>17</v>
      </c>
      <c r="G426" s="4">
        <v>8</v>
      </c>
      <c r="H426" s="4">
        <v>52.94</v>
      </c>
      <c r="I426" s="5">
        <v>0.83</v>
      </c>
    </row>
    <row r="427" spans="2:9" x14ac:dyDescent="0.3">
      <c r="B427" s="138">
        <v>41955</v>
      </c>
      <c r="C427" s="4" t="s">
        <v>996</v>
      </c>
      <c r="D427" s="4">
        <v>500</v>
      </c>
      <c r="E427" s="4">
        <v>15</v>
      </c>
      <c r="F427" s="4">
        <v>18</v>
      </c>
      <c r="G427" s="4">
        <v>3</v>
      </c>
      <c r="H427" s="4">
        <v>83.33</v>
      </c>
      <c r="I427" s="5">
        <v>0.98</v>
      </c>
    </row>
    <row r="428" spans="2:9" x14ac:dyDescent="0.3">
      <c r="B428" s="138">
        <v>41955</v>
      </c>
      <c r="C428" s="4" t="s">
        <v>996</v>
      </c>
      <c r="D428" s="4">
        <v>500</v>
      </c>
      <c r="E428" s="4">
        <v>12</v>
      </c>
      <c r="F428" s="4">
        <v>15</v>
      </c>
      <c r="G428" s="4">
        <v>3</v>
      </c>
      <c r="H428" s="4">
        <v>80</v>
      </c>
      <c r="I428" s="5">
        <v>0.91</v>
      </c>
    </row>
    <row r="429" spans="2:9" x14ac:dyDescent="0.3">
      <c r="B429" s="138">
        <v>41955</v>
      </c>
      <c r="C429" s="4" t="s">
        <v>996</v>
      </c>
      <c r="D429" s="4">
        <v>500</v>
      </c>
      <c r="E429" s="4">
        <v>13</v>
      </c>
      <c r="F429" s="4">
        <v>17</v>
      </c>
      <c r="G429" s="4">
        <v>4</v>
      </c>
      <c r="H429" s="4">
        <v>76.47</v>
      </c>
      <c r="I429" s="5">
        <v>0.8</v>
      </c>
    </row>
    <row r="430" spans="2:9" x14ac:dyDescent="0.3">
      <c r="B430" s="138">
        <v>41955</v>
      </c>
      <c r="C430" s="4" t="s">
        <v>996</v>
      </c>
      <c r="D430" s="4">
        <v>500</v>
      </c>
      <c r="E430" s="4">
        <v>11</v>
      </c>
      <c r="F430" s="4">
        <v>17</v>
      </c>
      <c r="G430" s="4">
        <v>6</v>
      </c>
      <c r="H430" s="4">
        <v>64.709999999999994</v>
      </c>
      <c r="I430" s="5">
        <v>0.85</v>
      </c>
    </row>
    <row r="431" spans="2:9" x14ac:dyDescent="0.3">
      <c r="B431" s="138">
        <v>41955</v>
      </c>
      <c r="C431" s="4" t="s">
        <v>996</v>
      </c>
      <c r="D431" s="4">
        <v>500</v>
      </c>
      <c r="E431" s="4">
        <v>15</v>
      </c>
      <c r="F431" s="4">
        <v>17</v>
      </c>
      <c r="G431" s="4">
        <v>2</v>
      </c>
      <c r="H431" s="4">
        <v>88.24</v>
      </c>
      <c r="I431" s="5">
        <v>0.93</v>
      </c>
    </row>
    <row r="432" spans="2:9" x14ac:dyDescent="0.3">
      <c r="B432" s="138">
        <v>41955</v>
      </c>
      <c r="C432" s="4" t="s">
        <v>996</v>
      </c>
      <c r="D432" s="4">
        <v>500</v>
      </c>
      <c r="E432" s="4">
        <v>12</v>
      </c>
      <c r="F432" s="4">
        <v>13</v>
      </c>
      <c r="G432" s="4">
        <v>1</v>
      </c>
      <c r="H432" s="4">
        <v>92.31</v>
      </c>
      <c r="I432" s="5">
        <v>0.96</v>
      </c>
    </row>
    <row r="433" spans="2:9" x14ac:dyDescent="0.3">
      <c r="B433" s="138">
        <v>41955</v>
      </c>
      <c r="C433" s="4" t="s">
        <v>996</v>
      </c>
      <c r="D433" s="4">
        <v>500</v>
      </c>
      <c r="E433" s="4">
        <v>15</v>
      </c>
      <c r="F433" s="4">
        <v>18</v>
      </c>
      <c r="G433" s="4">
        <v>3</v>
      </c>
      <c r="H433" s="4">
        <v>83.33</v>
      </c>
      <c r="I433" s="5">
        <v>0.9</v>
      </c>
    </row>
    <row r="434" spans="2:9" x14ac:dyDescent="0.3">
      <c r="B434" s="138">
        <v>41955</v>
      </c>
      <c r="C434" s="4" t="s">
        <v>996</v>
      </c>
      <c r="D434" s="4">
        <v>500</v>
      </c>
      <c r="E434" s="4">
        <v>13</v>
      </c>
      <c r="F434" s="4">
        <v>17</v>
      </c>
      <c r="G434" s="4">
        <v>4</v>
      </c>
      <c r="H434" s="4">
        <v>76.47</v>
      </c>
      <c r="I434" s="5">
        <v>0.92</v>
      </c>
    </row>
    <row r="435" spans="2:9" x14ac:dyDescent="0.3">
      <c r="B435" s="138">
        <v>42060</v>
      </c>
      <c r="C435" s="4" t="s">
        <v>996</v>
      </c>
      <c r="D435" s="4">
        <v>500</v>
      </c>
      <c r="E435" s="4">
        <v>14</v>
      </c>
      <c r="F435" s="4">
        <v>17</v>
      </c>
      <c r="G435" s="4">
        <v>3</v>
      </c>
      <c r="H435" s="4">
        <v>82.35</v>
      </c>
      <c r="I435" s="5">
        <v>0.93</v>
      </c>
    </row>
    <row r="436" spans="2:9" x14ac:dyDescent="0.3">
      <c r="B436" s="138">
        <v>42060</v>
      </c>
      <c r="C436" s="4" t="s">
        <v>996</v>
      </c>
      <c r="D436" s="4">
        <v>500</v>
      </c>
      <c r="E436" s="4">
        <v>14</v>
      </c>
      <c r="F436" s="4">
        <v>18</v>
      </c>
      <c r="G436" s="4">
        <v>4</v>
      </c>
      <c r="H436" s="4">
        <v>77.78</v>
      </c>
      <c r="I436" s="5">
        <v>0.95</v>
      </c>
    </row>
    <row r="437" spans="2:9" x14ac:dyDescent="0.3">
      <c r="B437" s="138">
        <v>42081</v>
      </c>
      <c r="C437" s="4" t="s">
        <v>996</v>
      </c>
      <c r="D437" s="4">
        <v>500</v>
      </c>
      <c r="E437" s="4">
        <v>16</v>
      </c>
      <c r="F437" s="4">
        <v>17</v>
      </c>
      <c r="G437" s="4">
        <v>1</v>
      </c>
      <c r="H437" s="4">
        <v>94.12</v>
      </c>
      <c r="I437" s="5">
        <v>0.99</v>
      </c>
    </row>
    <row r="438" spans="2:9" x14ac:dyDescent="0.3">
      <c r="B438" s="138">
        <v>42081</v>
      </c>
      <c r="C438" s="4" t="s">
        <v>996</v>
      </c>
      <c r="D438" s="4">
        <v>125</v>
      </c>
      <c r="E438" s="4">
        <v>15</v>
      </c>
      <c r="F438" s="4">
        <v>17</v>
      </c>
      <c r="G438" s="4">
        <v>3</v>
      </c>
      <c r="H438" s="4">
        <v>88.24</v>
      </c>
      <c r="I438" s="5">
        <v>0.97</v>
      </c>
    </row>
    <row r="439" spans="2:9" x14ac:dyDescent="0.3">
      <c r="B439" s="138">
        <v>42081</v>
      </c>
      <c r="C439" s="4" t="s">
        <v>996</v>
      </c>
      <c r="D439" s="4">
        <v>31.25</v>
      </c>
      <c r="E439" s="4">
        <v>16</v>
      </c>
      <c r="F439" s="4">
        <v>17</v>
      </c>
      <c r="G439" s="4">
        <v>1</v>
      </c>
      <c r="H439" s="4">
        <v>94.12</v>
      </c>
      <c r="I439" s="5">
        <v>0.95</v>
      </c>
    </row>
    <row r="440" spans="2:9" x14ac:dyDescent="0.3">
      <c r="B440" s="138">
        <v>42081</v>
      </c>
      <c r="C440" s="4" t="s">
        <v>996</v>
      </c>
      <c r="D440" s="4">
        <v>7.8125</v>
      </c>
      <c r="E440" s="4">
        <v>8</v>
      </c>
      <c r="F440" s="4">
        <v>15</v>
      </c>
      <c r="G440" s="4">
        <v>7</v>
      </c>
      <c r="H440" s="4">
        <v>53.33</v>
      </c>
      <c r="I440" s="5">
        <v>0.8</v>
      </c>
    </row>
    <row r="441" spans="2:9" x14ac:dyDescent="0.3">
      <c r="B441" s="138">
        <v>42081</v>
      </c>
      <c r="C441" s="4" t="s">
        <v>996</v>
      </c>
      <c r="D441" s="4">
        <v>1.953125</v>
      </c>
      <c r="E441" s="4">
        <v>5</v>
      </c>
      <c r="F441" s="4">
        <v>17</v>
      </c>
      <c r="G441" s="4">
        <v>12</v>
      </c>
      <c r="H441" s="4">
        <v>29.41</v>
      </c>
      <c r="I441" s="5">
        <v>0.65</v>
      </c>
    </row>
    <row r="442" spans="2:9" x14ac:dyDescent="0.3">
      <c r="B442" s="138">
        <v>42081</v>
      </c>
      <c r="C442" s="4" t="s">
        <v>996</v>
      </c>
      <c r="D442" s="4">
        <v>0.48828125</v>
      </c>
      <c r="E442" s="4">
        <v>1</v>
      </c>
      <c r="F442" s="4">
        <v>16</v>
      </c>
      <c r="G442" s="4">
        <v>15</v>
      </c>
      <c r="H442" s="4">
        <v>6.25</v>
      </c>
      <c r="I442" s="5">
        <v>0.25</v>
      </c>
    </row>
    <row r="443" spans="2:9" x14ac:dyDescent="0.3">
      <c r="B443" s="138">
        <v>42081</v>
      </c>
      <c r="C443" s="4" t="s">
        <v>996</v>
      </c>
      <c r="D443" s="4">
        <v>500</v>
      </c>
      <c r="E443" s="4">
        <v>11</v>
      </c>
      <c r="F443" s="4">
        <v>17</v>
      </c>
      <c r="G443" s="4">
        <v>6</v>
      </c>
      <c r="H443" s="4">
        <v>64.709999999999994</v>
      </c>
      <c r="I443" s="5">
        <v>0.9</v>
      </c>
    </row>
    <row r="444" spans="2:9" x14ac:dyDescent="0.3">
      <c r="B444" s="138">
        <v>42081</v>
      </c>
      <c r="C444" s="4" t="s">
        <v>996</v>
      </c>
      <c r="D444" s="4">
        <v>125</v>
      </c>
      <c r="E444" s="4">
        <v>12</v>
      </c>
      <c r="F444" s="4">
        <v>17</v>
      </c>
      <c r="G444" s="4">
        <v>5</v>
      </c>
      <c r="H444" s="4">
        <v>70.59</v>
      </c>
      <c r="I444" s="5">
        <v>0.92</v>
      </c>
    </row>
    <row r="445" spans="2:9" x14ac:dyDescent="0.3">
      <c r="B445" s="138">
        <v>42081</v>
      </c>
      <c r="C445" s="4" t="s">
        <v>996</v>
      </c>
      <c r="D445" s="4">
        <v>31.25</v>
      </c>
      <c r="E445" s="4">
        <v>10</v>
      </c>
      <c r="F445" s="4">
        <v>15</v>
      </c>
      <c r="G445" s="4">
        <v>5</v>
      </c>
      <c r="H445" s="4">
        <v>66.67</v>
      </c>
      <c r="I445" s="5">
        <v>0.92</v>
      </c>
    </row>
    <row r="446" spans="2:9" x14ac:dyDescent="0.3">
      <c r="B446" s="138">
        <v>42081</v>
      </c>
      <c r="C446" s="4" t="s">
        <v>996</v>
      </c>
      <c r="D446" s="4">
        <v>7.8125</v>
      </c>
      <c r="E446" s="4">
        <v>9</v>
      </c>
      <c r="F446" s="4">
        <v>17</v>
      </c>
      <c r="G446" s="4">
        <v>8</v>
      </c>
      <c r="H446" s="4">
        <v>52.94</v>
      </c>
      <c r="I446" s="5">
        <v>0.76</v>
      </c>
    </row>
    <row r="447" spans="2:9" x14ac:dyDescent="0.3">
      <c r="B447" s="138">
        <v>42081</v>
      </c>
      <c r="C447" s="4" t="s">
        <v>996</v>
      </c>
      <c r="D447" s="4">
        <v>1.953125</v>
      </c>
      <c r="E447" s="4">
        <v>1</v>
      </c>
      <c r="F447" s="4">
        <v>16</v>
      </c>
      <c r="G447" s="4">
        <v>15</v>
      </c>
      <c r="H447" s="4">
        <v>6.25</v>
      </c>
      <c r="I447" s="5">
        <v>0.18</v>
      </c>
    </row>
    <row r="448" spans="2:9" x14ac:dyDescent="0.3">
      <c r="B448" s="138">
        <v>42081</v>
      </c>
      <c r="C448" s="4" t="s">
        <v>996</v>
      </c>
      <c r="D448" s="4">
        <v>0.48828125</v>
      </c>
      <c r="E448" s="4">
        <v>1</v>
      </c>
      <c r="F448" s="4">
        <v>16</v>
      </c>
      <c r="G448" s="4">
        <v>15</v>
      </c>
      <c r="H448" s="4">
        <v>6.25</v>
      </c>
      <c r="I448" s="5">
        <v>0.01</v>
      </c>
    </row>
    <row r="449" spans="2:9" x14ac:dyDescent="0.3">
      <c r="B449" s="138">
        <v>42109</v>
      </c>
      <c r="C449" s="4" t="s">
        <v>996</v>
      </c>
      <c r="D449" s="4">
        <v>500</v>
      </c>
      <c r="E449" s="4">
        <v>9</v>
      </c>
      <c r="F449" s="4">
        <v>17</v>
      </c>
      <c r="G449" s="4">
        <v>8</v>
      </c>
      <c r="H449" s="4">
        <v>52.94</v>
      </c>
      <c r="I449" s="5">
        <v>0.84</v>
      </c>
    </row>
    <row r="450" spans="2:9" x14ac:dyDescent="0.3">
      <c r="B450" s="138">
        <v>42109</v>
      </c>
      <c r="C450" s="4" t="s">
        <v>996</v>
      </c>
      <c r="D450" s="4">
        <v>125</v>
      </c>
      <c r="E450" s="4">
        <v>14</v>
      </c>
      <c r="F450" s="4">
        <v>17</v>
      </c>
      <c r="G450" s="4">
        <v>3</v>
      </c>
      <c r="H450" s="4">
        <v>82.35</v>
      </c>
      <c r="I450" s="5">
        <v>0.96</v>
      </c>
    </row>
    <row r="451" spans="2:9" x14ac:dyDescent="0.3">
      <c r="B451" s="138">
        <v>42109</v>
      </c>
      <c r="C451" s="4" t="s">
        <v>996</v>
      </c>
      <c r="D451" s="4">
        <v>31.25</v>
      </c>
      <c r="E451" s="4">
        <v>11</v>
      </c>
      <c r="F451" s="4">
        <v>17</v>
      </c>
      <c r="G451" s="4">
        <v>6</v>
      </c>
      <c r="H451" s="4">
        <v>64.709999999999994</v>
      </c>
      <c r="I451" s="5">
        <v>0.87</v>
      </c>
    </row>
    <row r="452" spans="2:9" x14ac:dyDescent="0.3">
      <c r="B452" s="138">
        <v>42109</v>
      </c>
      <c r="C452" s="4" t="s">
        <v>996</v>
      </c>
      <c r="D452" s="4">
        <v>7.8125</v>
      </c>
      <c r="E452" s="4">
        <v>11</v>
      </c>
      <c r="F452" s="4">
        <v>17</v>
      </c>
      <c r="G452" s="4">
        <v>6</v>
      </c>
      <c r="H452" s="4">
        <v>64.709999999999994</v>
      </c>
      <c r="I452" s="5">
        <v>0.87</v>
      </c>
    </row>
    <row r="453" spans="2:9" x14ac:dyDescent="0.3">
      <c r="B453" s="138">
        <v>42109</v>
      </c>
      <c r="C453" s="4" t="s">
        <v>996</v>
      </c>
      <c r="D453" s="4">
        <v>1.953125</v>
      </c>
      <c r="E453" s="4">
        <v>9</v>
      </c>
      <c r="F453" s="4">
        <v>17</v>
      </c>
      <c r="G453" s="4">
        <v>8</v>
      </c>
      <c r="H453" s="4">
        <v>52.94</v>
      </c>
      <c r="I453" s="5">
        <v>0.78</v>
      </c>
    </row>
    <row r="454" spans="2:9" x14ac:dyDescent="0.3">
      <c r="B454" s="138">
        <v>42109</v>
      </c>
      <c r="C454" s="4" t="s">
        <v>996</v>
      </c>
      <c r="D454" s="4">
        <v>0.48828125</v>
      </c>
      <c r="E454" s="4">
        <v>2</v>
      </c>
      <c r="F454" s="4">
        <v>17</v>
      </c>
      <c r="G454" s="4">
        <v>15</v>
      </c>
      <c r="H454" s="4">
        <v>11.76</v>
      </c>
      <c r="I454" s="5">
        <v>0.45</v>
      </c>
    </row>
    <row r="455" spans="2:9" x14ac:dyDescent="0.3">
      <c r="B455" s="138">
        <v>42109</v>
      </c>
      <c r="C455" s="4" t="s">
        <v>996</v>
      </c>
      <c r="D455" s="4">
        <v>500</v>
      </c>
      <c r="E455" s="4">
        <v>13</v>
      </c>
      <c r="F455" s="4">
        <v>17</v>
      </c>
      <c r="G455" s="4">
        <v>4</v>
      </c>
      <c r="H455" s="4">
        <v>76.47</v>
      </c>
      <c r="I455" s="5">
        <v>0.86</v>
      </c>
    </row>
    <row r="456" spans="2:9" x14ac:dyDescent="0.3">
      <c r="B456" s="138">
        <v>42109</v>
      </c>
      <c r="C456" s="4" t="s">
        <v>996</v>
      </c>
      <c r="D456" s="4">
        <v>125</v>
      </c>
      <c r="E456" s="4">
        <v>11</v>
      </c>
      <c r="F456" s="4">
        <v>17</v>
      </c>
      <c r="G456" s="4">
        <v>6</v>
      </c>
      <c r="H456" s="4">
        <v>64.709999999999994</v>
      </c>
      <c r="I456" s="5">
        <v>0.83</v>
      </c>
    </row>
    <row r="457" spans="2:9" x14ac:dyDescent="0.3">
      <c r="B457" s="138">
        <v>42109</v>
      </c>
      <c r="C457" s="4" t="s">
        <v>996</v>
      </c>
      <c r="D457" s="4">
        <v>31.25</v>
      </c>
      <c r="E457" s="4">
        <v>16</v>
      </c>
      <c r="F457" s="4">
        <v>17</v>
      </c>
      <c r="G457" s="4">
        <v>1</v>
      </c>
      <c r="H457" s="4">
        <v>94.12</v>
      </c>
      <c r="I457" s="5">
        <v>0.98</v>
      </c>
    </row>
    <row r="458" spans="2:9" x14ac:dyDescent="0.3">
      <c r="B458" s="138">
        <v>42109</v>
      </c>
      <c r="C458" s="4" t="s">
        <v>996</v>
      </c>
      <c r="D458" s="4">
        <v>7.8125</v>
      </c>
      <c r="E458" s="4">
        <v>13</v>
      </c>
      <c r="F458" s="4">
        <v>17</v>
      </c>
      <c r="G458" s="4">
        <v>4</v>
      </c>
      <c r="H458" s="4">
        <v>76.47</v>
      </c>
      <c r="I458" s="5">
        <v>0.89</v>
      </c>
    </row>
    <row r="459" spans="2:9" x14ac:dyDescent="0.3">
      <c r="B459" s="138">
        <v>42109</v>
      </c>
      <c r="C459" s="4" t="s">
        <v>996</v>
      </c>
      <c r="D459" s="4">
        <v>1.953125</v>
      </c>
      <c r="E459" s="4">
        <v>5</v>
      </c>
      <c r="F459" s="4">
        <v>17</v>
      </c>
      <c r="G459" s="4">
        <v>12</v>
      </c>
      <c r="H459" s="4">
        <v>29.41</v>
      </c>
      <c r="I459" s="5">
        <v>0.67</v>
      </c>
    </row>
    <row r="460" spans="2:9" x14ac:dyDescent="0.3">
      <c r="B460" s="138">
        <v>42109</v>
      </c>
      <c r="C460" s="4" t="s">
        <v>996</v>
      </c>
      <c r="D460" s="4">
        <v>0.48828125</v>
      </c>
      <c r="E460" s="4">
        <v>0</v>
      </c>
      <c r="F460" s="4">
        <v>17</v>
      </c>
      <c r="G460" s="4">
        <v>17</v>
      </c>
      <c r="H460" s="4">
        <v>0</v>
      </c>
      <c r="I460" s="5">
        <v>0.25</v>
      </c>
    </row>
    <row r="461" spans="2:9" x14ac:dyDescent="0.3">
      <c r="B461" s="138">
        <v>42116</v>
      </c>
      <c r="C461" s="4" t="s">
        <v>996</v>
      </c>
      <c r="D461" s="4">
        <v>500</v>
      </c>
      <c r="E461" s="4">
        <v>15</v>
      </c>
      <c r="F461" s="4">
        <v>17</v>
      </c>
      <c r="G461" s="4">
        <v>2</v>
      </c>
      <c r="H461" s="4">
        <v>88.24</v>
      </c>
      <c r="I461" s="5">
        <v>0.97</v>
      </c>
    </row>
    <row r="462" spans="2:9" x14ac:dyDescent="0.3">
      <c r="B462" s="138">
        <v>42116</v>
      </c>
      <c r="C462" s="4" t="s">
        <v>996</v>
      </c>
      <c r="D462" s="4">
        <v>125</v>
      </c>
      <c r="E462" s="4">
        <v>15</v>
      </c>
      <c r="F462" s="4">
        <v>17</v>
      </c>
      <c r="G462" s="4">
        <v>2</v>
      </c>
      <c r="H462" s="4">
        <v>88.24</v>
      </c>
      <c r="I462" s="5">
        <v>0.95</v>
      </c>
    </row>
    <row r="463" spans="2:9" x14ac:dyDescent="0.3">
      <c r="B463" s="138">
        <v>42116</v>
      </c>
      <c r="C463" s="4" t="s">
        <v>996</v>
      </c>
      <c r="D463" s="4">
        <v>31.25</v>
      </c>
      <c r="E463" s="4">
        <v>11</v>
      </c>
      <c r="F463" s="4">
        <v>17</v>
      </c>
      <c r="G463" s="4">
        <v>6</v>
      </c>
      <c r="H463" s="4">
        <v>64.709999999999994</v>
      </c>
      <c r="I463" s="5">
        <v>0.84</v>
      </c>
    </row>
    <row r="464" spans="2:9" x14ac:dyDescent="0.3">
      <c r="B464" s="138">
        <v>42116</v>
      </c>
      <c r="C464" s="4" t="s">
        <v>996</v>
      </c>
      <c r="D464" s="4">
        <v>7.8125</v>
      </c>
      <c r="E464" s="4">
        <v>7</v>
      </c>
      <c r="F464" s="4">
        <v>17</v>
      </c>
      <c r="G464" s="4">
        <v>10</v>
      </c>
      <c r="H464" s="4">
        <v>41.18</v>
      </c>
      <c r="I464" s="5">
        <v>0.64</v>
      </c>
    </row>
    <row r="465" spans="2:9" x14ac:dyDescent="0.3">
      <c r="B465" s="138">
        <v>42116</v>
      </c>
      <c r="C465" s="4" t="s">
        <v>996</v>
      </c>
      <c r="D465" s="4">
        <v>1.953125</v>
      </c>
      <c r="E465" s="4">
        <v>3</v>
      </c>
      <c r="F465" s="4">
        <v>16</v>
      </c>
      <c r="G465" s="4">
        <v>13</v>
      </c>
      <c r="H465" s="4">
        <v>18.75</v>
      </c>
      <c r="I465" s="5">
        <v>0.59</v>
      </c>
    </row>
    <row r="466" spans="2:9" x14ac:dyDescent="0.3">
      <c r="B466" s="138">
        <v>42116</v>
      </c>
      <c r="C466" s="4" t="s">
        <v>996</v>
      </c>
      <c r="D466" s="4">
        <v>0.48828125</v>
      </c>
      <c r="E466" s="4">
        <v>0</v>
      </c>
      <c r="F466" s="4">
        <v>17</v>
      </c>
      <c r="G466" s="4">
        <v>17</v>
      </c>
      <c r="H466" s="4">
        <v>0</v>
      </c>
      <c r="I466" s="5">
        <v>0.32</v>
      </c>
    </row>
    <row r="467" spans="2:9" x14ac:dyDescent="0.3">
      <c r="B467" s="138">
        <v>42116</v>
      </c>
      <c r="C467" s="4" t="s">
        <v>996</v>
      </c>
      <c r="D467" s="4">
        <v>500</v>
      </c>
      <c r="E467" s="4">
        <v>14</v>
      </c>
      <c r="F467" s="4">
        <v>17</v>
      </c>
      <c r="G467" s="4">
        <v>3</v>
      </c>
      <c r="H467" s="4">
        <v>82.35</v>
      </c>
      <c r="I467" s="5">
        <v>0.96</v>
      </c>
    </row>
    <row r="468" spans="2:9" x14ac:dyDescent="0.3">
      <c r="B468" s="138">
        <v>42116</v>
      </c>
      <c r="C468" s="4" t="s">
        <v>996</v>
      </c>
      <c r="D468" s="4">
        <v>125</v>
      </c>
      <c r="E468" s="4">
        <v>15</v>
      </c>
      <c r="F468" s="4">
        <v>17</v>
      </c>
      <c r="G468" s="4">
        <v>2</v>
      </c>
      <c r="H468" s="4">
        <v>88.24</v>
      </c>
      <c r="I468" s="5">
        <v>0.96</v>
      </c>
    </row>
    <row r="469" spans="2:9" x14ac:dyDescent="0.3">
      <c r="B469" s="138">
        <v>42116</v>
      </c>
      <c r="C469" s="4" t="s">
        <v>996</v>
      </c>
      <c r="D469" s="4">
        <v>31.25</v>
      </c>
      <c r="E469" s="4">
        <v>13</v>
      </c>
      <c r="F469" s="4">
        <v>17</v>
      </c>
      <c r="G469" s="4">
        <v>4</v>
      </c>
      <c r="H469" s="4">
        <v>76.47</v>
      </c>
      <c r="I469" s="5">
        <v>0.82</v>
      </c>
    </row>
    <row r="470" spans="2:9" x14ac:dyDescent="0.3">
      <c r="B470" s="138">
        <v>42116</v>
      </c>
      <c r="C470" s="4" t="s">
        <v>996</v>
      </c>
      <c r="D470" s="4">
        <v>7.8125</v>
      </c>
      <c r="E470" s="4">
        <v>3</v>
      </c>
      <c r="F470" s="4">
        <v>17</v>
      </c>
      <c r="G470" s="4">
        <v>14</v>
      </c>
      <c r="H470" s="4">
        <v>17.649999999999999</v>
      </c>
      <c r="I470" s="5">
        <v>0.77</v>
      </c>
    </row>
    <row r="471" spans="2:9" x14ac:dyDescent="0.3">
      <c r="B471" s="138">
        <v>42116</v>
      </c>
      <c r="C471" s="4" t="s">
        <v>996</v>
      </c>
      <c r="D471" s="4">
        <v>1.953125</v>
      </c>
      <c r="E471" s="4">
        <v>2</v>
      </c>
      <c r="F471" s="4">
        <v>17</v>
      </c>
      <c r="G471" s="4">
        <v>15</v>
      </c>
      <c r="H471" s="4">
        <v>11.76</v>
      </c>
      <c r="I471" s="5">
        <v>0.43</v>
      </c>
    </row>
    <row r="472" spans="2:9" x14ac:dyDescent="0.3">
      <c r="B472" s="138">
        <v>42116</v>
      </c>
      <c r="C472" s="4" t="s">
        <v>996</v>
      </c>
      <c r="D472" s="4">
        <v>0.48828125</v>
      </c>
      <c r="E472" s="4">
        <v>2</v>
      </c>
      <c r="F472" s="4">
        <v>16</v>
      </c>
      <c r="G472" s="4">
        <v>14</v>
      </c>
      <c r="H472" s="4">
        <v>12.5</v>
      </c>
      <c r="I472" s="5">
        <v>0.22</v>
      </c>
    </row>
    <row r="473" spans="2:9" x14ac:dyDescent="0.3">
      <c r="B473" s="138">
        <v>42123</v>
      </c>
      <c r="C473" s="4" t="s">
        <v>996</v>
      </c>
      <c r="D473" s="4">
        <v>500</v>
      </c>
      <c r="E473" s="4">
        <v>16</v>
      </c>
      <c r="F473" s="4">
        <v>17</v>
      </c>
      <c r="G473" s="4">
        <v>1</v>
      </c>
      <c r="H473" s="4">
        <v>94.12</v>
      </c>
      <c r="I473" s="5">
        <v>0.98</v>
      </c>
    </row>
    <row r="474" spans="2:9" x14ac:dyDescent="0.3">
      <c r="B474" s="138">
        <v>42123</v>
      </c>
      <c r="C474" s="4" t="s">
        <v>996</v>
      </c>
      <c r="D474" s="4">
        <v>125</v>
      </c>
      <c r="E474" s="4">
        <v>16</v>
      </c>
      <c r="F474" s="4">
        <v>17</v>
      </c>
      <c r="G474" s="4">
        <v>1</v>
      </c>
      <c r="H474" s="4">
        <v>94.12</v>
      </c>
      <c r="I474" s="5">
        <v>0.98</v>
      </c>
    </row>
    <row r="475" spans="2:9" x14ac:dyDescent="0.3">
      <c r="B475" s="138">
        <v>42123</v>
      </c>
      <c r="C475" s="4" t="s">
        <v>996</v>
      </c>
      <c r="D475" s="4">
        <v>31.25</v>
      </c>
      <c r="E475" s="4">
        <v>16</v>
      </c>
      <c r="F475" s="4">
        <v>17</v>
      </c>
      <c r="G475" s="4">
        <v>1</v>
      </c>
      <c r="H475" s="4">
        <v>94.12</v>
      </c>
      <c r="I475" s="5">
        <v>0.98</v>
      </c>
    </row>
    <row r="476" spans="2:9" x14ac:dyDescent="0.3">
      <c r="B476" s="138">
        <v>42123</v>
      </c>
      <c r="C476" s="4" t="s">
        <v>996</v>
      </c>
      <c r="D476" s="4">
        <v>7.8125</v>
      </c>
      <c r="E476" s="4">
        <v>15</v>
      </c>
      <c r="F476" s="4">
        <v>18</v>
      </c>
      <c r="G476" s="4">
        <v>3</v>
      </c>
      <c r="H476" s="4">
        <v>83.33</v>
      </c>
      <c r="I476" s="5">
        <v>0.96</v>
      </c>
    </row>
    <row r="477" spans="2:9" x14ac:dyDescent="0.3">
      <c r="B477" s="138">
        <v>42123</v>
      </c>
      <c r="C477" s="4" t="s">
        <v>996</v>
      </c>
      <c r="D477" s="4">
        <v>1.953125</v>
      </c>
      <c r="E477" s="4">
        <v>6</v>
      </c>
      <c r="F477" s="4">
        <v>17</v>
      </c>
      <c r="G477" s="4">
        <v>11</v>
      </c>
      <c r="H477" s="4">
        <v>35.29</v>
      </c>
      <c r="I477" s="5">
        <v>0.65</v>
      </c>
    </row>
    <row r="478" spans="2:9" x14ac:dyDescent="0.3">
      <c r="B478" s="138">
        <v>42123</v>
      </c>
      <c r="C478" s="4" t="s">
        <v>996</v>
      </c>
      <c r="D478" s="4">
        <v>0.48828125</v>
      </c>
      <c r="E478" s="4">
        <v>3</v>
      </c>
      <c r="F478" s="4">
        <v>17</v>
      </c>
      <c r="G478" s="4">
        <v>14</v>
      </c>
      <c r="H478" s="4">
        <v>17.649999999999999</v>
      </c>
      <c r="I478" s="5">
        <v>0.39</v>
      </c>
    </row>
    <row r="479" spans="2:9" x14ac:dyDescent="0.3">
      <c r="B479" s="138">
        <v>42123</v>
      </c>
      <c r="C479" s="4" t="s">
        <v>996</v>
      </c>
      <c r="D479" s="4">
        <v>500</v>
      </c>
      <c r="E479" s="4">
        <v>13</v>
      </c>
      <c r="F479" s="4">
        <v>17</v>
      </c>
      <c r="G479" s="4">
        <v>4</v>
      </c>
      <c r="H479" s="4">
        <v>76.47</v>
      </c>
      <c r="I479" s="5">
        <v>0.91</v>
      </c>
    </row>
    <row r="480" spans="2:9" x14ac:dyDescent="0.3">
      <c r="B480" s="138">
        <v>42123</v>
      </c>
      <c r="C480" s="4" t="s">
        <v>996</v>
      </c>
      <c r="D480" s="4">
        <v>125</v>
      </c>
      <c r="E480" s="4">
        <v>13</v>
      </c>
      <c r="F480" s="4">
        <v>17</v>
      </c>
      <c r="G480" s="4">
        <v>4</v>
      </c>
      <c r="H480" s="4">
        <v>76.47</v>
      </c>
      <c r="I480" s="5">
        <v>0.93</v>
      </c>
    </row>
    <row r="481" spans="2:9" x14ac:dyDescent="0.3">
      <c r="B481" s="138">
        <v>42123</v>
      </c>
      <c r="C481" s="4" t="s">
        <v>996</v>
      </c>
      <c r="D481" s="4">
        <v>31.25</v>
      </c>
      <c r="E481" s="4">
        <v>14</v>
      </c>
      <c r="F481" s="4">
        <v>17</v>
      </c>
      <c r="G481" s="4">
        <v>3</v>
      </c>
      <c r="H481" s="4">
        <v>82.35</v>
      </c>
      <c r="I481" s="5">
        <v>0.95</v>
      </c>
    </row>
    <row r="482" spans="2:9" x14ac:dyDescent="0.3">
      <c r="B482" s="138">
        <v>42123</v>
      </c>
      <c r="C482" s="4" t="s">
        <v>996</v>
      </c>
      <c r="D482" s="4">
        <v>7.8125</v>
      </c>
      <c r="E482" s="4">
        <v>7</v>
      </c>
      <c r="F482" s="4">
        <v>17</v>
      </c>
      <c r="G482" s="4">
        <v>10</v>
      </c>
      <c r="H482" s="4">
        <v>41.18</v>
      </c>
      <c r="I482" s="5">
        <v>0.88</v>
      </c>
    </row>
    <row r="483" spans="2:9" x14ac:dyDescent="0.3">
      <c r="B483" s="138">
        <v>42123</v>
      </c>
      <c r="C483" s="4" t="s">
        <v>996</v>
      </c>
      <c r="D483" s="4">
        <v>1.953125</v>
      </c>
      <c r="E483" s="4">
        <v>1</v>
      </c>
      <c r="F483" s="4">
        <v>17</v>
      </c>
      <c r="G483" s="4">
        <v>16</v>
      </c>
      <c r="H483" s="4">
        <v>5.88</v>
      </c>
      <c r="I483" s="5">
        <v>0.62</v>
      </c>
    </row>
    <row r="484" spans="2:9" x14ac:dyDescent="0.3">
      <c r="B484" s="138">
        <v>42123</v>
      </c>
      <c r="C484" s="4" t="s">
        <v>996</v>
      </c>
      <c r="D484" s="4">
        <v>0.48828125</v>
      </c>
      <c r="E484" s="4">
        <v>2</v>
      </c>
      <c r="F484" s="4">
        <v>17</v>
      </c>
      <c r="G484" s="4">
        <v>15</v>
      </c>
      <c r="H484" s="4">
        <v>11.76</v>
      </c>
      <c r="I484" s="5">
        <v>-0.02</v>
      </c>
    </row>
    <row r="485" spans="2:9" x14ac:dyDescent="0.3">
      <c r="B485" s="138">
        <v>41178</v>
      </c>
      <c r="C485" s="4" t="s">
        <v>997</v>
      </c>
      <c r="D485" s="4">
        <v>500</v>
      </c>
      <c r="E485" s="4">
        <v>15</v>
      </c>
      <c r="F485" s="4">
        <v>15</v>
      </c>
      <c r="G485" s="4">
        <v>0</v>
      </c>
      <c r="H485" s="4">
        <v>100</v>
      </c>
      <c r="I485" s="5">
        <v>1</v>
      </c>
    </row>
    <row r="486" spans="2:9" x14ac:dyDescent="0.3">
      <c r="B486" s="138">
        <v>41178</v>
      </c>
      <c r="C486" s="4" t="s">
        <v>997</v>
      </c>
      <c r="D486" s="4">
        <v>500</v>
      </c>
      <c r="E486" s="4">
        <v>16</v>
      </c>
      <c r="F486" s="4">
        <v>17</v>
      </c>
      <c r="G486" s="4">
        <v>1</v>
      </c>
      <c r="H486" s="4">
        <v>94.12</v>
      </c>
      <c r="I486" s="5">
        <v>0.98</v>
      </c>
    </row>
    <row r="487" spans="2:9" x14ac:dyDescent="0.3">
      <c r="B487" s="138">
        <v>41185</v>
      </c>
      <c r="C487" s="4" t="s">
        <v>997</v>
      </c>
      <c r="D487" s="4">
        <v>500</v>
      </c>
      <c r="E487" s="4">
        <v>17</v>
      </c>
      <c r="F487" s="4">
        <v>17</v>
      </c>
      <c r="G487" s="4">
        <v>0</v>
      </c>
      <c r="H487" s="4">
        <v>100</v>
      </c>
      <c r="I487" s="5">
        <v>1</v>
      </c>
    </row>
    <row r="488" spans="2:9" x14ac:dyDescent="0.3">
      <c r="B488" s="138">
        <v>41185</v>
      </c>
      <c r="C488" s="4" t="s">
        <v>997</v>
      </c>
      <c r="D488" s="4">
        <v>500</v>
      </c>
      <c r="E488" s="4">
        <v>16</v>
      </c>
      <c r="F488" s="4">
        <v>17</v>
      </c>
      <c r="G488" s="4">
        <v>1</v>
      </c>
      <c r="H488" s="4">
        <v>94.12</v>
      </c>
      <c r="I488" s="5">
        <v>0.99</v>
      </c>
    </row>
    <row r="489" spans="2:9" x14ac:dyDescent="0.3">
      <c r="B489" s="138">
        <v>41220</v>
      </c>
      <c r="C489" s="4" t="s">
        <v>997</v>
      </c>
      <c r="D489" s="4">
        <v>250</v>
      </c>
      <c r="E489" s="4">
        <v>10</v>
      </c>
      <c r="F489" s="4">
        <v>17</v>
      </c>
      <c r="G489" s="4">
        <v>7</v>
      </c>
      <c r="H489" s="4">
        <v>58.82</v>
      </c>
      <c r="I489" s="5">
        <v>0.89</v>
      </c>
    </row>
    <row r="490" spans="2:9" x14ac:dyDescent="0.3">
      <c r="B490" s="138">
        <v>41220</v>
      </c>
      <c r="C490" s="4" t="s">
        <v>997</v>
      </c>
      <c r="D490" s="4">
        <v>62.5</v>
      </c>
      <c r="E490" s="4">
        <v>9</v>
      </c>
      <c r="F490" s="4">
        <v>17</v>
      </c>
      <c r="G490" s="4">
        <v>8</v>
      </c>
      <c r="H490" s="4">
        <v>52.94</v>
      </c>
      <c r="I490" s="5">
        <v>0.78</v>
      </c>
    </row>
    <row r="491" spans="2:9" x14ac:dyDescent="0.3">
      <c r="B491" s="138">
        <v>41220</v>
      </c>
      <c r="C491" s="4" t="s">
        <v>997</v>
      </c>
      <c r="D491" s="4">
        <v>15.63</v>
      </c>
      <c r="E491" s="4">
        <v>5</v>
      </c>
      <c r="F491" s="4">
        <v>17</v>
      </c>
      <c r="G491" s="4">
        <v>12</v>
      </c>
      <c r="H491" s="4">
        <v>29.41</v>
      </c>
      <c r="I491" s="5">
        <v>0.73</v>
      </c>
    </row>
    <row r="492" spans="2:9" x14ac:dyDescent="0.3">
      <c r="B492" s="138">
        <v>41220</v>
      </c>
      <c r="C492" s="4" t="s">
        <v>997</v>
      </c>
      <c r="D492" s="4">
        <v>3.91</v>
      </c>
      <c r="E492" s="4">
        <v>3</v>
      </c>
      <c r="F492" s="4">
        <v>18</v>
      </c>
      <c r="G492" s="4">
        <v>15</v>
      </c>
      <c r="H492" s="4">
        <v>16.670000000000002</v>
      </c>
      <c r="I492" s="5">
        <v>0.45</v>
      </c>
    </row>
    <row r="493" spans="2:9" x14ac:dyDescent="0.3">
      <c r="B493" s="138">
        <v>41220</v>
      </c>
      <c r="C493" s="4" t="s">
        <v>997</v>
      </c>
      <c r="D493" s="4">
        <v>0.98</v>
      </c>
      <c r="E493" s="4">
        <v>1</v>
      </c>
      <c r="F493" s="4">
        <v>17</v>
      </c>
      <c r="G493" s="4">
        <v>16</v>
      </c>
      <c r="H493" s="4">
        <v>5.88</v>
      </c>
      <c r="I493" s="5">
        <v>0.02</v>
      </c>
    </row>
    <row r="494" spans="2:9" x14ac:dyDescent="0.3">
      <c r="B494" s="138">
        <v>41220</v>
      </c>
      <c r="C494" s="4" t="s">
        <v>997</v>
      </c>
      <c r="D494" s="4">
        <v>0.24</v>
      </c>
      <c r="E494" s="4">
        <v>4</v>
      </c>
      <c r="F494" s="4">
        <v>17</v>
      </c>
      <c r="G494" s="4">
        <v>13</v>
      </c>
      <c r="H494" s="4">
        <v>23.53</v>
      </c>
      <c r="I494" s="5">
        <v>7.0000000000000007E-2</v>
      </c>
    </row>
    <row r="495" spans="2:9" x14ac:dyDescent="0.3">
      <c r="B495" s="138">
        <v>41220</v>
      </c>
      <c r="C495" s="4" t="s">
        <v>997</v>
      </c>
      <c r="D495" s="4">
        <v>250</v>
      </c>
      <c r="E495" s="4">
        <v>9</v>
      </c>
      <c r="F495" s="4">
        <v>17</v>
      </c>
      <c r="G495" s="4">
        <v>8</v>
      </c>
      <c r="H495" s="4">
        <v>52.94</v>
      </c>
      <c r="I495" s="5">
        <v>0.8</v>
      </c>
    </row>
    <row r="496" spans="2:9" x14ac:dyDescent="0.3">
      <c r="B496" s="138">
        <v>41220</v>
      </c>
      <c r="C496" s="4" t="s">
        <v>997</v>
      </c>
      <c r="D496" s="4">
        <v>62.5</v>
      </c>
      <c r="E496" s="4">
        <v>9</v>
      </c>
      <c r="F496" s="4">
        <v>19</v>
      </c>
      <c r="G496" s="4">
        <v>10</v>
      </c>
      <c r="H496" s="4">
        <v>47.37</v>
      </c>
      <c r="I496" s="5">
        <v>0.74</v>
      </c>
    </row>
    <row r="497" spans="2:9" x14ac:dyDescent="0.3">
      <c r="B497" s="138">
        <v>41220</v>
      </c>
      <c r="C497" s="4" t="s">
        <v>997</v>
      </c>
      <c r="D497" s="4">
        <v>15.63</v>
      </c>
      <c r="E497" s="4">
        <v>3</v>
      </c>
      <c r="F497" s="4">
        <v>16</v>
      </c>
      <c r="G497" s="4">
        <v>13</v>
      </c>
      <c r="H497" s="4">
        <v>18.75</v>
      </c>
      <c r="I497" s="5">
        <v>0.25</v>
      </c>
    </row>
    <row r="498" spans="2:9" x14ac:dyDescent="0.3">
      <c r="B498" s="138">
        <v>41220</v>
      </c>
      <c r="C498" s="4" t="s">
        <v>997</v>
      </c>
      <c r="D498" s="4">
        <v>3.91</v>
      </c>
      <c r="E498" s="4">
        <v>1</v>
      </c>
      <c r="F498" s="4">
        <v>17</v>
      </c>
      <c r="G498" s="4">
        <v>16</v>
      </c>
      <c r="H498" s="4">
        <v>5.88</v>
      </c>
      <c r="I498" s="5">
        <v>7.0000000000000007E-2</v>
      </c>
    </row>
    <row r="499" spans="2:9" x14ac:dyDescent="0.3">
      <c r="B499" s="138">
        <v>41220</v>
      </c>
      <c r="C499" s="4" t="s">
        <v>997</v>
      </c>
      <c r="D499" s="4">
        <v>0.98</v>
      </c>
      <c r="E499" s="4">
        <v>0</v>
      </c>
      <c r="F499" s="4">
        <v>17</v>
      </c>
      <c r="G499" s="4">
        <v>17</v>
      </c>
      <c r="H499" s="4">
        <v>0</v>
      </c>
      <c r="I499" s="5">
        <v>-0.06</v>
      </c>
    </row>
    <row r="500" spans="2:9" x14ac:dyDescent="0.3">
      <c r="B500" s="138">
        <v>41220</v>
      </c>
      <c r="C500" s="4" t="s">
        <v>997</v>
      </c>
      <c r="D500" s="4">
        <v>0.24</v>
      </c>
      <c r="E500" s="4">
        <v>2</v>
      </c>
      <c r="F500" s="4">
        <v>17</v>
      </c>
      <c r="G500" s="4">
        <v>15</v>
      </c>
      <c r="H500" s="4">
        <v>11.76</v>
      </c>
      <c r="I500" s="5">
        <v>-7.0000000000000007E-2</v>
      </c>
    </row>
    <row r="501" spans="2:9" x14ac:dyDescent="0.3">
      <c r="B501" s="138">
        <v>41220</v>
      </c>
      <c r="C501" s="4" t="s">
        <v>997</v>
      </c>
      <c r="D501" s="4">
        <v>250</v>
      </c>
      <c r="E501" s="4">
        <v>6</v>
      </c>
      <c r="F501" s="4">
        <v>17</v>
      </c>
      <c r="G501" s="4">
        <v>11</v>
      </c>
      <c r="H501" s="4">
        <v>35.29</v>
      </c>
      <c r="I501" s="5">
        <v>0.61</v>
      </c>
    </row>
    <row r="502" spans="2:9" x14ac:dyDescent="0.3">
      <c r="B502" s="138">
        <v>41220</v>
      </c>
      <c r="C502" s="4" t="s">
        <v>997</v>
      </c>
      <c r="D502" s="4">
        <v>62.5</v>
      </c>
      <c r="E502" s="4">
        <v>4</v>
      </c>
      <c r="F502" s="4">
        <v>17</v>
      </c>
      <c r="G502" s="4">
        <v>13</v>
      </c>
      <c r="H502" s="4">
        <v>23.53</v>
      </c>
      <c r="I502" s="5">
        <v>0.78</v>
      </c>
    </row>
    <row r="503" spans="2:9" x14ac:dyDescent="0.3">
      <c r="B503" s="138">
        <v>41220</v>
      </c>
      <c r="C503" s="4" t="s">
        <v>997</v>
      </c>
      <c r="D503" s="4">
        <v>15.63</v>
      </c>
      <c r="E503" s="4">
        <v>5</v>
      </c>
      <c r="F503" s="4">
        <v>17</v>
      </c>
      <c r="G503" s="4">
        <v>12</v>
      </c>
      <c r="H503" s="4">
        <v>29.41</v>
      </c>
      <c r="I503" s="5">
        <v>0.59</v>
      </c>
    </row>
    <row r="504" spans="2:9" x14ac:dyDescent="0.3">
      <c r="B504" s="138">
        <v>41220</v>
      </c>
      <c r="C504" s="4" t="s">
        <v>997</v>
      </c>
      <c r="D504" s="4">
        <v>3.91</v>
      </c>
      <c r="E504" s="4">
        <v>0</v>
      </c>
      <c r="F504" s="4">
        <v>17</v>
      </c>
      <c r="G504" s="4">
        <v>15</v>
      </c>
      <c r="H504" s="4">
        <v>0</v>
      </c>
      <c r="I504" s="5">
        <v>0.17</v>
      </c>
    </row>
    <row r="505" spans="2:9" x14ac:dyDescent="0.3">
      <c r="B505" s="138">
        <v>41220</v>
      </c>
      <c r="C505" s="4" t="s">
        <v>997</v>
      </c>
      <c r="D505" s="4">
        <v>0.98</v>
      </c>
      <c r="E505" s="4">
        <v>0</v>
      </c>
      <c r="F505" s="4">
        <v>17</v>
      </c>
      <c r="G505" s="4">
        <v>17</v>
      </c>
      <c r="H505" s="4">
        <v>0</v>
      </c>
      <c r="I505" s="5">
        <v>-0.08</v>
      </c>
    </row>
    <row r="506" spans="2:9" x14ac:dyDescent="0.3">
      <c r="B506" s="138">
        <v>41220</v>
      </c>
      <c r="C506" s="4" t="s">
        <v>997</v>
      </c>
      <c r="D506" s="4">
        <v>0.24</v>
      </c>
      <c r="E506" s="4">
        <v>0</v>
      </c>
      <c r="F506" s="4">
        <v>17</v>
      </c>
      <c r="G506" s="4">
        <v>17</v>
      </c>
      <c r="H506" s="4">
        <v>0</v>
      </c>
      <c r="I506" s="5">
        <v>-0.33</v>
      </c>
    </row>
    <row r="507" spans="2:9" x14ac:dyDescent="0.3">
      <c r="B507" s="138">
        <v>41220</v>
      </c>
      <c r="C507" s="4" t="s">
        <v>997</v>
      </c>
      <c r="D507" s="4">
        <v>250</v>
      </c>
      <c r="E507" s="4">
        <v>3</v>
      </c>
      <c r="F507" s="4">
        <v>17</v>
      </c>
      <c r="G507" s="4">
        <v>14</v>
      </c>
      <c r="H507" s="4">
        <v>17.649999999999999</v>
      </c>
      <c r="I507" s="5">
        <v>0.63</v>
      </c>
    </row>
    <row r="508" spans="2:9" x14ac:dyDescent="0.3">
      <c r="B508" s="138">
        <v>41220</v>
      </c>
      <c r="C508" s="4" t="s">
        <v>997</v>
      </c>
      <c r="D508" s="4">
        <v>62.5</v>
      </c>
      <c r="E508" s="4">
        <v>4</v>
      </c>
      <c r="F508" s="4">
        <v>17</v>
      </c>
      <c r="G508" s="4">
        <v>13</v>
      </c>
      <c r="H508" s="4">
        <v>23.53</v>
      </c>
      <c r="I508" s="5">
        <v>0.71</v>
      </c>
    </row>
    <row r="509" spans="2:9" x14ac:dyDescent="0.3">
      <c r="B509" s="138">
        <v>41220</v>
      </c>
      <c r="C509" s="4" t="s">
        <v>997</v>
      </c>
      <c r="D509" s="4">
        <v>15.63</v>
      </c>
      <c r="E509" s="4">
        <v>3</v>
      </c>
      <c r="F509" s="4">
        <v>17</v>
      </c>
      <c r="G509" s="4">
        <v>14</v>
      </c>
      <c r="H509" s="4">
        <v>17.649999999999999</v>
      </c>
      <c r="I509" s="5">
        <v>0.41</v>
      </c>
    </row>
    <row r="510" spans="2:9" x14ac:dyDescent="0.3">
      <c r="B510" s="138">
        <v>41220</v>
      </c>
      <c r="C510" s="4" t="s">
        <v>997</v>
      </c>
      <c r="D510" s="4">
        <v>3.91</v>
      </c>
      <c r="E510" s="4">
        <v>3</v>
      </c>
      <c r="F510" s="4">
        <v>17</v>
      </c>
      <c r="G510" s="4">
        <v>11</v>
      </c>
      <c r="H510" s="4">
        <v>17.649999999999999</v>
      </c>
      <c r="I510" s="5">
        <v>0.25</v>
      </c>
    </row>
    <row r="511" spans="2:9" x14ac:dyDescent="0.3">
      <c r="B511" s="138">
        <v>41220</v>
      </c>
      <c r="C511" s="4" t="s">
        <v>997</v>
      </c>
      <c r="D511" s="4">
        <v>0.98</v>
      </c>
      <c r="E511" s="4">
        <v>3</v>
      </c>
      <c r="F511" s="4">
        <v>17</v>
      </c>
      <c r="G511" s="4">
        <v>14</v>
      </c>
      <c r="H511" s="4">
        <v>17.649999999999999</v>
      </c>
      <c r="I511" s="5">
        <v>0.19</v>
      </c>
    </row>
    <row r="512" spans="2:9" ht="15" thickBot="1" x14ac:dyDescent="0.35">
      <c r="B512" s="139">
        <v>41220</v>
      </c>
      <c r="C512" s="6" t="s">
        <v>997</v>
      </c>
      <c r="D512" s="6">
        <v>0.24</v>
      </c>
      <c r="E512" s="6">
        <v>1</v>
      </c>
      <c r="F512" s="6">
        <v>17</v>
      </c>
      <c r="G512" s="6">
        <v>16</v>
      </c>
      <c r="H512" s="6">
        <v>5.88</v>
      </c>
      <c r="I512" s="7">
        <v>-0.15</v>
      </c>
    </row>
  </sheetData>
  <mergeCells count="1">
    <mergeCell ref="B2:I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I213"/>
  <sheetViews>
    <sheetView zoomScale="70" zoomScaleNormal="70" workbookViewId="0">
      <pane xSplit="4" ySplit="5" topLeftCell="E125" activePane="bottomRight" state="frozen"/>
      <selection pane="topRight" activeCell="D1" sqref="D1"/>
      <selection pane="bottomLeft" activeCell="A5" sqref="A5"/>
      <selection pane="bottomRight" activeCell="AA149" sqref="AA149"/>
    </sheetView>
  </sheetViews>
  <sheetFormatPr defaultColWidth="11.44140625" defaultRowHeight="14.4" x14ac:dyDescent="0.3"/>
  <cols>
    <col min="1" max="1" width="4.44140625" style="63" customWidth="1"/>
    <col min="2" max="2" width="4.5546875" style="63" bestFit="1" customWidth="1"/>
    <col min="3" max="3" width="5.44140625" style="63" bestFit="1" customWidth="1"/>
    <col min="4" max="4" width="12.44140625" style="63" customWidth="1"/>
    <col min="5" max="7" width="4.33203125" style="63" customWidth="1"/>
    <col min="8" max="8" width="10.5546875" style="63" bestFit="1" customWidth="1"/>
    <col min="9" max="53" width="4.33203125" style="63" customWidth="1"/>
    <col min="54" max="68" width="4.6640625" style="63" customWidth="1"/>
    <col min="69" max="69" width="6" style="63" customWidth="1"/>
    <col min="70" max="84" width="4.6640625" style="63" customWidth="1"/>
    <col min="85" max="85" width="8.5546875" style="87" customWidth="1"/>
    <col min="86" max="86" width="5" style="63" customWidth="1"/>
    <col min="87" max="89" width="11.44140625" style="63"/>
    <col min="90" max="90" width="5.6640625" style="63" customWidth="1"/>
    <col min="91" max="16384" width="11.44140625" style="63"/>
  </cols>
  <sheetData>
    <row r="2" spans="2:87" s="297" customFormat="1" ht="18" x14ac:dyDescent="0.35">
      <c r="B2" s="370" t="s">
        <v>1217</v>
      </c>
      <c r="C2" s="370"/>
      <c r="D2" s="370"/>
      <c r="E2" s="370"/>
      <c r="F2" s="370"/>
      <c r="G2" s="370"/>
      <c r="H2" s="370"/>
      <c r="I2" s="370"/>
      <c r="J2" s="370"/>
      <c r="K2" s="370"/>
      <c r="L2" s="370"/>
      <c r="M2" s="370"/>
      <c r="N2" s="370"/>
      <c r="O2" s="370"/>
      <c r="P2" s="370"/>
      <c r="Q2" s="370"/>
      <c r="R2" s="370"/>
      <c r="S2" s="370"/>
      <c r="T2" s="370"/>
      <c r="U2" s="370"/>
      <c r="V2" s="370"/>
      <c r="W2" s="370"/>
      <c r="X2" s="370"/>
      <c r="Y2" s="370"/>
      <c r="Z2" s="370"/>
      <c r="AA2" s="370"/>
      <c r="AB2" s="370"/>
      <c r="AC2" s="370"/>
      <c r="AD2" s="370"/>
      <c r="AE2" s="370"/>
      <c r="AF2" s="370"/>
      <c r="AG2" s="370"/>
      <c r="AH2" s="370"/>
      <c r="AI2" s="370"/>
      <c r="AJ2" s="370"/>
      <c r="AK2" s="370"/>
      <c r="AL2" s="370"/>
      <c r="AM2" s="370"/>
      <c r="AN2" s="370"/>
      <c r="AO2" s="370"/>
      <c r="AP2" s="370"/>
      <c r="AQ2" s="370"/>
      <c r="AR2" s="370"/>
      <c r="AS2" s="370"/>
      <c r="AT2" s="370"/>
      <c r="AU2" s="370"/>
      <c r="AV2" s="370"/>
      <c r="AW2" s="370"/>
      <c r="AX2" s="370"/>
      <c r="AY2" s="370"/>
      <c r="AZ2" s="370"/>
      <c r="BA2" s="370"/>
      <c r="BB2" s="370"/>
      <c r="BC2" s="370"/>
      <c r="BD2" s="370"/>
      <c r="BE2" s="370"/>
      <c r="BF2" s="370"/>
      <c r="BG2" s="370"/>
      <c r="BH2" s="370"/>
      <c r="BI2" s="370"/>
      <c r="BJ2" s="370"/>
      <c r="BK2" s="370"/>
      <c r="BL2" s="370"/>
      <c r="BM2" s="370"/>
      <c r="BN2" s="370"/>
      <c r="BO2" s="370"/>
      <c r="BP2" s="370"/>
      <c r="BQ2" s="370"/>
      <c r="BR2" s="370"/>
      <c r="BS2" s="370"/>
      <c r="BT2" s="370"/>
      <c r="BU2" s="370"/>
      <c r="BV2" s="370"/>
      <c r="BW2" s="370"/>
      <c r="BX2" s="370"/>
      <c r="BY2" s="370"/>
      <c r="BZ2" s="370"/>
      <c r="CA2" s="370"/>
      <c r="CB2" s="370"/>
      <c r="CC2" s="370"/>
      <c r="CD2" s="370"/>
      <c r="CE2" s="370"/>
      <c r="CF2" s="370"/>
      <c r="CG2" s="370"/>
    </row>
    <row r="3" spans="2:87" ht="15" thickBot="1" x14ac:dyDescent="0.35"/>
    <row r="4" spans="2:87" s="112" customFormat="1" ht="15" thickBot="1" x14ac:dyDescent="0.35">
      <c r="B4" s="414"/>
      <c r="C4" s="415"/>
      <c r="D4" s="416"/>
      <c r="E4" s="420" t="s">
        <v>791</v>
      </c>
      <c r="F4" s="407"/>
      <c r="G4" s="407"/>
      <c r="H4" s="205" t="s">
        <v>1057</v>
      </c>
      <c r="I4" s="407" t="s">
        <v>792</v>
      </c>
      <c r="J4" s="407"/>
      <c r="K4" s="407"/>
      <c r="L4" s="407" t="s">
        <v>793</v>
      </c>
      <c r="M4" s="407"/>
      <c r="N4" s="407"/>
      <c r="O4" s="407" t="s">
        <v>794</v>
      </c>
      <c r="P4" s="407"/>
      <c r="Q4" s="407"/>
      <c r="R4" s="407" t="s">
        <v>795</v>
      </c>
      <c r="S4" s="407"/>
      <c r="T4" s="407"/>
      <c r="U4" s="407" t="s">
        <v>796</v>
      </c>
      <c r="V4" s="407"/>
      <c r="W4" s="407"/>
      <c r="X4" s="407" t="s">
        <v>797</v>
      </c>
      <c r="Y4" s="407"/>
      <c r="Z4" s="407"/>
      <c r="AA4" s="407" t="s">
        <v>798</v>
      </c>
      <c r="AB4" s="407"/>
      <c r="AC4" s="407"/>
      <c r="AD4" s="407" t="s">
        <v>791</v>
      </c>
      <c r="AE4" s="407"/>
      <c r="AF4" s="407"/>
      <c r="AG4" s="407" t="s">
        <v>792</v>
      </c>
      <c r="AH4" s="407"/>
      <c r="AI4" s="407"/>
      <c r="AJ4" s="407" t="s">
        <v>793</v>
      </c>
      <c r="AK4" s="407"/>
      <c r="AL4" s="407"/>
      <c r="AM4" s="406" t="s">
        <v>794</v>
      </c>
      <c r="AN4" s="406"/>
      <c r="AO4" s="406"/>
      <c r="AP4" s="406" t="s">
        <v>795</v>
      </c>
      <c r="AQ4" s="406"/>
      <c r="AR4" s="406"/>
      <c r="AS4" s="406" t="s">
        <v>796</v>
      </c>
      <c r="AT4" s="406"/>
      <c r="AU4" s="406"/>
      <c r="AV4" s="406" t="s">
        <v>797</v>
      </c>
      <c r="AW4" s="406"/>
      <c r="AX4" s="406"/>
      <c r="AY4" s="406" t="s">
        <v>798</v>
      </c>
      <c r="AZ4" s="406"/>
      <c r="BA4" s="406"/>
      <c r="BB4" s="147" t="s">
        <v>799</v>
      </c>
      <c r="BC4" s="148"/>
      <c r="BD4" s="148"/>
      <c r="BE4" s="148"/>
      <c r="BF4" s="148"/>
      <c r="BG4" s="148"/>
      <c r="BH4" s="148"/>
      <c r="BI4" s="148"/>
      <c r="BJ4" s="147" t="s">
        <v>800</v>
      </c>
      <c r="BK4" s="148"/>
      <c r="BL4" s="148"/>
      <c r="BM4" s="148"/>
      <c r="BN4" s="148"/>
      <c r="BO4" s="148"/>
      <c r="BP4" s="148"/>
      <c r="BQ4" s="149"/>
      <c r="BR4" s="150" t="s">
        <v>1067</v>
      </c>
      <c r="BS4" s="151"/>
      <c r="BT4" s="151"/>
      <c r="BU4" s="151"/>
      <c r="BV4" s="151"/>
      <c r="BW4" s="151"/>
      <c r="BX4" s="151"/>
      <c r="BY4" s="151"/>
      <c r="BZ4" s="150" t="s">
        <v>1068</v>
      </c>
      <c r="CA4" s="151"/>
      <c r="CB4" s="151"/>
      <c r="CC4" s="151"/>
      <c r="CD4" s="151"/>
      <c r="CE4" s="151"/>
      <c r="CF4" s="151"/>
      <c r="CG4" s="295"/>
      <c r="CI4" s="112" t="s">
        <v>801</v>
      </c>
    </row>
    <row r="5" spans="2:87" s="112" customFormat="1" ht="15" thickBot="1" x14ac:dyDescent="0.35">
      <c r="B5" s="417"/>
      <c r="C5" s="418"/>
      <c r="D5" s="419"/>
      <c r="E5" s="152">
        <v>1</v>
      </c>
      <c r="F5" s="153">
        <v>2</v>
      </c>
      <c r="G5" s="153">
        <v>3</v>
      </c>
      <c r="H5" s="153"/>
      <c r="I5" s="153">
        <v>1</v>
      </c>
      <c r="J5" s="153">
        <v>2</v>
      </c>
      <c r="K5" s="153">
        <v>3</v>
      </c>
      <c r="L5" s="153">
        <v>1</v>
      </c>
      <c r="M5" s="153">
        <v>2</v>
      </c>
      <c r="N5" s="153">
        <v>3</v>
      </c>
      <c r="O5" s="153">
        <v>1</v>
      </c>
      <c r="P5" s="153">
        <v>2</v>
      </c>
      <c r="Q5" s="153">
        <v>3</v>
      </c>
      <c r="R5" s="153">
        <v>1</v>
      </c>
      <c r="S5" s="153">
        <v>2</v>
      </c>
      <c r="T5" s="153">
        <v>3</v>
      </c>
      <c r="U5" s="153">
        <v>1</v>
      </c>
      <c r="V5" s="153">
        <v>2</v>
      </c>
      <c r="W5" s="153">
        <v>3</v>
      </c>
      <c r="X5" s="153">
        <v>1</v>
      </c>
      <c r="Y5" s="153">
        <v>2</v>
      </c>
      <c r="Z5" s="153">
        <v>3</v>
      </c>
      <c r="AA5" s="153">
        <v>1</v>
      </c>
      <c r="AB5" s="153">
        <v>2</v>
      </c>
      <c r="AC5" s="153">
        <v>3</v>
      </c>
      <c r="AD5" s="153">
        <v>1</v>
      </c>
      <c r="AE5" s="153">
        <v>2</v>
      </c>
      <c r="AF5" s="153">
        <v>3</v>
      </c>
      <c r="AG5" s="153">
        <v>1</v>
      </c>
      <c r="AH5" s="153">
        <v>2</v>
      </c>
      <c r="AI5" s="153">
        <v>3</v>
      </c>
      <c r="AJ5" s="153">
        <v>1</v>
      </c>
      <c r="AK5" s="153">
        <v>2</v>
      </c>
      <c r="AL5" s="153">
        <v>3</v>
      </c>
      <c r="AM5" s="153">
        <v>1</v>
      </c>
      <c r="AN5" s="153">
        <v>2</v>
      </c>
      <c r="AO5" s="153">
        <v>3</v>
      </c>
      <c r="AP5" s="153">
        <v>1</v>
      </c>
      <c r="AQ5" s="153">
        <v>2</v>
      </c>
      <c r="AR5" s="153">
        <v>3</v>
      </c>
      <c r="AS5" s="153">
        <v>1</v>
      </c>
      <c r="AT5" s="153">
        <v>2</v>
      </c>
      <c r="AU5" s="153">
        <v>3</v>
      </c>
      <c r="AV5" s="153">
        <v>1</v>
      </c>
      <c r="AW5" s="153">
        <v>2</v>
      </c>
      <c r="AX5" s="153">
        <v>3</v>
      </c>
      <c r="AY5" s="153">
        <v>1</v>
      </c>
      <c r="AZ5" s="153">
        <v>2</v>
      </c>
      <c r="BA5" s="153">
        <v>3</v>
      </c>
      <c r="BB5" s="118">
        <v>0</v>
      </c>
      <c r="BC5" s="119">
        <v>2</v>
      </c>
      <c r="BD5" s="119">
        <v>4</v>
      </c>
      <c r="BE5" s="119">
        <v>6</v>
      </c>
      <c r="BF5" s="119">
        <v>8</v>
      </c>
      <c r="BG5" s="119">
        <v>10</v>
      </c>
      <c r="BH5" s="119">
        <v>12</v>
      </c>
      <c r="BI5" s="119">
        <v>14</v>
      </c>
      <c r="BJ5" s="118">
        <v>0</v>
      </c>
      <c r="BK5" s="119">
        <v>2</v>
      </c>
      <c r="BL5" s="119">
        <v>4</v>
      </c>
      <c r="BM5" s="119">
        <v>6</v>
      </c>
      <c r="BN5" s="119">
        <v>8</v>
      </c>
      <c r="BO5" s="119">
        <v>10</v>
      </c>
      <c r="BP5" s="119">
        <v>12</v>
      </c>
      <c r="BQ5" s="120">
        <v>14</v>
      </c>
      <c r="BR5" s="154">
        <v>0</v>
      </c>
      <c r="BS5" s="155">
        <v>2</v>
      </c>
      <c r="BT5" s="155">
        <v>4</v>
      </c>
      <c r="BU5" s="155">
        <v>6</v>
      </c>
      <c r="BV5" s="155">
        <v>8</v>
      </c>
      <c r="BW5" s="155">
        <v>10</v>
      </c>
      <c r="BX5" s="155">
        <v>12</v>
      </c>
      <c r="BY5" s="155">
        <v>14</v>
      </c>
      <c r="BZ5" s="154">
        <v>0</v>
      </c>
      <c r="CA5" s="155">
        <v>2</v>
      </c>
      <c r="CB5" s="155">
        <v>4</v>
      </c>
      <c r="CC5" s="155">
        <v>6</v>
      </c>
      <c r="CD5" s="155">
        <v>8</v>
      </c>
      <c r="CE5" s="155">
        <v>10</v>
      </c>
      <c r="CF5" s="155">
        <v>12</v>
      </c>
      <c r="CG5" s="296">
        <v>14</v>
      </c>
    </row>
    <row r="6" spans="2:87" ht="15" customHeight="1" x14ac:dyDescent="0.3">
      <c r="B6" s="408">
        <v>1</v>
      </c>
      <c r="C6" s="411" t="s">
        <v>28</v>
      </c>
      <c r="D6" s="76" t="s">
        <v>802</v>
      </c>
      <c r="E6" s="77">
        <v>12</v>
      </c>
      <c r="F6" s="77">
        <v>12</v>
      </c>
      <c r="G6" s="78">
        <v>12</v>
      </c>
      <c r="H6" s="77">
        <f t="shared" ref="H6:H62" si="0">SUM(E6:G6)</f>
        <v>36</v>
      </c>
      <c r="I6" s="79">
        <v>7</v>
      </c>
      <c r="J6" s="79">
        <v>7</v>
      </c>
      <c r="K6" s="78">
        <v>9</v>
      </c>
      <c r="L6" s="79">
        <v>5</v>
      </c>
      <c r="M6" s="79">
        <v>3</v>
      </c>
      <c r="N6" s="78">
        <v>7</v>
      </c>
      <c r="O6" s="79">
        <v>5</v>
      </c>
      <c r="P6" s="79">
        <v>0</v>
      </c>
      <c r="Q6" s="78">
        <v>4</v>
      </c>
      <c r="R6" s="79">
        <v>0</v>
      </c>
      <c r="S6" s="79">
        <v>0</v>
      </c>
      <c r="T6" s="78">
        <v>2</v>
      </c>
      <c r="U6" s="79">
        <v>0</v>
      </c>
      <c r="V6" s="79">
        <v>0</v>
      </c>
      <c r="W6" s="78">
        <v>0</v>
      </c>
      <c r="X6" s="79">
        <v>0</v>
      </c>
      <c r="Y6" s="79">
        <v>0</v>
      </c>
      <c r="Z6" s="78">
        <v>0</v>
      </c>
      <c r="AA6" s="79">
        <v>0</v>
      </c>
      <c r="AB6" s="79">
        <v>0</v>
      </c>
      <c r="AC6" s="78">
        <v>0</v>
      </c>
      <c r="AD6" s="77">
        <f t="shared" ref="AD6:AD61" si="1">100/E6*E6</f>
        <v>100</v>
      </c>
      <c r="AE6" s="77">
        <f t="shared" ref="AE6:AE61" si="2">100/F6*F6</f>
        <v>100</v>
      </c>
      <c r="AF6" s="78">
        <f t="shared" ref="AF6:AF61" si="3">100/G6*G6</f>
        <v>100</v>
      </c>
      <c r="AG6" s="77">
        <f t="shared" ref="AG6:AG61" si="4">100/E6*I6</f>
        <v>58.333333333333336</v>
      </c>
      <c r="AH6" s="77">
        <f t="shared" ref="AH6:AH61" si="5">100/F6*J6</f>
        <v>58.333333333333336</v>
      </c>
      <c r="AI6" s="78">
        <f t="shared" ref="AI6:AI61" si="6">100/G6*K6</f>
        <v>75</v>
      </c>
      <c r="AJ6" s="77">
        <f t="shared" ref="AJ6:AJ61" si="7">100/E6*L6</f>
        <v>41.666666666666671</v>
      </c>
      <c r="AK6" s="77">
        <f t="shared" ref="AK6:AK61" si="8">100/F6*M6</f>
        <v>25</v>
      </c>
      <c r="AL6" s="78">
        <f t="shared" ref="AL6:AL61" si="9">100/G6*N6</f>
        <v>58.333333333333336</v>
      </c>
      <c r="AM6" s="77">
        <f t="shared" ref="AM6:AM61" si="10">100/E6*O6</f>
        <v>41.666666666666671</v>
      </c>
      <c r="AN6" s="77">
        <f t="shared" ref="AN6:AN61" si="11">100/F6*P6</f>
        <v>0</v>
      </c>
      <c r="AO6" s="78">
        <f t="shared" ref="AO6:AO61" si="12">100/G6*Q6</f>
        <v>33.333333333333336</v>
      </c>
      <c r="AP6" s="77">
        <f t="shared" ref="AP6:AP61" si="13">100/E6*R6</f>
        <v>0</v>
      </c>
      <c r="AQ6" s="77">
        <f t="shared" ref="AQ6:AQ61" si="14">100/F6*S6</f>
        <v>0</v>
      </c>
      <c r="AR6" s="78">
        <f t="shared" ref="AR6:AR61" si="15">100/G6*T6</f>
        <v>16.666666666666668</v>
      </c>
      <c r="AS6" s="77">
        <f t="shared" ref="AS6:AS61" si="16">100/E6*U6</f>
        <v>0</v>
      </c>
      <c r="AT6" s="77">
        <f t="shared" ref="AT6:AT61" si="17">100/F6*V6</f>
        <v>0</v>
      </c>
      <c r="AU6" s="78">
        <f t="shared" ref="AU6:AU61" si="18">100/G6*W6</f>
        <v>0</v>
      </c>
      <c r="AV6" s="77">
        <f t="shared" ref="AV6:AV61" si="19">100/E6*X6</f>
        <v>0</v>
      </c>
      <c r="AW6" s="77">
        <f t="shared" ref="AW6:AW61" si="20">100/F6*Y6</f>
        <v>0</v>
      </c>
      <c r="AX6" s="78">
        <f t="shared" ref="AX6:AX61" si="21">100/G6*Z6</f>
        <v>0</v>
      </c>
      <c r="AY6" s="77">
        <f t="shared" ref="AY6:AY61" si="22">100/E6*AA6</f>
        <v>0</v>
      </c>
      <c r="AZ6" s="77">
        <f t="shared" ref="AZ6:AZ61" si="23">100/F6*AB6</f>
        <v>0</v>
      </c>
      <c r="BA6" s="78">
        <f t="shared" ref="BA6:BA61" si="24">100/G6*AC6</f>
        <v>0</v>
      </c>
      <c r="BB6" s="80">
        <f t="shared" ref="BB6:BB61" si="25">STDEV(AD6:AF6)</f>
        <v>0</v>
      </c>
      <c r="BC6" s="77">
        <f t="shared" ref="BC6:BC61" si="26">STDEV(AG6:AI6)</f>
        <v>9.6225044864936926</v>
      </c>
      <c r="BD6" s="77">
        <f t="shared" ref="BD6:BD61" si="27">STDEV(AJ6:AL6)</f>
        <v>16.666666666666668</v>
      </c>
      <c r="BE6" s="77">
        <f t="shared" ref="BE6:BE61" si="28">STDEV(AM6:AO6)</f>
        <v>22.047927592204925</v>
      </c>
      <c r="BF6" s="77">
        <f t="shared" ref="BF6:BF61" si="29">STDEV(AP6:AR6)</f>
        <v>9.6225044864937637</v>
      </c>
      <c r="BG6" s="77">
        <f t="shared" ref="BG6:BG61" si="30">STDEV(AS6:AU6)</f>
        <v>0</v>
      </c>
      <c r="BH6" s="77">
        <f t="shared" ref="BH6:BH61" si="31">STDEV(AV6:AX6)</f>
        <v>0</v>
      </c>
      <c r="BI6" s="77">
        <f t="shared" ref="BI6:BI61" si="32">STDEV(AY6:BA6)</f>
        <v>0</v>
      </c>
      <c r="BJ6" s="80">
        <f>BB6/SQRT($H6)</f>
        <v>0</v>
      </c>
      <c r="BK6" s="77">
        <f t="shared" ref="BK6:BK62" si="33">BC6/SQRT($H6)</f>
        <v>1.6037507477489488</v>
      </c>
      <c r="BL6" s="77">
        <f t="shared" ref="BL6:BL62" si="34">BD6/SQRT($H6)</f>
        <v>2.7777777777777781</v>
      </c>
      <c r="BM6" s="77">
        <f t="shared" ref="BM6:BM62" si="35">BE6/SQRT($H6)</f>
        <v>3.6746545987008208</v>
      </c>
      <c r="BN6" s="77">
        <f t="shared" ref="BN6:BN62" si="36">BF6/SQRT($H6)</f>
        <v>1.6037507477489605</v>
      </c>
      <c r="BO6" s="77">
        <f t="shared" ref="BO6:BO62" si="37">BG6/SQRT($H6)</f>
        <v>0</v>
      </c>
      <c r="BP6" s="77">
        <f t="shared" ref="BP6:BP62" si="38">BH6/SQRT($H6)</f>
        <v>0</v>
      </c>
      <c r="BQ6" s="92">
        <f t="shared" ref="BQ6:BQ62" si="39">BI6/SQRT($H6)</f>
        <v>0</v>
      </c>
      <c r="BR6" s="81">
        <f t="shared" ref="BR6:BR61" si="40">AVERAGE(AD6:AF6)</f>
        <v>100</v>
      </c>
      <c r="BS6" s="79">
        <f t="shared" ref="BS6:BS61" si="41">AVERAGE(AG6:AI6)</f>
        <v>63.888888888888893</v>
      </c>
      <c r="BT6" s="79">
        <f t="shared" ref="BT6:BT61" si="42">AVERAGE(AJ6:AL6)</f>
        <v>41.666666666666664</v>
      </c>
      <c r="BU6" s="79">
        <f t="shared" ref="BU6:BU61" si="43">AVERAGE(AM6:AO6)</f>
        <v>25</v>
      </c>
      <c r="BV6" s="79">
        <f t="shared" ref="BV6:BV13" si="44">AVERAGE(AP6:AR6)</f>
        <v>5.5555555555555562</v>
      </c>
      <c r="BW6" s="79">
        <f t="shared" ref="BW6:BW13" si="45">AVERAGE(AS6:AU6)</f>
        <v>0</v>
      </c>
      <c r="BX6" s="79">
        <f>AVERAGE(AT6:AV6)</f>
        <v>0</v>
      </c>
      <c r="BY6" s="79">
        <f>AVERAGE(AU6:AW6)</f>
        <v>0</v>
      </c>
      <c r="BZ6" s="81">
        <f t="shared" ref="BZ6:CG29" si="46">100-BR6</f>
        <v>0</v>
      </c>
      <c r="CA6" s="79">
        <f t="shared" si="46"/>
        <v>36.111111111111107</v>
      </c>
      <c r="CB6" s="79">
        <f t="shared" si="46"/>
        <v>58.333333333333336</v>
      </c>
      <c r="CC6" s="79">
        <f t="shared" si="46"/>
        <v>75</v>
      </c>
      <c r="CD6" s="79">
        <f t="shared" si="46"/>
        <v>94.444444444444443</v>
      </c>
      <c r="CE6" s="79">
        <f t="shared" si="46"/>
        <v>100</v>
      </c>
      <c r="CF6" s="79">
        <f t="shared" si="46"/>
        <v>100</v>
      </c>
      <c r="CG6" s="264">
        <f t="shared" si="46"/>
        <v>100</v>
      </c>
    </row>
    <row r="7" spans="2:87" x14ac:dyDescent="0.3">
      <c r="B7" s="409"/>
      <c r="C7" s="412"/>
      <c r="D7" s="70" t="s">
        <v>803</v>
      </c>
      <c r="E7" s="65">
        <v>12</v>
      </c>
      <c r="F7" s="65">
        <v>12</v>
      </c>
      <c r="G7" s="66">
        <v>12</v>
      </c>
      <c r="H7" s="65">
        <f t="shared" si="0"/>
        <v>36</v>
      </c>
      <c r="I7" s="67">
        <v>8</v>
      </c>
      <c r="J7" s="67">
        <v>9</v>
      </c>
      <c r="K7" s="66">
        <v>8</v>
      </c>
      <c r="L7" s="67">
        <v>5</v>
      </c>
      <c r="M7" s="67">
        <v>6</v>
      </c>
      <c r="N7" s="66">
        <v>2</v>
      </c>
      <c r="O7" s="67">
        <v>4</v>
      </c>
      <c r="P7" s="67">
        <v>6</v>
      </c>
      <c r="Q7" s="66">
        <v>2</v>
      </c>
      <c r="R7" s="67">
        <v>2</v>
      </c>
      <c r="S7" s="67">
        <v>4</v>
      </c>
      <c r="T7" s="66">
        <v>1</v>
      </c>
      <c r="U7" s="67">
        <v>0</v>
      </c>
      <c r="V7" s="67">
        <v>0</v>
      </c>
      <c r="W7" s="66">
        <v>0</v>
      </c>
      <c r="X7" s="67">
        <v>0</v>
      </c>
      <c r="Y7" s="67">
        <v>0</v>
      </c>
      <c r="Z7" s="66">
        <v>0</v>
      </c>
      <c r="AA7" s="67">
        <v>0</v>
      </c>
      <c r="AB7" s="67">
        <v>0</v>
      </c>
      <c r="AC7" s="66">
        <v>0</v>
      </c>
      <c r="AD7" s="65">
        <f t="shared" si="1"/>
        <v>100</v>
      </c>
      <c r="AE7" s="65">
        <f t="shared" si="2"/>
        <v>100</v>
      </c>
      <c r="AF7" s="66">
        <f t="shared" si="3"/>
        <v>100</v>
      </c>
      <c r="AG7" s="65">
        <f t="shared" si="4"/>
        <v>66.666666666666671</v>
      </c>
      <c r="AH7" s="65">
        <f t="shared" si="5"/>
        <v>75</v>
      </c>
      <c r="AI7" s="66">
        <f t="shared" si="6"/>
        <v>66.666666666666671</v>
      </c>
      <c r="AJ7" s="65">
        <f t="shared" si="7"/>
        <v>41.666666666666671</v>
      </c>
      <c r="AK7" s="65">
        <f t="shared" si="8"/>
        <v>50</v>
      </c>
      <c r="AL7" s="66">
        <f t="shared" si="9"/>
        <v>16.666666666666668</v>
      </c>
      <c r="AM7" s="65">
        <f t="shared" si="10"/>
        <v>33.333333333333336</v>
      </c>
      <c r="AN7" s="65">
        <f t="shared" si="11"/>
        <v>50</v>
      </c>
      <c r="AO7" s="66">
        <f t="shared" si="12"/>
        <v>16.666666666666668</v>
      </c>
      <c r="AP7" s="65">
        <f t="shared" si="13"/>
        <v>16.666666666666668</v>
      </c>
      <c r="AQ7" s="65">
        <f t="shared" si="14"/>
        <v>33.333333333333336</v>
      </c>
      <c r="AR7" s="66">
        <f t="shared" si="15"/>
        <v>8.3333333333333339</v>
      </c>
      <c r="AS7" s="65">
        <f t="shared" si="16"/>
        <v>0</v>
      </c>
      <c r="AT7" s="65">
        <f t="shared" si="17"/>
        <v>0</v>
      </c>
      <c r="AU7" s="66">
        <f t="shared" si="18"/>
        <v>0</v>
      </c>
      <c r="AV7" s="65">
        <f t="shared" si="19"/>
        <v>0</v>
      </c>
      <c r="AW7" s="65">
        <f t="shared" si="20"/>
        <v>0</v>
      </c>
      <c r="AX7" s="66">
        <f t="shared" si="21"/>
        <v>0</v>
      </c>
      <c r="AY7" s="65">
        <f t="shared" si="22"/>
        <v>0</v>
      </c>
      <c r="AZ7" s="65">
        <f t="shared" si="23"/>
        <v>0</v>
      </c>
      <c r="BA7" s="66">
        <f t="shared" si="24"/>
        <v>0</v>
      </c>
      <c r="BB7" s="68">
        <f t="shared" si="25"/>
        <v>0</v>
      </c>
      <c r="BC7" s="65">
        <f t="shared" si="26"/>
        <v>4.8112522432468792</v>
      </c>
      <c r="BD7" s="65">
        <f t="shared" si="27"/>
        <v>17.347216662217757</v>
      </c>
      <c r="BE7" s="65">
        <f t="shared" si="28"/>
        <v>16.666666666666654</v>
      </c>
      <c r="BF7" s="65">
        <f t="shared" si="29"/>
        <v>12.72937693043289</v>
      </c>
      <c r="BG7" s="65">
        <f t="shared" si="30"/>
        <v>0</v>
      </c>
      <c r="BH7" s="65">
        <f t="shared" si="31"/>
        <v>0</v>
      </c>
      <c r="BI7" s="65">
        <f t="shared" si="32"/>
        <v>0</v>
      </c>
      <c r="BJ7" s="68">
        <f t="shared" ref="BJ7:BJ62" si="47">BB7/SQRT($H7)</f>
        <v>0</v>
      </c>
      <c r="BK7" s="65">
        <f t="shared" si="33"/>
        <v>0.80187537387447982</v>
      </c>
      <c r="BL7" s="65">
        <f t="shared" si="34"/>
        <v>2.8912027770362929</v>
      </c>
      <c r="BM7" s="65">
        <f t="shared" si="35"/>
        <v>2.7777777777777755</v>
      </c>
      <c r="BN7" s="65">
        <f t="shared" si="36"/>
        <v>2.1215628217388152</v>
      </c>
      <c r="BO7" s="65">
        <f t="shared" si="37"/>
        <v>0</v>
      </c>
      <c r="BP7" s="65">
        <f t="shared" si="38"/>
        <v>0</v>
      </c>
      <c r="BQ7" s="90">
        <f t="shared" si="39"/>
        <v>0</v>
      </c>
      <c r="BR7" s="69">
        <f t="shared" si="40"/>
        <v>100</v>
      </c>
      <c r="BS7" s="67">
        <f t="shared" si="41"/>
        <v>69.444444444444457</v>
      </c>
      <c r="BT7" s="67">
        <f t="shared" si="42"/>
        <v>36.111111111111114</v>
      </c>
      <c r="BU7" s="67">
        <f t="shared" si="43"/>
        <v>33.333333333333336</v>
      </c>
      <c r="BV7" s="67">
        <f t="shared" si="44"/>
        <v>19.444444444444446</v>
      </c>
      <c r="BW7" s="67">
        <f t="shared" si="45"/>
        <v>0</v>
      </c>
      <c r="BX7" s="67">
        <f>AVERAGE(AT7:AV7)</f>
        <v>0</v>
      </c>
      <c r="BY7" s="67">
        <f>AVERAGE(AU7:AW7)</f>
        <v>0</v>
      </c>
      <c r="BZ7" s="69">
        <f t="shared" si="46"/>
        <v>0</v>
      </c>
      <c r="CA7" s="67">
        <f t="shared" si="46"/>
        <v>30.555555555555543</v>
      </c>
      <c r="CB7" s="67">
        <f t="shared" si="46"/>
        <v>63.888888888888886</v>
      </c>
      <c r="CC7" s="67">
        <f t="shared" si="46"/>
        <v>66.666666666666657</v>
      </c>
      <c r="CD7" s="67">
        <f t="shared" si="46"/>
        <v>80.555555555555557</v>
      </c>
      <c r="CE7" s="67">
        <f t="shared" si="46"/>
        <v>100</v>
      </c>
      <c r="CF7" s="67">
        <f t="shared" si="46"/>
        <v>100</v>
      </c>
      <c r="CG7" s="116">
        <f t="shared" si="46"/>
        <v>100</v>
      </c>
    </row>
    <row r="8" spans="2:87" x14ac:dyDescent="0.3">
      <c r="B8" s="409"/>
      <c r="C8" s="412"/>
      <c r="D8" s="70" t="s">
        <v>804</v>
      </c>
      <c r="E8" s="65">
        <v>12</v>
      </c>
      <c r="F8" s="65">
        <v>12</v>
      </c>
      <c r="G8" s="66">
        <v>12</v>
      </c>
      <c r="H8" s="65">
        <f t="shared" si="0"/>
        <v>36</v>
      </c>
      <c r="I8" s="67">
        <v>10</v>
      </c>
      <c r="J8" s="67">
        <v>8</v>
      </c>
      <c r="K8" s="66">
        <v>9</v>
      </c>
      <c r="L8" s="67">
        <v>7</v>
      </c>
      <c r="M8" s="67">
        <v>3</v>
      </c>
      <c r="N8" s="66">
        <v>5</v>
      </c>
      <c r="O8" s="67">
        <v>4</v>
      </c>
      <c r="P8" s="67">
        <v>3</v>
      </c>
      <c r="Q8" s="66">
        <v>5</v>
      </c>
      <c r="R8" s="67">
        <v>3</v>
      </c>
      <c r="S8" s="67">
        <v>3</v>
      </c>
      <c r="T8" s="66">
        <v>4</v>
      </c>
      <c r="U8" s="67">
        <v>3</v>
      </c>
      <c r="V8" s="67">
        <v>3</v>
      </c>
      <c r="W8" s="66">
        <v>4</v>
      </c>
      <c r="X8" s="67">
        <v>3</v>
      </c>
      <c r="Y8" s="67">
        <v>3</v>
      </c>
      <c r="Z8" s="66">
        <v>4</v>
      </c>
      <c r="AA8" s="67">
        <v>2</v>
      </c>
      <c r="AB8" s="67">
        <v>2</v>
      </c>
      <c r="AC8" s="66">
        <v>4</v>
      </c>
      <c r="AD8" s="65">
        <f t="shared" si="1"/>
        <v>100</v>
      </c>
      <c r="AE8" s="65">
        <f t="shared" si="2"/>
        <v>100</v>
      </c>
      <c r="AF8" s="66">
        <f t="shared" si="3"/>
        <v>100</v>
      </c>
      <c r="AG8" s="65">
        <f t="shared" si="4"/>
        <v>83.333333333333343</v>
      </c>
      <c r="AH8" s="65">
        <f t="shared" si="5"/>
        <v>66.666666666666671</v>
      </c>
      <c r="AI8" s="66">
        <f t="shared" si="6"/>
        <v>75</v>
      </c>
      <c r="AJ8" s="65">
        <f t="shared" si="7"/>
        <v>58.333333333333336</v>
      </c>
      <c r="AK8" s="65">
        <f t="shared" si="8"/>
        <v>25</v>
      </c>
      <c r="AL8" s="66">
        <f t="shared" si="9"/>
        <v>41.666666666666671</v>
      </c>
      <c r="AM8" s="65">
        <f t="shared" si="10"/>
        <v>33.333333333333336</v>
      </c>
      <c r="AN8" s="65">
        <f t="shared" si="11"/>
        <v>25</v>
      </c>
      <c r="AO8" s="66">
        <f t="shared" si="12"/>
        <v>41.666666666666671</v>
      </c>
      <c r="AP8" s="65">
        <f t="shared" si="13"/>
        <v>25</v>
      </c>
      <c r="AQ8" s="65">
        <f t="shared" si="14"/>
        <v>25</v>
      </c>
      <c r="AR8" s="66">
        <f t="shared" si="15"/>
        <v>33.333333333333336</v>
      </c>
      <c r="AS8" s="65">
        <f t="shared" si="16"/>
        <v>25</v>
      </c>
      <c r="AT8" s="65">
        <f t="shared" si="17"/>
        <v>25</v>
      </c>
      <c r="AU8" s="66">
        <f t="shared" si="18"/>
        <v>33.333333333333336</v>
      </c>
      <c r="AV8" s="65">
        <f t="shared" si="19"/>
        <v>25</v>
      </c>
      <c r="AW8" s="65">
        <f t="shared" si="20"/>
        <v>25</v>
      </c>
      <c r="AX8" s="66">
        <f t="shared" si="21"/>
        <v>33.333333333333336</v>
      </c>
      <c r="AY8" s="65">
        <f t="shared" si="22"/>
        <v>16.666666666666668</v>
      </c>
      <c r="AZ8" s="65">
        <f t="shared" si="23"/>
        <v>16.666666666666668</v>
      </c>
      <c r="BA8" s="66">
        <f t="shared" si="24"/>
        <v>33.333333333333336</v>
      </c>
      <c r="BB8" s="68">
        <f t="shared" si="25"/>
        <v>0</v>
      </c>
      <c r="BC8" s="65">
        <f t="shared" si="26"/>
        <v>8.3333333333333357</v>
      </c>
      <c r="BD8" s="65">
        <f t="shared" si="27"/>
        <v>16.666666666666654</v>
      </c>
      <c r="BE8" s="65">
        <f t="shared" si="28"/>
        <v>8.333333333333341</v>
      </c>
      <c r="BF8" s="65">
        <f t="shared" si="29"/>
        <v>4.8112522432468703</v>
      </c>
      <c r="BG8" s="65">
        <f t="shared" si="30"/>
        <v>4.8112522432468703</v>
      </c>
      <c r="BH8" s="65">
        <f t="shared" si="31"/>
        <v>4.8112522432468703</v>
      </c>
      <c r="BI8" s="65">
        <f t="shared" si="32"/>
        <v>9.6225044864937637</v>
      </c>
      <c r="BJ8" s="68">
        <f t="shared" si="47"/>
        <v>0</v>
      </c>
      <c r="BK8" s="65">
        <f t="shared" si="33"/>
        <v>1.3888888888888893</v>
      </c>
      <c r="BL8" s="65">
        <f t="shared" si="34"/>
        <v>2.7777777777777755</v>
      </c>
      <c r="BM8" s="65">
        <f t="shared" si="35"/>
        <v>1.3888888888888902</v>
      </c>
      <c r="BN8" s="65">
        <f t="shared" si="36"/>
        <v>0.80187537387447838</v>
      </c>
      <c r="BO8" s="65">
        <f t="shared" si="37"/>
        <v>0.80187537387447838</v>
      </c>
      <c r="BP8" s="65">
        <f t="shared" si="38"/>
        <v>0.80187537387447838</v>
      </c>
      <c r="BQ8" s="90">
        <f t="shared" si="39"/>
        <v>1.6037507477489605</v>
      </c>
      <c r="BR8" s="69">
        <f t="shared" si="40"/>
        <v>100</v>
      </c>
      <c r="BS8" s="67">
        <f t="shared" si="41"/>
        <v>75</v>
      </c>
      <c r="BT8" s="67">
        <f t="shared" si="42"/>
        <v>41.666666666666671</v>
      </c>
      <c r="BU8" s="67">
        <f t="shared" si="43"/>
        <v>33.333333333333336</v>
      </c>
      <c r="BV8" s="67">
        <f t="shared" si="44"/>
        <v>27.777777777777782</v>
      </c>
      <c r="BW8" s="67">
        <f t="shared" si="45"/>
        <v>27.777777777777782</v>
      </c>
      <c r="BX8" s="67">
        <f t="shared" ref="BX8:BX13" si="48">AVERAGE(AV8:AX8)</f>
        <v>27.777777777777782</v>
      </c>
      <c r="BY8" s="67">
        <f t="shared" ref="BY8:BY13" si="49">AVERAGE(AY8:BA8)</f>
        <v>22.222222222222225</v>
      </c>
      <c r="BZ8" s="69">
        <f t="shared" si="46"/>
        <v>0</v>
      </c>
      <c r="CA8" s="67">
        <f t="shared" si="46"/>
        <v>25</v>
      </c>
      <c r="CB8" s="67">
        <f t="shared" si="46"/>
        <v>58.333333333333329</v>
      </c>
      <c r="CC8" s="67">
        <f t="shared" si="46"/>
        <v>66.666666666666657</v>
      </c>
      <c r="CD8" s="67">
        <f t="shared" si="46"/>
        <v>72.222222222222214</v>
      </c>
      <c r="CE8" s="67">
        <f t="shared" si="46"/>
        <v>72.222222222222214</v>
      </c>
      <c r="CF8" s="67">
        <f t="shared" si="46"/>
        <v>72.222222222222214</v>
      </c>
      <c r="CG8" s="116">
        <f t="shared" si="46"/>
        <v>77.777777777777771</v>
      </c>
    </row>
    <row r="9" spans="2:87" x14ac:dyDescent="0.3">
      <c r="B9" s="410"/>
      <c r="C9" s="413"/>
      <c r="D9" s="70" t="s">
        <v>805</v>
      </c>
      <c r="E9" s="71">
        <v>12</v>
      </c>
      <c r="F9" s="71">
        <v>12</v>
      </c>
      <c r="G9" s="72">
        <v>12</v>
      </c>
      <c r="H9" s="71">
        <f t="shared" si="0"/>
        <v>36</v>
      </c>
      <c r="I9" s="73">
        <v>9</v>
      </c>
      <c r="J9" s="73">
        <v>10</v>
      </c>
      <c r="K9" s="72">
        <v>10</v>
      </c>
      <c r="L9" s="73">
        <v>5</v>
      </c>
      <c r="M9" s="73">
        <v>7</v>
      </c>
      <c r="N9" s="72">
        <v>7</v>
      </c>
      <c r="O9" s="73">
        <v>5</v>
      </c>
      <c r="P9" s="73">
        <v>7</v>
      </c>
      <c r="Q9" s="72">
        <v>7</v>
      </c>
      <c r="R9" s="73">
        <v>4</v>
      </c>
      <c r="S9" s="73">
        <v>7</v>
      </c>
      <c r="T9" s="72">
        <v>7</v>
      </c>
      <c r="U9" s="73">
        <v>3</v>
      </c>
      <c r="V9" s="73">
        <v>7</v>
      </c>
      <c r="W9" s="72">
        <v>7</v>
      </c>
      <c r="X9" s="73">
        <v>3</v>
      </c>
      <c r="Y9" s="73">
        <v>7</v>
      </c>
      <c r="Z9" s="72">
        <v>6</v>
      </c>
      <c r="AA9" s="73">
        <v>3</v>
      </c>
      <c r="AB9" s="73">
        <v>7</v>
      </c>
      <c r="AC9" s="72">
        <v>5</v>
      </c>
      <c r="AD9" s="71">
        <f t="shared" si="1"/>
        <v>100</v>
      </c>
      <c r="AE9" s="71">
        <f t="shared" si="2"/>
        <v>100</v>
      </c>
      <c r="AF9" s="72">
        <f t="shared" si="3"/>
        <v>100</v>
      </c>
      <c r="AG9" s="71">
        <f t="shared" si="4"/>
        <v>75</v>
      </c>
      <c r="AH9" s="71">
        <f t="shared" si="5"/>
        <v>83.333333333333343</v>
      </c>
      <c r="AI9" s="72">
        <f t="shared" si="6"/>
        <v>83.333333333333343</v>
      </c>
      <c r="AJ9" s="71">
        <f t="shared" si="7"/>
        <v>41.666666666666671</v>
      </c>
      <c r="AK9" s="71">
        <f t="shared" si="8"/>
        <v>58.333333333333336</v>
      </c>
      <c r="AL9" s="72">
        <f t="shared" si="9"/>
        <v>58.333333333333336</v>
      </c>
      <c r="AM9" s="71">
        <f t="shared" si="10"/>
        <v>41.666666666666671</v>
      </c>
      <c r="AN9" s="71">
        <f t="shared" si="11"/>
        <v>58.333333333333336</v>
      </c>
      <c r="AO9" s="72">
        <f t="shared" si="12"/>
        <v>58.333333333333336</v>
      </c>
      <c r="AP9" s="71">
        <f t="shared" si="13"/>
        <v>33.333333333333336</v>
      </c>
      <c r="AQ9" s="71">
        <f t="shared" si="14"/>
        <v>58.333333333333336</v>
      </c>
      <c r="AR9" s="72">
        <f t="shared" si="15"/>
        <v>58.333333333333336</v>
      </c>
      <c r="AS9" s="71">
        <f t="shared" si="16"/>
        <v>25</v>
      </c>
      <c r="AT9" s="71">
        <f t="shared" si="17"/>
        <v>58.333333333333336</v>
      </c>
      <c r="AU9" s="72">
        <f t="shared" si="18"/>
        <v>58.333333333333336</v>
      </c>
      <c r="AV9" s="71">
        <f t="shared" si="19"/>
        <v>25</v>
      </c>
      <c r="AW9" s="71">
        <f t="shared" si="20"/>
        <v>58.333333333333336</v>
      </c>
      <c r="AX9" s="72">
        <f t="shared" si="21"/>
        <v>50</v>
      </c>
      <c r="AY9" s="71">
        <f t="shared" si="22"/>
        <v>25</v>
      </c>
      <c r="AZ9" s="71">
        <f t="shared" si="23"/>
        <v>58.333333333333336</v>
      </c>
      <c r="BA9" s="72">
        <f t="shared" si="24"/>
        <v>41.666666666666671</v>
      </c>
      <c r="BB9" s="74">
        <f t="shared" si="25"/>
        <v>0</v>
      </c>
      <c r="BC9" s="71">
        <f t="shared" si="26"/>
        <v>4.8112522432468872</v>
      </c>
      <c r="BD9" s="71">
        <f t="shared" si="27"/>
        <v>9.6225044864937406</v>
      </c>
      <c r="BE9" s="71">
        <f t="shared" si="28"/>
        <v>9.6225044864937406</v>
      </c>
      <c r="BF9" s="71">
        <f t="shared" si="29"/>
        <v>14.433756729740633</v>
      </c>
      <c r="BG9" s="71">
        <f t="shared" si="30"/>
        <v>19.245008972987502</v>
      </c>
      <c r="BH9" s="71">
        <f t="shared" si="31"/>
        <v>17.34721666221775</v>
      </c>
      <c r="BI9" s="71">
        <f t="shared" si="32"/>
        <v>16.666666666666654</v>
      </c>
      <c r="BJ9" s="74">
        <f t="shared" si="47"/>
        <v>0</v>
      </c>
      <c r="BK9" s="71">
        <f t="shared" si="33"/>
        <v>0.80187537387448116</v>
      </c>
      <c r="BL9" s="71">
        <f t="shared" si="34"/>
        <v>1.6037507477489568</v>
      </c>
      <c r="BM9" s="71">
        <f t="shared" si="35"/>
        <v>1.6037507477489568</v>
      </c>
      <c r="BN9" s="71">
        <f t="shared" si="36"/>
        <v>2.4056261216234387</v>
      </c>
      <c r="BO9" s="71">
        <f t="shared" si="37"/>
        <v>3.2075014954979171</v>
      </c>
      <c r="BP9" s="71">
        <f t="shared" si="38"/>
        <v>2.8912027770362916</v>
      </c>
      <c r="BQ9" s="91">
        <f t="shared" si="39"/>
        <v>2.7777777777777755</v>
      </c>
      <c r="BR9" s="75">
        <f t="shared" si="40"/>
        <v>100</v>
      </c>
      <c r="BS9" s="73">
        <f t="shared" si="41"/>
        <v>80.555555555555557</v>
      </c>
      <c r="BT9" s="73">
        <f t="shared" si="42"/>
        <v>52.777777777777779</v>
      </c>
      <c r="BU9" s="73">
        <f t="shared" si="43"/>
        <v>52.777777777777779</v>
      </c>
      <c r="BV9" s="73">
        <f t="shared" si="44"/>
        <v>50</v>
      </c>
      <c r="BW9" s="73">
        <f t="shared" si="45"/>
        <v>47.222222222222229</v>
      </c>
      <c r="BX9" s="73">
        <f t="shared" si="48"/>
        <v>44.44444444444445</v>
      </c>
      <c r="BY9" s="73">
        <f t="shared" si="49"/>
        <v>41.666666666666671</v>
      </c>
      <c r="BZ9" s="75">
        <f t="shared" si="46"/>
        <v>0</v>
      </c>
      <c r="CA9" s="73">
        <f t="shared" si="46"/>
        <v>19.444444444444443</v>
      </c>
      <c r="CB9" s="73">
        <f t="shared" si="46"/>
        <v>47.222222222222221</v>
      </c>
      <c r="CC9" s="73">
        <f t="shared" si="46"/>
        <v>47.222222222222221</v>
      </c>
      <c r="CD9" s="73">
        <f t="shared" si="46"/>
        <v>50</v>
      </c>
      <c r="CE9" s="73">
        <f t="shared" si="46"/>
        <v>52.777777777777771</v>
      </c>
      <c r="CF9" s="73">
        <f t="shared" si="46"/>
        <v>55.55555555555555</v>
      </c>
      <c r="CG9" s="265">
        <f t="shared" si="46"/>
        <v>58.333333333333329</v>
      </c>
    </row>
    <row r="10" spans="2:87" ht="15" customHeight="1" x14ac:dyDescent="0.3">
      <c r="B10" s="408">
        <v>2</v>
      </c>
      <c r="C10" s="411" t="s">
        <v>51</v>
      </c>
      <c r="D10" s="76" t="s">
        <v>802</v>
      </c>
      <c r="E10" s="77">
        <v>12</v>
      </c>
      <c r="F10" s="77">
        <v>12</v>
      </c>
      <c r="G10" s="78">
        <v>12</v>
      </c>
      <c r="H10" s="77">
        <f t="shared" si="0"/>
        <v>36</v>
      </c>
      <c r="I10" s="79">
        <v>9</v>
      </c>
      <c r="J10" s="79">
        <v>8</v>
      </c>
      <c r="K10" s="78">
        <v>10</v>
      </c>
      <c r="L10" s="79">
        <v>5</v>
      </c>
      <c r="M10" s="79">
        <v>7</v>
      </c>
      <c r="N10" s="78">
        <v>9</v>
      </c>
      <c r="O10" s="79">
        <v>4</v>
      </c>
      <c r="P10" s="79">
        <v>4</v>
      </c>
      <c r="Q10" s="78">
        <v>3</v>
      </c>
      <c r="R10" s="79">
        <v>4</v>
      </c>
      <c r="S10" s="79">
        <v>4</v>
      </c>
      <c r="T10" s="78">
        <v>3</v>
      </c>
      <c r="U10" s="79">
        <v>4</v>
      </c>
      <c r="V10" s="79">
        <v>3</v>
      </c>
      <c r="W10" s="78">
        <v>3</v>
      </c>
      <c r="X10" s="79">
        <v>3</v>
      </c>
      <c r="Y10" s="79">
        <v>1</v>
      </c>
      <c r="Z10" s="78">
        <v>2</v>
      </c>
      <c r="AA10" s="79">
        <v>2</v>
      </c>
      <c r="AB10" s="79">
        <v>1</v>
      </c>
      <c r="AC10" s="78">
        <v>1</v>
      </c>
      <c r="AD10" s="77">
        <f t="shared" si="1"/>
        <v>100</v>
      </c>
      <c r="AE10" s="77">
        <f t="shared" si="2"/>
        <v>100</v>
      </c>
      <c r="AF10" s="78">
        <f t="shared" si="3"/>
        <v>100</v>
      </c>
      <c r="AG10" s="77">
        <f t="shared" si="4"/>
        <v>75</v>
      </c>
      <c r="AH10" s="77">
        <f t="shared" si="5"/>
        <v>66.666666666666671</v>
      </c>
      <c r="AI10" s="78">
        <f t="shared" si="6"/>
        <v>83.333333333333343</v>
      </c>
      <c r="AJ10" s="77">
        <f t="shared" si="7"/>
        <v>41.666666666666671</v>
      </c>
      <c r="AK10" s="77">
        <f t="shared" si="8"/>
        <v>58.333333333333336</v>
      </c>
      <c r="AL10" s="78">
        <f t="shared" si="9"/>
        <v>75</v>
      </c>
      <c r="AM10" s="77">
        <f t="shared" si="10"/>
        <v>33.333333333333336</v>
      </c>
      <c r="AN10" s="77">
        <f t="shared" si="11"/>
        <v>33.333333333333336</v>
      </c>
      <c r="AO10" s="78">
        <f t="shared" si="12"/>
        <v>25</v>
      </c>
      <c r="AP10" s="77">
        <f t="shared" si="13"/>
        <v>33.333333333333336</v>
      </c>
      <c r="AQ10" s="77">
        <f t="shared" si="14"/>
        <v>33.333333333333336</v>
      </c>
      <c r="AR10" s="78">
        <f t="shared" si="15"/>
        <v>25</v>
      </c>
      <c r="AS10" s="77">
        <f t="shared" si="16"/>
        <v>33.333333333333336</v>
      </c>
      <c r="AT10" s="77">
        <f t="shared" si="17"/>
        <v>25</v>
      </c>
      <c r="AU10" s="78">
        <f t="shared" si="18"/>
        <v>25</v>
      </c>
      <c r="AV10" s="77">
        <f t="shared" si="19"/>
        <v>25</v>
      </c>
      <c r="AW10" s="77">
        <f t="shared" si="20"/>
        <v>8.3333333333333339</v>
      </c>
      <c r="AX10" s="78">
        <f t="shared" si="21"/>
        <v>16.666666666666668</v>
      </c>
      <c r="AY10" s="77">
        <f t="shared" si="22"/>
        <v>16.666666666666668</v>
      </c>
      <c r="AZ10" s="77">
        <f t="shared" si="23"/>
        <v>8.3333333333333339</v>
      </c>
      <c r="BA10" s="78">
        <f t="shared" si="24"/>
        <v>8.3333333333333339</v>
      </c>
      <c r="BB10" s="80">
        <f t="shared" si="25"/>
        <v>0</v>
      </c>
      <c r="BC10" s="77">
        <f t="shared" si="26"/>
        <v>8.3333333333333357</v>
      </c>
      <c r="BD10" s="77">
        <f t="shared" si="27"/>
        <v>16.666666666666682</v>
      </c>
      <c r="BE10" s="77">
        <f t="shared" si="28"/>
        <v>4.8112522432468703</v>
      </c>
      <c r="BF10" s="77">
        <f t="shared" si="29"/>
        <v>4.8112522432468703</v>
      </c>
      <c r="BG10" s="77">
        <f t="shared" si="30"/>
        <v>4.8112522432468703</v>
      </c>
      <c r="BH10" s="77">
        <f t="shared" si="31"/>
        <v>8.3333333333333339</v>
      </c>
      <c r="BI10" s="77">
        <f t="shared" si="32"/>
        <v>4.8112522432468818</v>
      </c>
      <c r="BJ10" s="80">
        <f t="shared" si="47"/>
        <v>0</v>
      </c>
      <c r="BK10" s="77">
        <f t="shared" si="33"/>
        <v>1.3888888888888893</v>
      </c>
      <c r="BL10" s="77">
        <f t="shared" si="34"/>
        <v>2.7777777777777803</v>
      </c>
      <c r="BM10" s="77">
        <f t="shared" si="35"/>
        <v>0.80187537387447838</v>
      </c>
      <c r="BN10" s="77">
        <f t="shared" si="36"/>
        <v>0.80187537387447838</v>
      </c>
      <c r="BO10" s="77">
        <f t="shared" si="37"/>
        <v>0.80187537387447838</v>
      </c>
      <c r="BP10" s="77">
        <f t="shared" si="38"/>
        <v>1.3888888888888891</v>
      </c>
      <c r="BQ10" s="92">
        <f t="shared" si="39"/>
        <v>0.80187537387448027</v>
      </c>
      <c r="BR10" s="81">
        <f t="shared" si="40"/>
        <v>100</v>
      </c>
      <c r="BS10" s="79">
        <f t="shared" si="41"/>
        <v>75.000000000000014</v>
      </c>
      <c r="BT10" s="79">
        <f t="shared" si="42"/>
        <v>58.333333333333336</v>
      </c>
      <c r="BU10" s="79">
        <f t="shared" si="43"/>
        <v>30.555555555555557</v>
      </c>
      <c r="BV10" s="79">
        <f t="shared" si="44"/>
        <v>30.555555555555557</v>
      </c>
      <c r="BW10" s="79">
        <f t="shared" si="45"/>
        <v>27.777777777777782</v>
      </c>
      <c r="BX10" s="79">
        <f t="shared" si="48"/>
        <v>16.666666666666668</v>
      </c>
      <c r="BY10" s="79">
        <f t="shared" si="49"/>
        <v>11.111111111111112</v>
      </c>
      <c r="BZ10" s="81">
        <f t="shared" si="46"/>
        <v>0</v>
      </c>
      <c r="CA10" s="79">
        <f t="shared" si="46"/>
        <v>24.999999999999986</v>
      </c>
      <c r="CB10" s="79">
        <f t="shared" si="46"/>
        <v>41.666666666666664</v>
      </c>
      <c r="CC10" s="79">
        <f t="shared" si="46"/>
        <v>69.444444444444443</v>
      </c>
      <c r="CD10" s="79">
        <f t="shared" si="46"/>
        <v>69.444444444444443</v>
      </c>
      <c r="CE10" s="79">
        <f t="shared" si="46"/>
        <v>72.222222222222214</v>
      </c>
      <c r="CF10" s="79">
        <f t="shared" si="46"/>
        <v>83.333333333333329</v>
      </c>
      <c r="CG10" s="264">
        <f t="shared" si="46"/>
        <v>88.888888888888886</v>
      </c>
    </row>
    <row r="11" spans="2:87" x14ac:dyDescent="0.3">
      <c r="B11" s="409"/>
      <c r="C11" s="412"/>
      <c r="D11" s="70" t="s">
        <v>803</v>
      </c>
      <c r="E11" s="65">
        <v>12</v>
      </c>
      <c r="F11" s="65">
        <v>12</v>
      </c>
      <c r="G11" s="66">
        <v>12</v>
      </c>
      <c r="H11" s="65">
        <f t="shared" si="0"/>
        <v>36</v>
      </c>
      <c r="I11" s="67">
        <v>9</v>
      </c>
      <c r="J11" s="67">
        <v>10</v>
      </c>
      <c r="K11" s="66">
        <v>10</v>
      </c>
      <c r="L11" s="67">
        <v>8</v>
      </c>
      <c r="M11" s="67">
        <v>7</v>
      </c>
      <c r="N11" s="66">
        <v>7</v>
      </c>
      <c r="O11" s="67">
        <v>7</v>
      </c>
      <c r="P11" s="67">
        <v>7</v>
      </c>
      <c r="Q11" s="66">
        <v>7</v>
      </c>
      <c r="R11" s="67">
        <v>6</v>
      </c>
      <c r="S11" s="67">
        <v>7</v>
      </c>
      <c r="T11" s="66">
        <v>6</v>
      </c>
      <c r="U11" s="67">
        <v>6</v>
      </c>
      <c r="V11" s="67">
        <v>7</v>
      </c>
      <c r="W11" s="66">
        <v>5</v>
      </c>
      <c r="X11" s="67">
        <v>5</v>
      </c>
      <c r="Y11" s="67">
        <v>5</v>
      </c>
      <c r="Z11" s="66">
        <v>5</v>
      </c>
      <c r="AA11" s="67">
        <v>4</v>
      </c>
      <c r="AB11" s="67">
        <v>4</v>
      </c>
      <c r="AC11" s="66">
        <v>4</v>
      </c>
      <c r="AD11" s="65">
        <f t="shared" si="1"/>
        <v>100</v>
      </c>
      <c r="AE11" s="65">
        <f t="shared" si="2"/>
        <v>100</v>
      </c>
      <c r="AF11" s="66">
        <f t="shared" si="3"/>
        <v>100</v>
      </c>
      <c r="AG11" s="65">
        <f t="shared" si="4"/>
        <v>75</v>
      </c>
      <c r="AH11" s="65">
        <f t="shared" si="5"/>
        <v>83.333333333333343</v>
      </c>
      <c r="AI11" s="66">
        <f t="shared" si="6"/>
        <v>83.333333333333343</v>
      </c>
      <c r="AJ11" s="65">
        <f t="shared" si="7"/>
        <v>66.666666666666671</v>
      </c>
      <c r="AK11" s="65">
        <f t="shared" si="8"/>
        <v>58.333333333333336</v>
      </c>
      <c r="AL11" s="66">
        <f t="shared" si="9"/>
        <v>58.333333333333336</v>
      </c>
      <c r="AM11" s="65">
        <f t="shared" si="10"/>
        <v>58.333333333333336</v>
      </c>
      <c r="AN11" s="65">
        <f t="shared" si="11"/>
        <v>58.333333333333336</v>
      </c>
      <c r="AO11" s="66">
        <f t="shared" si="12"/>
        <v>58.333333333333336</v>
      </c>
      <c r="AP11" s="65">
        <f t="shared" si="13"/>
        <v>50</v>
      </c>
      <c r="AQ11" s="65">
        <f t="shared" si="14"/>
        <v>58.333333333333336</v>
      </c>
      <c r="AR11" s="66">
        <f t="shared" si="15"/>
        <v>50</v>
      </c>
      <c r="AS11" s="65">
        <f t="shared" si="16"/>
        <v>50</v>
      </c>
      <c r="AT11" s="65">
        <f t="shared" si="17"/>
        <v>58.333333333333336</v>
      </c>
      <c r="AU11" s="66">
        <f t="shared" si="18"/>
        <v>41.666666666666671</v>
      </c>
      <c r="AV11" s="65">
        <f t="shared" si="19"/>
        <v>41.666666666666671</v>
      </c>
      <c r="AW11" s="65">
        <f t="shared" si="20"/>
        <v>41.666666666666671</v>
      </c>
      <c r="AX11" s="66">
        <f t="shared" si="21"/>
        <v>41.666666666666671</v>
      </c>
      <c r="AY11" s="65">
        <f t="shared" si="22"/>
        <v>33.333333333333336</v>
      </c>
      <c r="AZ11" s="65">
        <f t="shared" si="23"/>
        <v>33.333333333333336</v>
      </c>
      <c r="BA11" s="66">
        <f t="shared" si="24"/>
        <v>33.333333333333336</v>
      </c>
      <c r="BB11" s="68">
        <f t="shared" si="25"/>
        <v>0</v>
      </c>
      <c r="BC11" s="65">
        <f t="shared" si="26"/>
        <v>4.8112522432468872</v>
      </c>
      <c r="BD11" s="65">
        <f t="shared" si="27"/>
        <v>4.8112522432468827</v>
      </c>
      <c r="BE11" s="65">
        <f t="shared" si="28"/>
        <v>0</v>
      </c>
      <c r="BF11" s="65">
        <f t="shared" si="29"/>
        <v>4.8112522432468827</v>
      </c>
      <c r="BG11" s="65">
        <f t="shared" si="30"/>
        <v>8.3333333333333268</v>
      </c>
      <c r="BH11" s="65">
        <f t="shared" si="31"/>
        <v>0</v>
      </c>
      <c r="BI11" s="65">
        <f t="shared" si="32"/>
        <v>0</v>
      </c>
      <c r="BJ11" s="68">
        <f t="shared" si="47"/>
        <v>0</v>
      </c>
      <c r="BK11" s="65">
        <f t="shared" si="33"/>
        <v>0.80187537387448116</v>
      </c>
      <c r="BL11" s="65">
        <f t="shared" si="34"/>
        <v>0.80187537387448049</v>
      </c>
      <c r="BM11" s="65">
        <f t="shared" si="35"/>
        <v>0</v>
      </c>
      <c r="BN11" s="65">
        <f t="shared" si="36"/>
        <v>0.80187537387448049</v>
      </c>
      <c r="BO11" s="65">
        <f t="shared" si="37"/>
        <v>1.3888888888888877</v>
      </c>
      <c r="BP11" s="65">
        <f t="shared" si="38"/>
        <v>0</v>
      </c>
      <c r="BQ11" s="90">
        <f t="shared" si="39"/>
        <v>0</v>
      </c>
      <c r="BR11" s="69">
        <f t="shared" si="40"/>
        <v>100</v>
      </c>
      <c r="BS11" s="67">
        <f t="shared" si="41"/>
        <v>80.555555555555557</v>
      </c>
      <c r="BT11" s="67">
        <f t="shared" si="42"/>
        <v>61.111111111111114</v>
      </c>
      <c r="BU11" s="67">
        <f t="shared" si="43"/>
        <v>58.333333333333336</v>
      </c>
      <c r="BV11" s="67">
        <f t="shared" si="44"/>
        <v>52.777777777777779</v>
      </c>
      <c r="BW11" s="67">
        <f t="shared" si="45"/>
        <v>50</v>
      </c>
      <c r="BX11" s="67">
        <f t="shared" si="48"/>
        <v>41.666666666666671</v>
      </c>
      <c r="BY11" s="67">
        <f t="shared" si="49"/>
        <v>33.333333333333336</v>
      </c>
      <c r="BZ11" s="69">
        <f t="shared" si="46"/>
        <v>0</v>
      </c>
      <c r="CA11" s="67">
        <f t="shared" si="46"/>
        <v>19.444444444444443</v>
      </c>
      <c r="CB11" s="67">
        <f t="shared" si="46"/>
        <v>38.888888888888886</v>
      </c>
      <c r="CC11" s="67">
        <f t="shared" si="46"/>
        <v>41.666666666666664</v>
      </c>
      <c r="CD11" s="67">
        <f t="shared" si="46"/>
        <v>47.222222222222221</v>
      </c>
      <c r="CE11" s="67">
        <f t="shared" si="46"/>
        <v>50</v>
      </c>
      <c r="CF11" s="67">
        <f t="shared" si="46"/>
        <v>58.333333333333329</v>
      </c>
      <c r="CG11" s="116">
        <f t="shared" si="46"/>
        <v>66.666666666666657</v>
      </c>
    </row>
    <row r="12" spans="2:87" x14ac:dyDescent="0.3">
      <c r="B12" s="409"/>
      <c r="C12" s="412"/>
      <c r="D12" s="70" t="s">
        <v>804</v>
      </c>
      <c r="E12" s="65">
        <v>12</v>
      </c>
      <c r="F12" s="65">
        <v>12</v>
      </c>
      <c r="G12" s="66">
        <v>12</v>
      </c>
      <c r="H12" s="65">
        <f t="shared" si="0"/>
        <v>36</v>
      </c>
      <c r="I12" s="67">
        <v>10</v>
      </c>
      <c r="J12" s="67">
        <v>9</v>
      </c>
      <c r="K12" s="66">
        <v>10</v>
      </c>
      <c r="L12" s="67">
        <v>9</v>
      </c>
      <c r="M12" s="67">
        <v>6</v>
      </c>
      <c r="N12" s="66">
        <v>8</v>
      </c>
      <c r="O12" s="67">
        <v>7</v>
      </c>
      <c r="P12" s="67">
        <v>5</v>
      </c>
      <c r="Q12" s="66">
        <v>7</v>
      </c>
      <c r="R12" s="67">
        <v>7</v>
      </c>
      <c r="S12" s="67">
        <v>5</v>
      </c>
      <c r="T12" s="66">
        <v>4</v>
      </c>
      <c r="U12" s="67">
        <v>6</v>
      </c>
      <c r="V12" s="67">
        <v>5</v>
      </c>
      <c r="W12" s="66">
        <v>3</v>
      </c>
      <c r="X12" s="67">
        <v>6</v>
      </c>
      <c r="Y12" s="67">
        <v>4</v>
      </c>
      <c r="Z12" s="66">
        <v>2</v>
      </c>
      <c r="AA12" s="67">
        <v>5</v>
      </c>
      <c r="AB12" s="67">
        <v>4</v>
      </c>
      <c r="AC12" s="66">
        <v>2</v>
      </c>
      <c r="AD12" s="65">
        <f t="shared" si="1"/>
        <v>100</v>
      </c>
      <c r="AE12" s="65">
        <f t="shared" si="2"/>
        <v>100</v>
      </c>
      <c r="AF12" s="66">
        <f t="shared" si="3"/>
        <v>100</v>
      </c>
      <c r="AG12" s="65">
        <f t="shared" si="4"/>
        <v>83.333333333333343</v>
      </c>
      <c r="AH12" s="65">
        <f t="shared" si="5"/>
        <v>75</v>
      </c>
      <c r="AI12" s="66">
        <f t="shared" si="6"/>
        <v>83.333333333333343</v>
      </c>
      <c r="AJ12" s="65">
        <f t="shared" si="7"/>
        <v>75</v>
      </c>
      <c r="AK12" s="65">
        <f t="shared" si="8"/>
        <v>50</v>
      </c>
      <c r="AL12" s="66">
        <f t="shared" si="9"/>
        <v>66.666666666666671</v>
      </c>
      <c r="AM12" s="65">
        <f t="shared" si="10"/>
        <v>58.333333333333336</v>
      </c>
      <c r="AN12" s="65">
        <f t="shared" si="11"/>
        <v>41.666666666666671</v>
      </c>
      <c r="AO12" s="66">
        <f t="shared" si="12"/>
        <v>58.333333333333336</v>
      </c>
      <c r="AP12" s="65">
        <f t="shared" si="13"/>
        <v>58.333333333333336</v>
      </c>
      <c r="AQ12" s="65">
        <f t="shared" si="14"/>
        <v>41.666666666666671</v>
      </c>
      <c r="AR12" s="66">
        <f t="shared" si="15"/>
        <v>33.333333333333336</v>
      </c>
      <c r="AS12" s="65">
        <f t="shared" si="16"/>
        <v>50</v>
      </c>
      <c r="AT12" s="65">
        <f t="shared" si="17"/>
        <v>41.666666666666671</v>
      </c>
      <c r="AU12" s="66">
        <f t="shared" si="18"/>
        <v>25</v>
      </c>
      <c r="AV12" s="65">
        <f t="shared" si="19"/>
        <v>50</v>
      </c>
      <c r="AW12" s="65">
        <f t="shared" si="20"/>
        <v>33.333333333333336</v>
      </c>
      <c r="AX12" s="66">
        <f t="shared" si="21"/>
        <v>16.666666666666668</v>
      </c>
      <c r="AY12" s="65">
        <f t="shared" si="22"/>
        <v>41.666666666666671</v>
      </c>
      <c r="AZ12" s="65">
        <f t="shared" si="23"/>
        <v>33.333333333333336</v>
      </c>
      <c r="BA12" s="66">
        <f t="shared" si="24"/>
        <v>16.666666666666668</v>
      </c>
      <c r="BB12" s="68">
        <f t="shared" si="25"/>
        <v>0</v>
      </c>
      <c r="BC12" s="65">
        <f t="shared" si="26"/>
        <v>4.8112522432468872</v>
      </c>
      <c r="BD12" s="65">
        <f t="shared" si="27"/>
        <v>12.729376930432867</v>
      </c>
      <c r="BE12" s="65">
        <f t="shared" si="28"/>
        <v>9.6225044864937406</v>
      </c>
      <c r="BF12" s="65">
        <f t="shared" si="29"/>
        <v>12.729376930432885</v>
      </c>
      <c r="BG12" s="65">
        <f t="shared" si="30"/>
        <v>12.729376930432885</v>
      </c>
      <c r="BH12" s="65">
        <f t="shared" si="31"/>
        <v>16.666666666666654</v>
      </c>
      <c r="BI12" s="65">
        <f t="shared" si="32"/>
        <v>12.729376930432885</v>
      </c>
      <c r="BJ12" s="68">
        <f t="shared" si="47"/>
        <v>0</v>
      </c>
      <c r="BK12" s="65">
        <f t="shared" si="33"/>
        <v>0.80187537387448116</v>
      </c>
      <c r="BL12" s="65">
        <f t="shared" si="34"/>
        <v>2.1215628217388112</v>
      </c>
      <c r="BM12" s="65">
        <f t="shared" si="35"/>
        <v>1.6037507477489568</v>
      </c>
      <c r="BN12" s="65">
        <f t="shared" si="36"/>
        <v>2.1215628217388143</v>
      </c>
      <c r="BO12" s="65">
        <f t="shared" si="37"/>
        <v>2.1215628217388143</v>
      </c>
      <c r="BP12" s="65">
        <f t="shared" si="38"/>
        <v>2.7777777777777755</v>
      </c>
      <c r="BQ12" s="90">
        <f t="shared" si="39"/>
        <v>2.1215628217388143</v>
      </c>
      <c r="BR12" s="69">
        <f t="shared" si="40"/>
        <v>100</v>
      </c>
      <c r="BS12" s="67">
        <f t="shared" si="41"/>
        <v>80.555555555555557</v>
      </c>
      <c r="BT12" s="67">
        <f t="shared" si="42"/>
        <v>63.888888888888893</v>
      </c>
      <c r="BU12" s="67">
        <f t="shared" si="43"/>
        <v>52.777777777777779</v>
      </c>
      <c r="BV12" s="67">
        <f t="shared" si="44"/>
        <v>44.44444444444445</v>
      </c>
      <c r="BW12" s="67">
        <f t="shared" si="45"/>
        <v>38.888888888888893</v>
      </c>
      <c r="BX12" s="67">
        <f t="shared" si="48"/>
        <v>33.333333333333336</v>
      </c>
      <c r="BY12" s="67">
        <f t="shared" si="49"/>
        <v>30.555555555555557</v>
      </c>
      <c r="BZ12" s="69">
        <f t="shared" si="46"/>
        <v>0</v>
      </c>
      <c r="CA12" s="67">
        <f t="shared" si="46"/>
        <v>19.444444444444443</v>
      </c>
      <c r="CB12" s="67">
        <f t="shared" si="46"/>
        <v>36.111111111111107</v>
      </c>
      <c r="CC12" s="67">
        <f t="shared" si="46"/>
        <v>47.222222222222221</v>
      </c>
      <c r="CD12" s="67">
        <f t="shared" si="46"/>
        <v>55.55555555555555</v>
      </c>
      <c r="CE12" s="67">
        <f t="shared" si="46"/>
        <v>61.111111111111107</v>
      </c>
      <c r="CF12" s="67">
        <f t="shared" si="46"/>
        <v>66.666666666666657</v>
      </c>
      <c r="CG12" s="116">
        <f t="shared" si="46"/>
        <v>69.444444444444443</v>
      </c>
    </row>
    <row r="13" spans="2:87" x14ac:dyDescent="0.3">
      <c r="B13" s="410"/>
      <c r="C13" s="413"/>
      <c r="D13" s="70" t="s">
        <v>805</v>
      </c>
      <c r="E13" s="71">
        <v>12</v>
      </c>
      <c r="F13" s="71">
        <v>12</v>
      </c>
      <c r="G13" s="72">
        <v>12</v>
      </c>
      <c r="H13" s="71">
        <f t="shared" si="0"/>
        <v>36</v>
      </c>
      <c r="I13" s="73">
        <v>8</v>
      </c>
      <c r="J13" s="73">
        <v>10</v>
      </c>
      <c r="K13" s="72">
        <v>10</v>
      </c>
      <c r="L13" s="73">
        <v>6</v>
      </c>
      <c r="M13" s="73">
        <v>9</v>
      </c>
      <c r="N13" s="72">
        <v>8</v>
      </c>
      <c r="O13" s="73">
        <v>6</v>
      </c>
      <c r="P13" s="73">
        <v>7</v>
      </c>
      <c r="Q13" s="72">
        <v>6</v>
      </c>
      <c r="R13" s="73">
        <v>6</v>
      </c>
      <c r="S13" s="73">
        <v>7</v>
      </c>
      <c r="T13" s="72">
        <v>5</v>
      </c>
      <c r="U13" s="73">
        <v>6</v>
      </c>
      <c r="V13" s="73">
        <v>7</v>
      </c>
      <c r="W13" s="72">
        <v>5</v>
      </c>
      <c r="X13" s="73">
        <v>6</v>
      </c>
      <c r="Y13" s="73">
        <v>5</v>
      </c>
      <c r="Z13" s="72">
        <v>5</v>
      </c>
      <c r="AA13" s="73">
        <v>6</v>
      </c>
      <c r="AB13" s="73">
        <v>4</v>
      </c>
      <c r="AC13" s="72">
        <v>5</v>
      </c>
      <c r="AD13" s="71">
        <f t="shared" si="1"/>
        <v>100</v>
      </c>
      <c r="AE13" s="71">
        <f t="shared" si="2"/>
        <v>100</v>
      </c>
      <c r="AF13" s="72">
        <f t="shared" si="3"/>
        <v>100</v>
      </c>
      <c r="AG13" s="71">
        <f t="shared" si="4"/>
        <v>66.666666666666671</v>
      </c>
      <c r="AH13" s="71">
        <f t="shared" si="5"/>
        <v>83.333333333333343</v>
      </c>
      <c r="AI13" s="72">
        <f t="shared" si="6"/>
        <v>83.333333333333343</v>
      </c>
      <c r="AJ13" s="71">
        <f t="shared" si="7"/>
        <v>50</v>
      </c>
      <c r="AK13" s="71">
        <f t="shared" si="8"/>
        <v>75</v>
      </c>
      <c r="AL13" s="72">
        <f t="shared" si="9"/>
        <v>66.666666666666671</v>
      </c>
      <c r="AM13" s="71">
        <f t="shared" si="10"/>
        <v>50</v>
      </c>
      <c r="AN13" s="71">
        <f t="shared" si="11"/>
        <v>58.333333333333336</v>
      </c>
      <c r="AO13" s="72">
        <f t="shared" si="12"/>
        <v>50</v>
      </c>
      <c r="AP13" s="71">
        <f t="shared" si="13"/>
        <v>50</v>
      </c>
      <c r="AQ13" s="71">
        <f t="shared" si="14"/>
        <v>58.333333333333336</v>
      </c>
      <c r="AR13" s="72">
        <f t="shared" si="15"/>
        <v>41.666666666666671</v>
      </c>
      <c r="AS13" s="71">
        <f t="shared" si="16"/>
        <v>50</v>
      </c>
      <c r="AT13" s="71">
        <f t="shared" si="17"/>
        <v>58.333333333333336</v>
      </c>
      <c r="AU13" s="72">
        <f t="shared" si="18"/>
        <v>41.666666666666671</v>
      </c>
      <c r="AV13" s="71">
        <f t="shared" si="19"/>
        <v>50</v>
      </c>
      <c r="AW13" s="71">
        <f t="shared" si="20"/>
        <v>41.666666666666671</v>
      </c>
      <c r="AX13" s="72">
        <f t="shared" si="21"/>
        <v>41.666666666666671</v>
      </c>
      <c r="AY13" s="71">
        <f t="shared" si="22"/>
        <v>50</v>
      </c>
      <c r="AZ13" s="71">
        <f t="shared" si="23"/>
        <v>33.333333333333336</v>
      </c>
      <c r="BA13" s="72">
        <f t="shared" si="24"/>
        <v>41.666666666666671</v>
      </c>
      <c r="BB13" s="74">
        <f t="shared" si="25"/>
        <v>0</v>
      </c>
      <c r="BC13" s="71">
        <f t="shared" si="26"/>
        <v>9.6225044864937868</v>
      </c>
      <c r="BD13" s="71">
        <f t="shared" si="27"/>
        <v>12.729376930432867</v>
      </c>
      <c r="BE13" s="71">
        <f t="shared" si="28"/>
        <v>4.8112522432468827</v>
      </c>
      <c r="BF13" s="71">
        <f t="shared" si="29"/>
        <v>8.3333333333333268</v>
      </c>
      <c r="BG13" s="71">
        <f t="shared" si="30"/>
        <v>8.3333333333333268</v>
      </c>
      <c r="BH13" s="71">
        <f t="shared" si="31"/>
        <v>4.8112522432468783</v>
      </c>
      <c r="BI13" s="71">
        <f t="shared" si="32"/>
        <v>8.3333333333333002</v>
      </c>
      <c r="BJ13" s="74">
        <f t="shared" si="47"/>
        <v>0</v>
      </c>
      <c r="BK13" s="71">
        <f t="shared" si="33"/>
        <v>1.6037507477489645</v>
      </c>
      <c r="BL13" s="71">
        <f t="shared" si="34"/>
        <v>2.1215628217388112</v>
      </c>
      <c r="BM13" s="71">
        <f t="shared" si="35"/>
        <v>0.80187537387448049</v>
      </c>
      <c r="BN13" s="71">
        <f t="shared" si="36"/>
        <v>1.3888888888888877</v>
      </c>
      <c r="BO13" s="71">
        <f t="shared" si="37"/>
        <v>1.3888888888888877</v>
      </c>
      <c r="BP13" s="71">
        <f t="shared" si="38"/>
        <v>0.80187537387447971</v>
      </c>
      <c r="BQ13" s="91">
        <f t="shared" si="39"/>
        <v>1.3888888888888833</v>
      </c>
      <c r="BR13" s="75">
        <f t="shared" si="40"/>
        <v>100</v>
      </c>
      <c r="BS13" s="73">
        <f t="shared" si="41"/>
        <v>77.777777777777786</v>
      </c>
      <c r="BT13" s="73">
        <f t="shared" si="42"/>
        <v>63.888888888888893</v>
      </c>
      <c r="BU13" s="73">
        <f t="shared" si="43"/>
        <v>52.777777777777779</v>
      </c>
      <c r="BV13" s="73">
        <f t="shared" si="44"/>
        <v>50</v>
      </c>
      <c r="BW13" s="73">
        <f t="shared" si="45"/>
        <v>50</v>
      </c>
      <c r="BX13" s="73">
        <f t="shared" si="48"/>
        <v>44.44444444444445</v>
      </c>
      <c r="BY13" s="73">
        <f t="shared" si="49"/>
        <v>41.666666666666671</v>
      </c>
      <c r="BZ13" s="75">
        <f t="shared" si="46"/>
        <v>0</v>
      </c>
      <c r="CA13" s="73">
        <f t="shared" si="46"/>
        <v>22.222222222222214</v>
      </c>
      <c r="CB13" s="73">
        <f t="shared" si="46"/>
        <v>36.111111111111107</v>
      </c>
      <c r="CC13" s="73">
        <f t="shared" si="46"/>
        <v>47.222222222222221</v>
      </c>
      <c r="CD13" s="73">
        <f t="shared" si="46"/>
        <v>50</v>
      </c>
      <c r="CE13" s="73">
        <f t="shared" si="46"/>
        <v>50</v>
      </c>
      <c r="CF13" s="73">
        <f t="shared" si="46"/>
        <v>55.55555555555555</v>
      </c>
      <c r="CG13" s="265">
        <f t="shared" si="46"/>
        <v>58.333333333333329</v>
      </c>
    </row>
    <row r="14" spans="2:87" ht="15" customHeight="1" x14ac:dyDescent="0.3">
      <c r="B14" s="408">
        <v>3</v>
      </c>
      <c r="C14" s="411" t="s">
        <v>64</v>
      </c>
      <c r="D14" s="76" t="s">
        <v>802</v>
      </c>
      <c r="E14" s="77">
        <v>12</v>
      </c>
      <c r="F14" s="77">
        <v>12</v>
      </c>
      <c r="G14" s="78">
        <v>12</v>
      </c>
      <c r="H14" s="77">
        <f t="shared" si="0"/>
        <v>36</v>
      </c>
      <c r="I14" s="79">
        <v>8</v>
      </c>
      <c r="J14" s="79">
        <v>9</v>
      </c>
      <c r="K14" s="78">
        <v>8</v>
      </c>
      <c r="L14" s="79">
        <v>4</v>
      </c>
      <c r="M14" s="79">
        <v>3</v>
      </c>
      <c r="N14" s="78">
        <v>4</v>
      </c>
      <c r="O14" s="79">
        <v>0</v>
      </c>
      <c r="P14" s="79">
        <v>0</v>
      </c>
      <c r="Q14" s="78">
        <v>0</v>
      </c>
      <c r="R14" s="79">
        <v>0</v>
      </c>
      <c r="S14" s="79">
        <v>0</v>
      </c>
      <c r="T14" s="78">
        <v>0</v>
      </c>
      <c r="U14" s="79">
        <v>0</v>
      </c>
      <c r="V14" s="79">
        <v>0</v>
      </c>
      <c r="W14" s="78">
        <v>0</v>
      </c>
      <c r="X14" s="79">
        <v>0</v>
      </c>
      <c r="Y14" s="79">
        <v>0</v>
      </c>
      <c r="Z14" s="78">
        <v>0</v>
      </c>
      <c r="AA14" s="79">
        <v>0</v>
      </c>
      <c r="AB14" s="79">
        <v>0</v>
      </c>
      <c r="AC14" s="78">
        <v>0</v>
      </c>
      <c r="AD14" s="77">
        <f t="shared" si="1"/>
        <v>100</v>
      </c>
      <c r="AE14" s="77">
        <f t="shared" si="2"/>
        <v>100</v>
      </c>
      <c r="AF14" s="78">
        <f t="shared" si="3"/>
        <v>100</v>
      </c>
      <c r="AG14" s="77">
        <f t="shared" si="4"/>
        <v>66.666666666666671</v>
      </c>
      <c r="AH14" s="77">
        <f t="shared" si="5"/>
        <v>75</v>
      </c>
      <c r="AI14" s="78">
        <f t="shared" si="6"/>
        <v>66.666666666666671</v>
      </c>
      <c r="AJ14" s="77">
        <f t="shared" si="7"/>
        <v>33.333333333333336</v>
      </c>
      <c r="AK14" s="77">
        <f t="shared" si="8"/>
        <v>25</v>
      </c>
      <c r="AL14" s="78">
        <f t="shared" si="9"/>
        <v>33.333333333333336</v>
      </c>
      <c r="AM14" s="77">
        <f t="shared" si="10"/>
        <v>0</v>
      </c>
      <c r="AN14" s="77">
        <f t="shared" si="11"/>
        <v>0</v>
      </c>
      <c r="AO14" s="78">
        <f t="shared" si="12"/>
        <v>0</v>
      </c>
      <c r="AP14" s="77">
        <f t="shared" si="13"/>
        <v>0</v>
      </c>
      <c r="AQ14" s="77">
        <f t="shared" si="14"/>
        <v>0</v>
      </c>
      <c r="AR14" s="78">
        <f t="shared" si="15"/>
        <v>0</v>
      </c>
      <c r="AS14" s="77">
        <f t="shared" si="16"/>
        <v>0</v>
      </c>
      <c r="AT14" s="77">
        <f t="shared" si="17"/>
        <v>0</v>
      </c>
      <c r="AU14" s="78">
        <f t="shared" si="18"/>
        <v>0</v>
      </c>
      <c r="AV14" s="77">
        <f t="shared" si="19"/>
        <v>0</v>
      </c>
      <c r="AW14" s="77">
        <f t="shared" si="20"/>
        <v>0</v>
      </c>
      <c r="AX14" s="78">
        <f t="shared" si="21"/>
        <v>0</v>
      </c>
      <c r="AY14" s="77">
        <f t="shared" si="22"/>
        <v>0</v>
      </c>
      <c r="AZ14" s="77">
        <f t="shared" si="23"/>
        <v>0</v>
      </c>
      <c r="BA14" s="78">
        <f t="shared" si="24"/>
        <v>0</v>
      </c>
      <c r="BB14" s="80">
        <f t="shared" si="25"/>
        <v>0</v>
      </c>
      <c r="BC14" s="77">
        <f t="shared" si="26"/>
        <v>4.8112522432468792</v>
      </c>
      <c r="BD14" s="77">
        <f t="shared" si="27"/>
        <v>4.8112522432468703</v>
      </c>
      <c r="BE14" s="77">
        <f t="shared" si="28"/>
        <v>0</v>
      </c>
      <c r="BF14" s="77">
        <f t="shared" si="29"/>
        <v>0</v>
      </c>
      <c r="BG14" s="77">
        <f t="shared" si="30"/>
        <v>0</v>
      </c>
      <c r="BH14" s="77">
        <f t="shared" si="31"/>
        <v>0</v>
      </c>
      <c r="BI14" s="77">
        <f t="shared" si="32"/>
        <v>0</v>
      </c>
      <c r="BJ14" s="80">
        <f t="shared" si="47"/>
        <v>0</v>
      </c>
      <c r="BK14" s="77">
        <f t="shared" si="33"/>
        <v>0.80187537387447982</v>
      </c>
      <c r="BL14" s="77">
        <f t="shared" si="34"/>
        <v>0.80187537387447838</v>
      </c>
      <c r="BM14" s="77">
        <f t="shared" si="35"/>
        <v>0</v>
      </c>
      <c r="BN14" s="77">
        <f t="shared" si="36"/>
        <v>0</v>
      </c>
      <c r="BO14" s="77">
        <f t="shared" si="37"/>
        <v>0</v>
      </c>
      <c r="BP14" s="77">
        <f t="shared" si="38"/>
        <v>0</v>
      </c>
      <c r="BQ14" s="92">
        <f t="shared" si="39"/>
        <v>0</v>
      </c>
      <c r="BR14" s="81">
        <f t="shared" si="40"/>
        <v>100</v>
      </c>
      <c r="BS14" s="79">
        <f t="shared" si="41"/>
        <v>69.444444444444457</v>
      </c>
      <c r="BT14" s="79">
        <f t="shared" si="42"/>
        <v>30.555555555555557</v>
      </c>
      <c r="BU14" s="79">
        <f t="shared" si="43"/>
        <v>0</v>
      </c>
      <c r="BV14" s="79">
        <f>AVERAGE(AN14:AP14)</f>
        <v>0</v>
      </c>
      <c r="BW14" s="79">
        <f>AVERAGE(AO14:AQ14)</f>
        <v>0</v>
      </c>
      <c r="BX14" s="79">
        <f>AVERAGE(AP14:AR14)</f>
        <v>0</v>
      </c>
      <c r="BY14" s="79">
        <f>AVERAGE(AQ14:AS14)</f>
        <v>0</v>
      </c>
      <c r="BZ14" s="81">
        <f t="shared" si="46"/>
        <v>0</v>
      </c>
      <c r="CA14" s="79">
        <f t="shared" si="46"/>
        <v>30.555555555555543</v>
      </c>
      <c r="CB14" s="79">
        <f t="shared" si="46"/>
        <v>69.444444444444443</v>
      </c>
      <c r="CC14" s="79">
        <f t="shared" si="46"/>
        <v>100</v>
      </c>
      <c r="CD14" s="79">
        <f t="shared" si="46"/>
        <v>100</v>
      </c>
      <c r="CE14" s="79">
        <f t="shared" si="46"/>
        <v>100</v>
      </c>
      <c r="CF14" s="79">
        <f t="shared" si="46"/>
        <v>100</v>
      </c>
      <c r="CG14" s="264">
        <f t="shared" si="46"/>
        <v>100</v>
      </c>
    </row>
    <row r="15" spans="2:87" x14ac:dyDescent="0.3">
      <c r="B15" s="409"/>
      <c r="C15" s="412"/>
      <c r="D15" s="70" t="s">
        <v>803</v>
      </c>
      <c r="E15" s="65">
        <v>12</v>
      </c>
      <c r="F15" s="65">
        <v>12</v>
      </c>
      <c r="G15" s="66">
        <v>12</v>
      </c>
      <c r="H15" s="65">
        <f t="shared" si="0"/>
        <v>36</v>
      </c>
      <c r="I15" s="67">
        <v>11</v>
      </c>
      <c r="J15" s="67">
        <v>10</v>
      </c>
      <c r="K15" s="66">
        <v>8</v>
      </c>
      <c r="L15" s="67">
        <v>9</v>
      </c>
      <c r="M15" s="67">
        <v>6</v>
      </c>
      <c r="N15" s="66">
        <v>4</v>
      </c>
      <c r="O15" s="67">
        <v>8</v>
      </c>
      <c r="P15" s="67">
        <v>5</v>
      </c>
      <c r="Q15" s="66">
        <v>4</v>
      </c>
      <c r="R15" s="67">
        <v>4</v>
      </c>
      <c r="S15" s="67">
        <v>2</v>
      </c>
      <c r="T15" s="66">
        <v>3</v>
      </c>
      <c r="U15" s="67">
        <v>4</v>
      </c>
      <c r="V15" s="67">
        <v>2</v>
      </c>
      <c r="W15" s="66">
        <v>2</v>
      </c>
      <c r="X15" s="67">
        <v>3</v>
      </c>
      <c r="Y15" s="67">
        <v>2</v>
      </c>
      <c r="Z15" s="66">
        <v>1</v>
      </c>
      <c r="AA15" s="67">
        <v>2</v>
      </c>
      <c r="AB15" s="67">
        <v>2</v>
      </c>
      <c r="AC15" s="66">
        <v>1</v>
      </c>
      <c r="AD15" s="65">
        <f t="shared" si="1"/>
        <v>100</v>
      </c>
      <c r="AE15" s="65">
        <f t="shared" si="2"/>
        <v>100</v>
      </c>
      <c r="AF15" s="66">
        <f t="shared" si="3"/>
        <v>100</v>
      </c>
      <c r="AG15" s="65">
        <f t="shared" si="4"/>
        <v>91.666666666666671</v>
      </c>
      <c r="AH15" s="65">
        <f t="shared" si="5"/>
        <v>83.333333333333343</v>
      </c>
      <c r="AI15" s="66">
        <f t="shared" si="6"/>
        <v>66.666666666666671</v>
      </c>
      <c r="AJ15" s="65">
        <f t="shared" si="7"/>
        <v>75</v>
      </c>
      <c r="AK15" s="65">
        <f t="shared" si="8"/>
        <v>50</v>
      </c>
      <c r="AL15" s="66">
        <f t="shared" si="9"/>
        <v>33.333333333333336</v>
      </c>
      <c r="AM15" s="65">
        <f t="shared" si="10"/>
        <v>66.666666666666671</v>
      </c>
      <c r="AN15" s="65">
        <f t="shared" si="11"/>
        <v>41.666666666666671</v>
      </c>
      <c r="AO15" s="66">
        <f t="shared" si="12"/>
        <v>33.333333333333336</v>
      </c>
      <c r="AP15" s="65">
        <f t="shared" si="13"/>
        <v>33.333333333333336</v>
      </c>
      <c r="AQ15" s="65">
        <f t="shared" si="14"/>
        <v>16.666666666666668</v>
      </c>
      <c r="AR15" s="66">
        <f t="shared" si="15"/>
        <v>25</v>
      </c>
      <c r="AS15" s="65">
        <f t="shared" si="16"/>
        <v>33.333333333333336</v>
      </c>
      <c r="AT15" s="65">
        <f t="shared" si="17"/>
        <v>16.666666666666668</v>
      </c>
      <c r="AU15" s="66">
        <f t="shared" si="18"/>
        <v>16.666666666666668</v>
      </c>
      <c r="AV15" s="65">
        <f t="shared" si="19"/>
        <v>25</v>
      </c>
      <c r="AW15" s="65">
        <f t="shared" si="20"/>
        <v>16.666666666666668</v>
      </c>
      <c r="AX15" s="66">
        <f t="shared" si="21"/>
        <v>8.3333333333333339</v>
      </c>
      <c r="AY15" s="65">
        <f t="shared" si="22"/>
        <v>16.666666666666668</v>
      </c>
      <c r="AZ15" s="65">
        <f t="shared" si="23"/>
        <v>16.666666666666668</v>
      </c>
      <c r="BA15" s="66">
        <f t="shared" si="24"/>
        <v>8.3333333333333339</v>
      </c>
      <c r="BB15" s="68">
        <f t="shared" si="25"/>
        <v>0</v>
      </c>
      <c r="BC15" s="65">
        <f t="shared" si="26"/>
        <v>12.72937693043294</v>
      </c>
      <c r="BD15" s="65">
        <f t="shared" si="27"/>
        <v>20.971762320196504</v>
      </c>
      <c r="BE15" s="65">
        <f t="shared" si="28"/>
        <v>17.347216662217765</v>
      </c>
      <c r="BF15" s="65">
        <f t="shared" si="29"/>
        <v>8.333333333333341</v>
      </c>
      <c r="BG15" s="65">
        <f t="shared" si="30"/>
        <v>9.6225044864937637</v>
      </c>
      <c r="BH15" s="65">
        <f t="shared" si="31"/>
        <v>8.3333333333333268</v>
      </c>
      <c r="BI15" s="65">
        <f t="shared" si="32"/>
        <v>4.8112522432468818</v>
      </c>
      <c r="BJ15" s="68">
        <f t="shared" si="47"/>
        <v>0</v>
      </c>
      <c r="BK15" s="65">
        <f t="shared" si="33"/>
        <v>2.1215628217388232</v>
      </c>
      <c r="BL15" s="65">
        <f t="shared" si="34"/>
        <v>3.4952937200327505</v>
      </c>
      <c r="BM15" s="65">
        <f t="shared" si="35"/>
        <v>2.8912027770362942</v>
      </c>
      <c r="BN15" s="65">
        <f t="shared" si="36"/>
        <v>1.3888888888888902</v>
      </c>
      <c r="BO15" s="65">
        <f t="shared" si="37"/>
        <v>1.6037507477489605</v>
      </c>
      <c r="BP15" s="65">
        <f t="shared" si="38"/>
        <v>1.3888888888888877</v>
      </c>
      <c r="BQ15" s="90">
        <f t="shared" si="39"/>
        <v>0.80187537387448027</v>
      </c>
      <c r="BR15" s="69">
        <f t="shared" si="40"/>
        <v>100</v>
      </c>
      <c r="BS15" s="67">
        <f t="shared" si="41"/>
        <v>80.555555555555557</v>
      </c>
      <c r="BT15" s="67">
        <f t="shared" si="42"/>
        <v>52.777777777777779</v>
      </c>
      <c r="BU15" s="67">
        <f t="shared" si="43"/>
        <v>47.222222222222229</v>
      </c>
      <c r="BV15" s="67">
        <f t="shared" ref="BV15:BV46" si="50">AVERAGE(AP15:AR15)</f>
        <v>25</v>
      </c>
      <c r="BW15" s="67">
        <f t="shared" ref="BW15:BW21" si="51">AVERAGE(AS15:AU15)</f>
        <v>22.222222222222225</v>
      </c>
      <c r="BX15" s="67">
        <f>AVERAGE(AV15:AX15)</f>
        <v>16.666666666666668</v>
      </c>
      <c r="BY15" s="67">
        <f>AVERAGE(AY15:BA15)</f>
        <v>13.888888888888891</v>
      </c>
      <c r="BZ15" s="69">
        <f t="shared" si="46"/>
        <v>0</v>
      </c>
      <c r="CA15" s="67">
        <f t="shared" si="46"/>
        <v>19.444444444444443</v>
      </c>
      <c r="CB15" s="67">
        <f t="shared" si="46"/>
        <v>47.222222222222221</v>
      </c>
      <c r="CC15" s="67">
        <f t="shared" si="46"/>
        <v>52.777777777777771</v>
      </c>
      <c r="CD15" s="67">
        <f t="shared" si="46"/>
        <v>75</v>
      </c>
      <c r="CE15" s="67">
        <f t="shared" si="46"/>
        <v>77.777777777777771</v>
      </c>
      <c r="CF15" s="67">
        <f t="shared" si="46"/>
        <v>83.333333333333329</v>
      </c>
      <c r="CG15" s="116">
        <f t="shared" si="46"/>
        <v>86.111111111111114</v>
      </c>
    </row>
    <row r="16" spans="2:87" x14ac:dyDescent="0.3">
      <c r="B16" s="409"/>
      <c r="C16" s="412"/>
      <c r="D16" s="70" t="s">
        <v>804</v>
      </c>
      <c r="E16" s="65">
        <v>12</v>
      </c>
      <c r="F16" s="65">
        <v>12</v>
      </c>
      <c r="G16" s="66">
        <v>12</v>
      </c>
      <c r="H16" s="65">
        <f t="shared" si="0"/>
        <v>36</v>
      </c>
      <c r="I16" s="67">
        <v>10</v>
      </c>
      <c r="J16" s="67">
        <v>10</v>
      </c>
      <c r="K16" s="66">
        <v>10</v>
      </c>
      <c r="L16" s="67">
        <v>4</v>
      </c>
      <c r="M16" s="67">
        <v>7</v>
      </c>
      <c r="N16" s="66">
        <v>5</v>
      </c>
      <c r="O16" s="67">
        <v>3</v>
      </c>
      <c r="P16" s="67">
        <v>3</v>
      </c>
      <c r="Q16" s="66">
        <v>4</v>
      </c>
      <c r="R16" s="67">
        <v>3</v>
      </c>
      <c r="S16" s="67">
        <v>3</v>
      </c>
      <c r="T16" s="66">
        <v>1</v>
      </c>
      <c r="U16" s="67">
        <v>3</v>
      </c>
      <c r="V16" s="67">
        <v>2</v>
      </c>
      <c r="W16" s="66">
        <v>0</v>
      </c>
      <c r="X16" s="67">
        <v>3</v>
      </c>
      <c r="Y16" s="67">
        <v>1</v>
      </c>
      <c r="Z16" s="66">
        <v>0</v>
      </c>
      <c r="AA16" s="67">
        <v>2</v>
      </c>
      <c r="AB16" s="67">
        <v>1</v>
      </c>
      <c r="AC16" s="66">
        <v>0</v>
      </c>
      <c r="AD16" s="65">
        <f t="shared" si="1"/>
        <v>100</v>
      </c>
      <c r="AE16" s="65">
        <f t="shared" si="2"/>
        <v>100</v>
      </c>
      <c r="AF16" s="66">
        <f t="shared" si="3"/>
        <v>100</v>
      </c>
      <c r="AG16" s="65">
        <f t="shared" si="4"/>
        <v>83.333333333333343</v>
      </c>
      <c r="AH16" s="65">
        <f t="shared" si="5"/>
        <v>83.333333333333343</v>
      </c>
      <c r="AI16" s="66">
        <f t="shared" si="6"/>
        <v>83.333333333333343</v>
      </c>
      <c r="AJ16" s="65">
        <f t="shared" si="7"/>
        <v>33.333333333333336</v>
      </c>
      <c r="AK16" s="65">
        <f t="shared" si="8"/>
        <v>58.333333333333336</v>
      </c>
      <c r="AL16" s="66">
        <f t="shared" si="9"/>
        <v>41.666666666666671</v>
      </c>
      <c r="AM16" s="65">
        <f t="shared" si="10"/>
        <v>25</v>
      </c>
      <c r="AN16" s="65">
        <f t="shared" si="11"/>
        <v>25</v>
      </c>
      <c r="AO16" s="66">
        <f t="shared" si="12"/>
        <v>33.333333333333336</v>
      </c>
      <c r="AP16" s="65">
        <f t="shared" si="13"/>
        <v>25</v>
      </c>
      <c r="AQ16" s="65">
        <f t="shared" si="14"/>
        <v>25</v>
      </c>
      <c r="AR16" s="66">
        <f t="shared" si="15"/>
        <v>8.3333333333333339</v>
      </c>
      <c r="AS16" s="65">
        <f t="shared" si="16"/>
        <v>25</v>
      </c>
      <c r="AT16" s="65">
        <f t="shared" si="17"/>
        <v>16.666666666666668</v>
      </c>
      <c r="AU16" s="66">
        <f t="shared" si="18"/>
        <v>0</v>
      </c>
      <c r="AV16" s="65">
        <f t="shared" si="19"/>
        <v>25</v>
      </c>
      <c r="AW16" s="65">
        <f t="shared" si="20"/>
        <v>8.3333333333333339</v>
      </c>
      <c r="AX16" s="66">
        <f t="shared" si="21"/>
        <v>0</v>
      </c>
      <c r="AY16" s="65">
        <f t="shared" si="22"/>
        <v>16.666666666666668</v>
      </c>
      <c r="AZ16" s="65">
        <f t="shared" si="23"/>
        <v>8.3333333333333339</v>
      </c>
      <c r="BA16" s="66">
        <f t="shared" si="24"/>
        <v>0</v>
      </c>
      <c r="BB16" s="68">
        <f t="shared" si="25"/>
        <v>0</v>
      </c>
      <c r="BC16" s="65">
        <f t="shared" si="26"/>
        <v>0</v>
      </c>
      <c r="BD16" s="65">
        <f t="shared" si="27"/>
        <v>12.729376930432867</v>
      </c>
      <c r="BE16" s="65">
        <f t="shared" si="28"/>
        <v>4.8112522432468703</v>
      </c>
      <c r="BF16" s="65">
        <f t="shared" si="29"/>
        <v>9.6225044864937583</v>
      </c>
      <c r="BG16" s="65">
        <f t="shared" si="30"/>
        <v>12.729376930432888</v>
      </c>
      <c r="BH16" s="65">
        <f t="shared" si="31"/>
        <v>12.729376930432888</v>
      </c>
      <c r="BI16" s="65">
        <f t="shared" si="32"/>
        <v>8.3333333333333357</v>
      </c>
      <c r="BJ16" s="68">
        <f t="shared" si="47"/>
        <v>0</v>
      </c>
      <c r="BK16" s="65">
        <f t="shared" si="33"/>
        <v>0</v>
      </c>
      <c r="BL16" s="65">
        <f t="shared" si="34"/>
        <v>2.1215628217388112</v>
      </c>
      <c r="BM16" s="65">
        <f t="shared" si="35"/>
        <v>0.80187537387447838</v>
      </c>
      <c r="BN16" s="65">
        <f t="shared" si="36"/>
        <v>1.6037507477489596</v>
      </c>
      <c r="BO16" s="65">
        <f t="shared" si="37"/>
        <v>2.1215628217388147</v>
      </c>
      <c r="BP16" s="65">
        <f t="shared" si="38"/>
        <v>2.1215628217388147</v>
      </c>
      <c r="BQ16" s="90">
        <f t="shared" si="39"/>
        <v>1.3888888888888893</v>
      </c>
      <c r="BR16" s="69">
        <f t="shared" si="40"/>
        <v>100</v>
      </c>
      <c r="BS16" s="67">
        <f t="shared" si="41"/>
        <v>83.333333333333343</v>
      </c>
      <c r="BT16" s="67">
        <f t="shared" si="42"/>
        <v>44.44444444444445</v>
      </c>
      <c r="BU16" s="67">
        <f t="shared" si="43"/>
        <v>27.777777777777782</v>
      </c>
      <c r="BV16" s="67">
        <f t="shared" si="50"/>
        <v>19.444444444444446</v>
      </c>
      <c r="BW16" s="67">
        <f t="shared" si="51"/>
        <v>13.888888888888891</v>
      </c>
      <c r="BX16" s="67">
        <f>AVERAGE(AV16:AX16)</f>
        <v>11.111111111111112</v>
      </c>
      <c r="BY16" s="67">
        <f>AVERAGE(AY16:BA16)</f>
        <v>8.3333333333333339</v>
      </c>
      <c r="BZ16" s="69">
        <f t="shared" si="46"/>
        <v>0</v>
      </c>
      <c r="CA16" s="67">
        <f t="shared" si="46"/>
        <v>16.666666666666657</v>
      </c>
      <c r="CB16" s="67">
        <f t="shared" si="46"/>
        <v>55.55555555555555</v>
      </c>
      <c r="CC16" s="67">
        <f t="shared" si="46"/>
        <v>72.222222222222214</v>
      </c>
      <c r="CD16" s="67">
        <f t="shared" si="46"/>
        <v>80.555555555555557</v>
      </c>
      <c r="CE16" s="67">
        <f t="shared" si="46"/>
        <v>86.111111111111114</v>
      </c>
      <c r="CF16" s="67">
        <f t="shared" si="46"/>
        <v>88.888888888888886</v>
      </c>
      <c r="CG16" s="116">
        <f t="shared" si="46"/>
        <v>91.666666666666671</v>
      </c>
    </row>
    <row r="17" spans="2:85" x14ac:dyDescent="0.3">
      <c r="B17" s="410"/>
      <c r="C17" s="413"/>
      <c r="D17" s="70" t="s">
        <v>805</v>
      </c>
      <c r="E17" s="71">
        <v>12</v>
      </c>
      <c r="F17" s="71">
        <v>12</v>
      </c>
      <c r="G17" s="72">
        <v>12</v>
      </c>
      <c r="H17" s="71">
        <f t="shared" si="0"/>
        <v>36</v>
      </c>
      <c r="I17" s="73">
        <v>10</v>
      </c>
      <c r="J17" s="73">
        <v>11</v>
      </c>
      <c r="K17" s="72">
        <v>9</v>
      </c>
      <c r="L17" s="73">
        <v>7</v>
      </c>
      <c r="M17" s="73">
        <v>6</v>
      </c>
      <c r="N17" s="72">
        <v>5</v>
      </c>
      <c r="O17" s="73">
        <v>6</v>
      </c>
      <c r="P17" s="73">
        <v>5</v>
      </c>
      <c r="Q17" s="72">
        <v>4</v>
      </c>
      <c r="R17" s="73">
        <v>5</v>
      </c>
      <c r="S17" s="73">
        <v>4</v>
      </c>
      <c r="T17" s="72">
        <v>3</v>
      </c>
      <c r="U17" s="73">
        <v>4</v>
      </c>
      <c r="V17" s="73">
        <v>4</v>
      </c>
      <c r="W17" s="72">
        <v>2</v>
      </c>
      <c r="X17" s="73">
        <v>3</v>
      </c>
      <c r="Y17" s="73">
        <v>4</v>
      </c>
      <c r="Z17" s="72">
        <v>1</v>
      </c>
      <c r="AA17" s="73">
        <v>2</v>
      </c>
      <c r="AB17" s="73">
        <v>3</v>
      </c>
      <c r="AC17" s="72">
        <v>1</v>
      </c>
      <c r="AD17" s="71">
        <f t="shared" si="1"/>
        <v>100</v>
      </c>
      <c r="AE17" s="71">
        <f t="shared" si="2"/>
        <v>100</v>
      </c>
      <c r="AF17" s="72">
        <f t="shared" si="3"/>
        <v>100</v>
      </c>
      <c r="AG17" s="71">
        <f t="shared" si="4"/>
        <v>83.333333333333343</v>
      </c>
      <c r="AH17" s="71">
        <f t="shared" si="5"/>
        <v>91.666666666666671</v>
      </c>
      <c r="AI17" s="72">
        <f t="shared" si="6"/>
        <v>75</v>
      </c>
      <c r="AJ17" s="71">
        <f t="shared" si="7"/>
        <v>58.333333333333336</v>
      </c>
      <c r="AK17" s="71">
        <f t="shared" si="8"/>
        <v>50</v>
      </c>
      <c r="AL17" s="72">
        <f t="shared" si="9"/>
        <v>41.666666666666671</v>
      </c>
      <c r="AM17" s="71">
        <f t="shared" si="10"/>
        <v>50</v>
      </c>
      <c r="AN17" s="71">
        <f t="shared" si="11"/>
        <v>41.666666666666671</v>
      </c>
      <c r="AO17" s="72">
        <f t="shared" si="12"/>
        <v>33.333333333333336</v>
      </c>
      <c r="AP17" s="71">
        <f t="shared" si="13"/>
        <v>41.666666666666671</v>
      </c>
      <c r="AQ17" s="71">
        <f t="shared" si="14"/>
        <v>33.333333333333336</v>
      </c>
      <c r="AR17" s="72">
        <f t="shared" si="15"/>
        <v>25</v>
      </c>
      <c r="AS17" s="71">
        <f t="shared" si="16"/>
        <v>33.333333333333336</v>
      </c>
      <c r="AT17" s="71">
        <f t="shared" si="17"/>
        <v>33.333333333333336</v>
      </c>
      <c r="AU17" s="72">
        <f t="shared" si="18"/>
        <v>16.666666666666668</v>
      </c>
      <c r="AV17" s="71">
        <f t="shared" si="19"/>
        <v>25</v>
      </c>
      <c r="AW17" s="71">
        <f t="shared" si="20"/>
        <v>33.333333333333336</v>
      </c>
      <c r="AX17" s="72">
        <f t="shared" si="21"/>
        <v>8.3333333333333339</v>
      </c>
      <c r="AY17" s="71">
        <f t="shared" si="22"/>
        <v>16.666666666666668</v>
      </c>
      <c r="AZ17" s="71">
        <f t="shared" si="23"/>
        <v>25</v>
      </c>
      <c r="BA17" s="72">
        <f t="shared" si="24"/>
        <v>8.3333333333333339</v>
      </c>
      <c r="BB17" s="74">
        <f t="shared" si="25"/>
        <v>0</v>
      </c>
      <c r="BC17" s="71">
        <f t="shared" si="26"/>
        <v>8.3333333333333357</v>
      </c>
      <c r="BD17" s="71">
        <f t="shared" si="27"/>
        <v>8.3333333333333268</v>
      </c>
      <c r="BE17" s="71">
        <f t="shared" si="28"/>
        <v>8.3333333333333552</v>
      </c>
      <c r="BF17" s="71">
        <f t="shared" si="29"/>
        <v>8.333333333333341</v>
      </c>
      <c r="BG17" s="71">
        <f t="shared" si="30"/>
        <v>9.6225044864937637</v>
      </c>
      <c r="BH17" s="71">
        <f t="shared" si="31"/>
        <v>12.729376930432885</v>
      </c>
      <c r="BI17" s="71">
        <f t="shared" si="32"/>
        <v>8.3333333333333268</v>
      </c>
      <c r="BJ17" s="74">
        <f t="shared" si="47"/>
        <v>0</v>
      </c>
      <c r="BK17" s="71">
        <f t="shared" si="33"/>
        <v>1.3888888888888893</v>
      </c>
      <c r="BL17" s="71">
        <f t="shared" si="34"/>
        <v>1.3888888888888877</v>
      </c>
      <c r="BM17" s="71">
        <f t="shared" si="35"/>
        <v>1.3888888888888926</v>
      </c>
      <c r="BN17" s="71">
        <f t="shared" si="36"/>
        <v>1.3888888888888902</v>
      </c>
      <c r="BO17" s="71">
        <f t="shared" si="37"/>
        <v>1.6037507477489605</v>
      </c>
      <c r="BP17" s="71">
        <f t="shared" si="38"/>
        <v>2.1215628217388143</v>
      </c>
      <c r="BQ17" s="91">
        <f t="shared" si="39"/>
        <v>1.3888888888888877</v>
      </c>
      <c r="BR17" s="75">
        <f t="shared" si="40"/>
        <v>100</v>
      </c>
      <c r="BS17" s="73">
        <f t="shared" si="41"/>
        <v>83.333333333333329</v>
      </c>
      <c r="BT17" s="73">
        <f t="shared" si="42"/>
        <v>50</v>
      </c>
      <c r="BU17" s="73">
        <f t="shared" si="43"/>
        <v>41.666666666666664</v>
      </c>
      <c r="BV17" s="73">
        <f t="shared" si="50"/>
        <v>33.333333333333336</v>
      </c>
      <c r="BW17" s="73">
        <f t="shared" si="51"/>
        <v>27.777777777777782</v>
      </c>
      <c r="BX17" s="73">
        <f>AVERAGE(AV17:AX17)</f>
        <v>22.222222222222225</v>
      </c>
      <c r="BY17" s="73">
        <f>AVERAGE(AY17:BA17)</f>
        <v>16.666666666666668</v>
      </c>
      <c r="BZ17" s="75">
        <f t="shared" si="46"/>
        <v>0</v>
      </c>
      <c r="CA17" s="73">
        <f t="shared" si="46"/>
        <v>16.666666666666671</v>
      </c>
      <c r="CB17" s="73">
        <f t="shared" si="46"/>
        <v>50</v>
      </c>
      <c r="CC17" s="73">
        <f t="shared" si="46"/>
        <v>58.333333333333336</v>
      </c>
      <c r="CD17" s="73">
        <f t="shared" si="46"/>
        <v>66.666666666666657</v>
      </c>
      <c r="CE17" s="73">
        <f t="shared" si="46"/>
        <v>72.222222222222214</v>
      </c>
      <c r="CF17" s="73">
        <f t="shared" si="46"/>
        <v>77.777777777777771</v>
      </c>
      <c r="CG17" s="265">
        <f t="shared" si="46"/>
        <v>83.333333333333329</v>
      </c>
    </row>
    <row r="18" spans="2:85" ht="15" customHeight="1" x14ac:dyDescent="0.3">
      <c r="B18" s="408">
        <v>4</v>
      </c>
      <c r="C18" s="411" t="s">
        <v>75</v>
      </c>
      <c r="D18" s="76" t="s">
        <v>802</v>
      </c>
      <c r="E18" s="77">
        <v>12</v>
      </c>
      <c r="F18" s="77">
        <v>12</v>
      </c>
      <c r="G18" s="78">
        <v>12</v>
      </c>
      <c r="H18" s="77">
        <f t="shared" si="0"/>
        <v>36</v>
      </c>
      <c r="I18" s="79">
        <v>6</v>
      </c>
      <c r="J18" s="79">
        <v>7</v>
      </c>
      <c r="K18" s="78">
        <v>6</v>
      </c>
      <c r="L18" s="79">
        <v>1</v>
      </c>
      <c r="M18" s="79">
        <v>2</v>
      </c>
      <c r="N18" s="78">
        <v>3</v>
      </c>
      <c r="O18" s="79">
        <v>0</v>
      </c>
      <c r="P18" s="79">
        <v>1</v>
      </c>
      <c r="Q18" s="78">
        <v>0</v>
      </c>
      <c r="R18" s="79">
        <v>0</v>
      </c>
      <c r="S18" s="79">
        <v>1</v>
      </c>
      <c r="T18" s="78">
        <v>0</v>
      </c>
      <c r="U18" s="79">
        <v>0</v>
      </c>
      <c r="V18" s="79">
        <v>0</v>
      </c>
      <c r="W18" s="78">
        <v>0</v>
      </c>
      <c r="X18" s="79">
        <v>0</v>
      </c>
      <c r="Y18" s="79">
        <v>0</v>
      </c>
      <c r="Z18" s="78">
        <v>0</v>
      </c>
      <c r="AA18" s="79">
        <v>0</v>
      </c>
      <c r="AB18" s="79">
        <v>0</v>
      </c>
      <c r="AC18" s="78">
        <v>0</v>
      </c>
      <c r="AD18" s="77">
        <f t="shared" si="1"/>
        <v>100</v>
      </c>
      <c r="AE18" s="77">
        <f t="shared" si="2"/>
        <v>100</v>
      </c>
      <c r="AF18" s="78">
        <f t="shared" si="3"/>
        <v>100</v>
      </c>
      <c r="AG18" s="77">
        <f t="shared" si="4"/>
        <v>50</v>
      </c>
      <c r="AH18" s="77">
        <f t="shared" si="5"/>
        <v>58.333333333333336</v>
      </c>
      <c r="AI18" s="78">
        <f t="shared" si="6"/>
        <v>50</v>
      </c>
      <c r="AJ18" s="77">
        <f t="shared" si="7"/>
        <v>8.3333333333333339</v>
      </c>
      <c r="AK18" s="77">
        <f t="shared" si="8"/>
        <v>16.666666666666668</v>
      </c>
      <c r="AL18" s="78">
        <f t="shared" si="9"/>
        <v>25</v>
      </c>
      <c r="AM18" s="77">
        <f t="shared" si="10"/>
        <v>0</v>
      </c>
      <c r="AN18" s="77">
        <f t="shared" si="11"/>
        <v>8.3333333333333339</v>
      </c>
      <c r="AO18" s="78">
        <f t="shared" si="12"/>
        <v>0</v>
      </c>
      <c r="AP18" s="77">
        <f t="shared" si="13"/>
        <v>0</v>
      </c>
      <c r="AQ18" s="77">
        <f t="shared" si="14"/>
        <v>8.3333333333333339</v>
      </c>
      <c r="AR18" s="78">
        <f t="shared" si="15"/>
        <v>0</v>
      </c>
      <c r="AS18" s="77">
        <f t="shared" si="16"/>
        <v>0</v>
      </c>
      <c r="AT18" s="77">
        <f t="shared" si="17"/>
        <v>0</v>
      </c>
      <c r="AU18" s="78">
        <f t="shared" si="18"/>
        <v>0</v>
      </c>
      <c r="AV18" s="77">
        <f t="shared" si="19"/>
        <v>0</v>
      </c>
      <c r="AW18" s="77">
        <f t="shared" si="20"/>
        <v>0</v>
      </c>
      <c r="AX18" s="78">
        <f t="shared" si="21"/>
        <v>0</v>
      </c>
      <c r="AY18" s="77">
        <f t="shared" si="22"/>
        <v>0</v>
      </c>
      <c r="AZ18" s="77">
        <f t="shared" si="23"/>
        <v>0</v>
      </c>
      <c r="BA18" s="78">
        <f t="shared" si="24"/>
        <v>0</v>
      </c>
      <c r="BB18" s="80">
        <f t="shared" si="25"/>
        <v>0</v>
      </c>
      <c r="BC18" s="77">
        <f t="shared" si="26"/>
        <v>4.8112522432468827</v>
      </c>
      <c r="BD18" s="77">
        <f t="shared" si="27"/>
        <v>8.3333333333333339</v>
      </c>
      <c r="BE18" s="77">
        <f t="shared" si="28"/>
        <v>4.8112522432468818</v>
      </c>
      <c r="BF18" s="77">
        <f t="shared" si="29"/>
        <v>4.8112522432468818</v>
      </c>
      <c r="BG18" s="77">
        <f t="shared" si="30"/>
        <v>0</v>
      </c>
      <c r="BH18" s="77">
        <f t="shared" si="31"/>
        <v>0</v>
      </c>
      <c r="BI18" s="77">
        <f t="shared" si="32"/>
        <v>0</v>
      </c>
      <c r="BJ18" s="80">
        <f t="shared" si="47"/>
        <v>0</v>
      </c>
      <c r="BK18" s="77">
        <f t="shared" si="33"/>
        <v>0.80187537387448049</v>
      </c>
      <c r="BL18" s="77">
        <f t="shared" si="34"/>
        <v>1.3888888888888891</v>
      </c>
      <c r="BM18" s="77">
        <f t="shared" si="35"/>
        <v>0.80187537387448027</v>
      </c>
      <c r="BN18" s="77">
        <f t="shared" si="36"/>
        <v>0.80187537387448027</v>
      </c>
      <c r="BO18" s="77">
        <f t="shared" si="37"/>
        <v>0</v>
      </c>
      <c r="BP18" s="77">
        <f t="shared" si="38"/>
        <v>0</v>
      </c>
      <c r="BQ18" s="92">
        <f t="shared" si="39"/>
        <v>0</v>
      </c>
      <c r="BR18" s="81">
        <f t="shared" si="40"/>
        <v>100</v>
      </c>
      <c r="BS18" s="79">
        <f t="shared" si="41"/>
        <v>52.777777777777779</v>
      </c>
      <c r="BT18" s="79">
        <f t="shared" si="42"/>
        <v>16.666666666666668</v>
      </c>
      <c r="BU18" s="79">
        <f t="shared" si="43"/>
        <v>2.7777777777777781</v>
      </c>
      <c r="BV18" s="79">
        <f t="shared" si="50"/>
        <v>2.7777777777777781</v>
      </c>
      <c r="BW18" s="79">
        <f t="shared" si="51"/>
        <v>0</v>
      </c>
      <c r="BX18" s="79">
        <f>AVERAGE(AT18:AV18)</f>
        <v>0</v>
      </c>
      <c r="BY18" s="79">
        <f>AVERAGE(AU18:AW18)</f>
        <v>0</v>
      </c>
      <c r="BZ18" s="81">
        <f t="shared" si="46"/>
        <v>0</v>
      </c>
      <c r="CA18" s="79">
        <f t="shared" si="46"/>
        <v>47.222222222222221</v>
      </c>
      <c r="CB18" s="79">
        <f t="shared" si="46"/>
        <v>83.333333333333329</v>
      </c>
      <c r="CC18" s="79">
        <f t="shared" si="46"/>
        <v>97.222222222222229</v>
      </c>
      <c r="CD18" s="79">
        <f t="shared" si="46"/>
        <v>97.222222222222229</v>
      </c>
      <c r="CE18" s="79">
        <f t="shared" si="46"/>
        <v>100</v>
      </c>
      <c r="CF18" s="79">
        <f t="shared" si="46"/>
        <v>100</v>
      </c>
      <c r="CG18" s="264">
        <f t="shared" si="46"/>
        <v>100</v>
      </c>
    </row>
    <row r="19" spans="2:85" x14ac:dyDescent="0.3">
      <c r="B19" s="409"/>
      <c r="C19" s="412"/>
      <c r="D19" s="70" t="s">
        <v>803</v>
      </c>
      <c r="E19" s="65">
        <v>12</v>
      </c>
      <c r="F19" s="65">
        <v>12</v>
      </c>
      <c r="G19" s="66">
        <v>12</v>
      </c>
      <c r="H19" s="65">
        <f t="shared" si="0"/>
        <v>36</v>
      </c>
      <c r="I19" s="67">
        <v>8</v>
      </c>
      <c r="J19" s="67">
        <v>9</v>
      </c>
      <c r="K19" s="66">
        <v>8</v>
      </c>
      <c r="L19" s="67">
        <v>3</v>
      </c>
      <c r="M19" s="67">
        <v>5</v>
      </c>
      <c r="N19" s="66">
        <v>4</v>
      </c>
      <c r="O19" s="67">
        <v>2</v>
      </c>
      <c r="P19" s="67">
        <v>3</v>
      </c>
      <c r="Q19" s="66">
        <v>1</v>
      </c>
      <c r="R19" s="67">
        <v>1</v>
      </c>
      <c r="S19" s="67">
        <v>2</v>
      </c>
      <c r="T19" s="66">
        <v>1</v>
      </c>
      <c r="U19" s="67">
        <v>0</v>
      </c>
      <c r="V19" s="67">
        <v>1</v>
      </c>
      <c r="W19" s="66">
        <v>1</v>
      </c>
      <c r="X19" s="67">
        <v>0</v>
      </c>
      <c r="Y19" s="67">
        <v>1</v>
      </c>
      <c r="Z19" s="66">
        <v>1</v>
      </c>
      <c r="AA19" s="67">
        <v>0</v>
      </c>
      <c r="AB19" s="67">
        <v>1</v>
      </c>
      <c r="AC19" s="66">
        <v>1</v>
      </c>
      <c r="AD19" s="65">
        <f t="shared" si="1"/>
        <v>100</v>
      </c>
      <c r="AE19" s="65">
        <f t="shared" si="2"/>
        <v>100</v>
      </c>
      <c r="AF19" s="66">
        <f t="shared" si="3"/>
        <v>100</v>
      </c>
      <c r="AG19" s="65">
        <f t="shared" si="4"/>
        <v>66.666666666666671</v>
      </c>
      <c r="AH19" s="65">
        <f t="shared" si="5"/>
        <v>75</v>
      </c>
      <c r="AI19" s="66">
        <f t="shared" si="6"/>
        <v>66.666666666666671</v>
      </c>
      <c r="AJ19" s="65">
        <f t="shared" si="7"/>
        <v>25</v>
      </c>
      <c r="AK19" s="65">
        <f t="shared" si="8"/>
        <v>41.666666666666671</v>
      </c>
      <c r="AL19" s="66">
        <f t="shared" si="9"/>
        <v>33.333333333333336</v>
      </c>
      <c r="AM19" s="65">
        <f t="shared" si="10"/>
        <v>16.666666666666668</v>
      </c>
      <c r="AN19" s="65">
        <f t="shared" si="11"/>
        <v>25</v>
      </c>
      <c r="AO19" s="66">
        <f t="shared" si="12"/>
        <v>8.3333333333333339</v>
      </c>
      <c r="AP19" s="65">
        <f t="shared" si="13"/>
        <v>8.3333333333333339</v>
      </c>
      <c r="AQ19" s="65">
        <f t="shared" si="14"/>
        <v>16.666666666666668</v>
      </c>
      <c r="AR19" s="66">
        <f t="shared" si="15"/>
        <v>8.3333333333333339</v>
      </c>
      <c r="AS19" s="65">
        <f t="shared" si="16"/>
        <v>0</v>
      </c>
      <c r="AT19" s="65">
        <f t="shared" si="17"/>
        <v>8.3333333333333339</v>
      </c>
      <c r="AU19" s="66">
        <f t="shared" si="18"/>
        <v>8.3333333333333339</v>
      </c>
      <c r="AV19" s="65">
        <f t="shared" si="19"/>
        <v>0</v>
      </c>
      <c r="AW19" s="65">
        <f t="shared" si="20"/>
        <v>8.3333333333333339</v>
      </c>
      <c r="AX19" s="66">
        <f t="shared" si="21"/>
        <v>8.3333333333333339</v>
      </c>
      <c r="AY19" s="65">
        <f t="shared" si="22"/>
        <v>0</v>
      </c>
      <c r="AZ19" s="65">
        <f t="shared" si="23"/>
        <v>8.3333333333333339</v>
      </c>
      <c r="BA19" s="66">
        <f t="shared" si="24"/>
        <v>8.3333333333333339</v>
      </c>
      <c r="BB19" s="68">
        <f t="shared" si="25"/>
        <v>0</v>
      </c>
      <c r="BC19" s="65">
        <f t="shared" si="26"/>
        <v>4.8112522432468792</v>
      </c>
      <c r="BD19" s="65">
        <f t="shared" si="27"/>
        <v>8.333333333333341</v>
      </c>
      <c r="BE19" s="65">
        <f t="shared" si="28"/>
        <v>8.3333333333333268</v>
      </c>
      <c r="BF19" s="65">
        <f t="shared" si="29"/>
        <v>4.8112522432468818</v>
      </c>
      <c r="BG19" s="65">
        <f t="shared" si="30"/>
        <v>4.8112522432468818</v>
      </c>
      <c r="BH19" s="65">
        <f t="shared" si="31"/>
        <v>4.8112522432468818</v>
      </c>
      <c r="BI19" s="65">
        <f t="shared" si="32"/>
        <v>4.8112522432468818</v>
      </c>
      <c r="BJ19" s="68">
        <f t="shared" si="47"/>
        <v>0</v>
      </c>
      <c r="BK19" s="65">
        <f t="shared" si="33"/>
        <v>0.80187537387447982</v>
      </c>
      <c r="BL19" s="65">
        <f t="shared" si="34"/>
        <v>1.3888888888888902</v>
      </c>
      <c r="BM19" s="65">
        <f t="shared" si="35"/>
        <v>1.3888888888888877</v>
      </c>
      <c r="BN19" s="65">
        <f t="shared" si="36"/>
        <v>0.80187537387448027</v>
      </c>
      <c r="BO19" s="65">
        <f t="shared" si="37"/>
        <v>0.80187537387448027</v>
      </c>
      <c r="BP19" s="65">
        <f t="shared" si="38"/>
        <v>0.80187537387448027</v>
      </c>
      <c r="BQ19" s="90">
        <f t="shared" si="39"/>
        <v>0.80187537387448027</v>
      </c>
      <c r="BR19" s="69">
        <f t="shared" si="40"/>
        <v>100</v>
      </c>
      <c r="BS19" s="67">
        <f t="shared" si="41"/>
        <v>69.444444444444457</v>
      </c>
      <c r="BT19" s="67">
        <f t="shared" si="42"/>
        <v>33.333333333333336</v>
      </c>
      <c r="BU19" s="67">
        <f t="shared" si="43"/>
        <v>16.666666666666668</v>
      </c>
      <c r="BV19" s="67">
        <f t="shared" si="50"/>
        <v>11.111111111111112</v>
      </c>
      <c r="BW19" s="67">
        <f t="shared" si="51"/>
        <v>5.5555555555555562</v>
      </c>
      <c r="BX19" s="67">
        <f>AVERAGE(AV19:AX19)</f>
        <v>5.5555555555555562</v>
      </c>
      <c r="BY19" s="67">
        <f>AVERAGE(AY19:BA19)</f>
        <v>5.5555555555555562</v>
      </c>
      <c r="BZ19" s="69">
        <f t="shared" si="46"/>
        <v>0</v>
      </c>
      <c r="CA19" s="67">
        <f t="shared" si="46"/>
        <v>30.555555555555543</v>
      </c>
      <c r="CB19" s="67">
        <f t="shared" si="46"/>
        <v>66.666666666666657</v>
      </c>
      <c r="CC19" s="67">
        <f t="shared" si="46"/>
        <v>83.333333333333329</v>
      </c>
      <c r="CD19" s="67">
        <f t="shared" si="46"/>
        <v>88.888888888888886</v>
      </c>
      <c r="CE19" s="67">
        <f t="shared" si="46"/>
        <v>94.444444444444443</v>
      </c>
      <c r="CF19" s="67">
        <f t="shared" si="46"/>
        <v>94.444444444444443</v>
      </c>
      <c r="CG19" s="116">
        <f t="shared" si="46"/>
        <v>94.444444444444443</v>
      </c>
    </row>
    <row r="20" spans="2:85" x14ac:dyDescent="0.3">
      <c r="B20" s="409"/>
      <c r="C20" s="412"/>
      <c r="D20" s="70" t="s">
        <v>804</v>
      </c>
      <c r="E20" s="65">
        <v>12</v>
      </c>
      <c r="F20" s="65">
        <v>12</v>
      </c>
      <c r="G20" s="66">
        <v>12</v>
      </c>
      <c r="H20" s="65">
        <f t="shared" si="0"/>
        <v>36</v>
      </c>
      <c r="I20" s="67">
        <v>7</v>
      </c>
      <c r="J20" s="67">
        <v>8</v>
      </c>
      <c r="K20" s="66">
        <v>10</v>
      </c>
      <c r="L20" s="67">
        <v>4</v>
      </c>
      <c r="M20" s="67">
        <v>3</v>
      </c>
      <c r="N20" s="66">
        <v>4</v>
      </c>
      <c r="O20" s="67">
        <v>2</v>
      </c>
      <c r="P20" s="67">
        <v>3</v>
      </c>
      <c r="Q20" s="66">
        <v>2</v>
      </c>
      <c r="R20" s="67">
        <v>2</v>
      </c>
      <c r="S20" s="67">
        <v>3</v>
      </c>
      <c r="T20" s="66">
        <v>2</v>
      </c>
      <c r="U20" s="67">
        <v>1</v>
      </c>
      <c r="V20" s="67">
        <v>2</v>
      </c>
      <c r="W20" s="66">
        <v>1</v>
      </c>
      <c r="X20" s="67">
        <v>0</v>
      </c>
      <c r="Y20" s="67">
        <v>0</v>
      </c>
      <c r="Z20" s="66">
        <v>0</v>
      </c>
      <c r="AA20" s="67">
        <v>0</v>
      </c>
      <c r="AB20" s="67">
        <v>0</v>
      </c>
      <c r="AC20" s="66">
        <v>0</v>
      </c>
      <c r="AD20" s="65">
        <f t="shared" si="1"/>
        <v>100</v>
      </c>
      <c r="AE20" s="65">
        <f t="shared" si="2"/>
        <v>100</v>
      </c>
      <c r="AF20" s="66">
        <f t="shared" si="3"/>
        <v>100</v>
      </c>
      <c r="AG20" s="65">
        <f t="shared" si="4"/>
        <v>58.333333333333336</v>
      </c>
      <c r="AH20" s="65">
        <f t="shared" si="5"/>
        <v>66.666666666666671</v>
      </c>
      <c r="AI20" s="66">
        <f t="shared" si="6"/>
        <v>83.333333333333343</v>
      </c>
      <c r="AJ20" s="65">
        <f t="shared" si="7"/>
        <v>33.333333333333336</v>
      </c>
      <c r="AK20" s="65">
        <f t="shared" si="8"/>
        <v>25</v>
      </c>
      <c r="AL20" s="66">
        <f t="shared" si="9"/>
        <v>33.333333333333336</v>
      </c>
      <c r="AM20" s="65">
        <f t="shared" si="10"/>
        <v>16.666666666666668</v>
      </c>
      <c r="AN20" s="65">
        <f t="shared" si="11"/>
        <v>25</v>
      </c>
      <c r="AO20" s="66">
        <f t="shared" si="12"/>
        <v>16.666666666666668</v>
      </c>
      <c r="AP20" s="65">
        <f t="shared" si="13"/>
        <v>16.666666666666668</v>
      </c>
      <c r="AQ20" s="65">
        <f t="shared" si="14"/>
        <v>25</v>
      </c>
      <c r="AR20" s="66">
        <f t="shared" si="15"/>
        <v>16.666666666666668</v>
      </c>
      <c r="AS20" s="65">
        <f t="shared" si="16"/>
        <v>8.3333333333333339</v>
      </c>
      <c r="AT20" s="65">
        <f t="shared" si="17"/>
        <v>16.666666666666668</v>
      </c>
      <c r="AU20" s="66">
        <f t="shared" si="18"/>
        <v>8.3333333333333339</v>
      </c>
      <c r="AV20" s="65">
        <f t="shared" si="19"/>
        <v>0</v>
      </c>
      <c r="AW20" s="65">
        <f t="shared" si="20"/>
        <v>0</v>
      </c>
      <c r="AX20" s="66">
        <f t="shared" si="21"/>
        <v>0</v>
      </c>
      <c r="AY20" s="65">
        <f t="shared" si="22"/>
        <v>0</v>
      </c>
      <c r="AZ20" s="65">
        <f t="shared" si="23"/>
        <v>0</v>
      </c>
      <c r="BA20" s="66">
        <f t="shared" si="24"/>
        <v>0</v>
      </c>
      <c r="BB20" s="68">
        <f t="shared" si="25"/>
        <v>0</v>
      </c>
      <c r="BC20" s="65">
        <f t="shared" si="26"/>
        <v>12.729376930432904</v>
      </c>
      <c r="BD20" s="65">
        <f t="shared" si="27"/>
        <v>4.8112522432468703</v>
      </c>
      <c r="BE20" s="65">
        <f t="shared" si="28"/>
        <v>4.8112522432468703</v>
      </c>
      <c r="BF20" s="65">
        <f t="shared" si="29"/>
        <v>4.8112522432468703</v>
      </c>
      <c r="BG20" s="65">
        <f t="shared" si="30"/>
        <v>4.8112522432468818</v>
      </c>
      <c r="BH20" s="65">
        <f t="shared" si="31"/>
        <v>0</v>
      </c>
      <c r="BI20" s="65">
        <f t="shared" si="32"/>
        <v>0</v>
      </c>
      <c r="BJ20" s="68">
        <f t="shared" si="47"/>
        <v>0</v>
      </c>
      <c r="BK20" s="65">
        <f t="shared" si="33"/>
        <v>2.1215628217388174</v>
      </c>
      <c r="BL20" s="65">
        <f t="shared" si="34"/>
        <v>0.80187537387447838</v>
      </c>
      <c r="BM20" s="65">
        <f t="shared" si="35"/>
        <v>0.80187537387447838</v>
      </c>
      <c r="BN20" s="65">
        <f t="shared" si="36"/>
        <v>0.80187537387447838</v>
      </c>
      <c r="BO20" s="65">
        <f t="shared" si="37"/>
        <v>0.80187537387448027</v>
      </c>
      <c r="BP20" s="65">
        <f t="shared" si="38"/>
        <v>0</v>
      </c>
      <c r="BQ20" s="90">
        <f t="shared" si="39"/>
        <v>0</v>
      </c>
      <c r="BR20" s="69">
        <f t="shared" si="40"/>
        <v>100</v>
      </c>
      <c r="BS20" s="67">
        <f t="shared" si="41"/>
        <v>69.444444444444443</v>
      </c>
      <c r="BT20" s="67">
        <f t="shared" si="42"/>
        <v>30.555555555555557</v>
      </c>
      <c r="BU20" s="67">
        <f t="shared" si="43"/>
        <v>19.444444444444446</v>
      </c>
      <c r="BV20" s="67">
        <f t="shared" si="50"/>
        <v>19.444444444444446</v>
      </c>
      <c r="BW20" s="67">
        <f t="shared" si="51"/>
        <v>11.111111111111112</v>
      </c>
      <c r="BX20" s="67">
        <f>AVERAGE(AV20:AX20)</f>
        <v>0</v>
      </c>
      <c r="BY20" s="67">
        <f>AVERAGE(AW20:AY20)</f>
        <v>0</v>
      </c>
      <c r="BZ20" s="69">
        <f t="shared" si="46"/>
        <v>0</v>
      </c>
      <c r="CA20" s="67">
        <f t="shared" si="46"/>
        <v>30.555555555555557</v>
      </c>
      <c r="CB20" s="67">
        <f t="shared" si="46"/>
        <v>69.444444444444443</v>
      </c>
      <c r="CC20" s="67">
        <f t="shared" si="46"/>
        <v>80.555555555555557</v>
      </c>
      <c r="CD20" s="67">
        <f t="shared" si="46"/>
        <v>80.555555555555557</v>
      </c>
      <c r="CE20" s="67">
        <f t="shared" si="46"/>
        <v>88.888888888888886</v>
      </c>
      <c r="CF20" s="67">
        <f t="shared" si="46"/>
        <v>100</v>
      </c>
      <c r="CG20" s="116">
        <f t="shared" si="46"/>
        <v>100</v>
      </c>
    </row>
    <row r="21" spans="2:85" x14ac:dyDescent="0.3">
      <c r="B21" s="410"/>
      <c r="C21" s="413"/>
      <c r="D21" s="70" t="s">
        <v>805</v>
      </c>
      <c r="E21" s="71">
        <v>12</v>
      </c>
      <c r="F21" s="71">
        <v>12</v>
      </c>
      <c r="G21" s="72">
        <v>12</v>
      </c>
      <c r="H21" s="71">
        <f t="shared" si="0"/>
        <v>36</v>
      </c>
      <c r="I21" s="73">
        <v>10</v>
      </c>
      <c r="J21" s="73">
        <v>10</v>
      </c>
      <c r="K21" s="72">
        <v>9</v>
      </c>
      <c r="L21" s="73">
        <v>5</v>
      </c>
      <c r="M21" s="73">
        <v>4</v>
      </c>
      <c r="N21" s="72">
        <v>4</v>
      </c>
      <c r="O21" s="73">
        <v>4</v>
      </c>
      <c r="P21" s="73">
        <v>3</v>
      </c>
      <c r="Q21" s="72">
        <v>3</v>
      </c>
      <c r="R21" s="73">
        <v>4</v>
      </c>
      <c r="S21" s="73">
        <v>3</v>
      </c>
      <c r="T21" s="72">
        <v>3</v>
      </c>
      <c r="U21" s="73">
        <v>1</v>
      </c>
      <c r="V21" s="73">
        <v>1</v>
      </c>
      <c r="W21" s="72">
        <v>1</v>
      </c>
      <c r="X21" s="73">
        <v>1</v>
      </c>
      <c r="Y21" s="73">
        <v>1</v>
      </c>
      <c r="Z21" s="72">
        <v>1</v>
      </c>
      <c r="AA21" s="73">
        <v>1</v>
      </c>
      <c r="AB21" s="73">
        <v>0</v>
      </c>
      <c r="AC21" s="72">
        <v>0</v>
      </c>
      <c r="AD21" s="71">
        <f t="shared" si="1"/>
        <v>100</v>
      </c>
      <c r="AE21" s="71">
        <f t="shared" si="2"/>
        <v>100</v>
      </c>
      <c r="AF21" s="72">
        <f t="shared" si="3"/>
        <v>100</v>
      </c>
      <c r="AG21" s="71">
        <f t="shared" si="4"/>
        <v>83.333333333333343</v>
      </c>
      <c r="AH21" s="71">
        <f t="shared" si="5"/>
        <v>83.333333333333343</v>
      </c>
      <c r="AI21" s="72">
        <f t="shared" si="6"/>
        <v>75</v>
      </c>
      <c r="AJ21" s="71">
        <f t="shared" si="7"/>
        <v>41.666666666666671</v>
      </c>
      <c r="AK21" s="71">
        <f t="shared" si="8"/>
        <v>33.333333333333336</v>
      </c>
      <c r="AL21" s="72">
        <f t="shared" si="9"/>
        <v>33.333333333333336</v>
      </c>
      <c r="AM21" s="71">
        <f t="shared" si="10"/>
        <v>33.333333333333336</v>
      </c>
      <c r="AN21" s="71">
        <f t="shared" si="11"/>
        <v>25</v>
      </c>
      <c r="AO21" s="72">
        <f t="shared" si="12"/>
        <v>25</v>
      </c>
      <c r="AP21" s="71">
        <f t="shared" si="13"/>
        <v>33.333333333333336</v>
      </c>
      <c r="AQ21" s="71">
        <f t="shared" si="14"/>
        <v>25</v>
      </c>
      <c r="AR21" s="72">
        <f t="shared" si="15"/>
        <v>25</v>
      </c>
      <c r="AS21" s="71">
        <f t="shared" si="16"/>
        <v>8.3333333333333339</v>
      </c>
      <c r="AT21" s="71">
        <f t="shared" si="17"/>
        <v>8.3333333333333339</v>
      </c>
      <c r="AU21" s="72">
        <f t="shared" si="18"/>
        <v>8.3333333333333339</v>
      </c>
      <c r="AV21" s="71">
        <f t="shared" si="19"/>
        <v>8.3333333333333339</v>
      </c>
      <c r="AW21" s="71">
        <f t="shared" si="20"/>
        <v>8.3333333333333339</v>
      </c>
      <c r="AX21" s="72">
        <f t="shared" si="21"/>
        <v>8.3333333333333339</v>
      </c>
      <c r="AY21" s="71">
        <f t="shared" si="22"/>
        <v>8.3333333333333339</v>
      </c>
      <c r="AZ21" s="71">
        <f t="shared" si="23"/>
        <v>0</v>
      </c>
      <c r="BA21" s="72">
        <f t="shared" si="24"/>
        <v>0</v>
      </c>
      <c r="BB21" s="74">
        <f t="shared" si="25"/>
        <v>0</v>
      </c>
      <c r="BC21" s="71">
        <f t="shared" si="26"/>
        <v>4.8112522432468872</v>
      </c>
      <c r="BD21" s="71">
        <f t="shared" si="27"/>
        <v>4.8112522432468703</v>
      </c>
      <c r="BE21" s="71">
        <f t="shared" si="28"/>
        <v>4.8112522432468703</v>
      </c>
      <c r="BF21" s="71">
        <f t="shared" si="29"/>
        <v>4.8112522432468703</v>
      </c>
      <c r="BG21" s="71">
        <f t="shared" si="30"/>
        <v>0</v>
      </c>
      <c r="BH21" s="71">
        <f t="shared" si="31"/>
        <v>0</v>
      </c>
      <c r="BI21" s="71">
        <f t="shared" si="32"/>
        <v>4.8112522432468818</v>
      </c>
      <c r="BJ21" s="74">
        <f t="shared" si="47"/>
        <v>0</v>
      </c>
      <c r="BK21" s="71">
        <f t="shared" si="33"/>
        <v>0.80187537387448116</v>
      </c>
      <c r="BL21" s="71">
        <f t="shared" si="34"/>
        <v>0.80187537387447838</v>
      </c>
      <c r="BM21" s="71">
        <f t="shared" si="35"/>
        <v>0.80187537387447838</v>
      </c>
      <c r="BN21" s="71">
        <f t="shared" si="36"/>
        <v>0.80187537387447838</v>
      </c>
      <c r="BO21" s="71">
        <f t="shared" si="37"/>
        <v>0</v>
      </c>
      <c r="BP21" s="71">
        <f t="shared" si="38"/>
        <v>0</v>
      </c>
      <c r="BQ21" s="91">
        <f t="shared" si="39"/>
        <v>0.80187537387448027</v>
      </c>
      <c r="BR21" s="75">
        <f t="shared" si="40"/>
        <v>100</v>
      </c>
      <c r="BS21" s="73">
        <f t="shared" si="41"/>
        <v>80.555555555555557</v>
      </c>
      <c r="BT21" s="73">
        <f t="shared" si="42"/>
        <v>36.111111111111114</v>
      </c>
      <c r="BU21" s="73">
        <f t="shared" si="43"/>
        <v>27.777777777777782</v>
      </c>
      <c r="BV21" s="73">
        <f t="shared" si="50"/>
        <v>27.777777777777782</v>
      </c>
      <c r="BW21" s="73">
        <f t="shared" si="51"/>
        <v>8.3333333333333339</v>
      </c>
      <c r="BX21" s="73">
        <f>AVERAGE(AV21:AX21)</f>
        <v>8.3333333333333339</v>
      </c>
      <c r="BY21" s="73">
        <f>AVERAGE(AY21:BA21)</f>
        <v>2.7777777777777781</v>
      </c>
      <c r="BZ21" s="75">
        <f t="shared" si="46"/>
        <v>0</v>
      </c>
      <c r="CA21" s="73">
        <f t="shared" si="46"/>
        <v>19.444444444444443</v>
      </c>
      <c r="CB21" s="73">
        <f t="shared" si="46"/>
        <v>63.888888888888886</v>
      </c>
      <c r="CC21" s="73">
        <f t="shared" si="46"/>
        <v>72.222222222222214</v>
      </c>
      <c r="CD21" s="73">
        <f t="shared" si="46"/>
        <v>72.222222222222214</v>
      </c>
      <c r="CE21" s="73">
        <f t="shared" si="46"/>
        <v>91.666666666666671</v>
      </c>
      <c r="CF21" s="73">
        <f t="shared" si="46"/>
        <v>91.666666666666671</v>
      </c>
      <c r="CG21" s="265">
        <f t="shared" si="46"/>
        <v>97.222222222222229</v>
      </c>
    </row>
    <row r="22" spans="2:85" ht="15" customHeight="1" x14ac:dyDescent="0.3">
      <c r="B22" s="408">
        <v>5</v>
      </c>
      <c r="C22" s="411" t="s">
        <v>85</v>
      </c>
      <c r="D22" s="76" t="s">
        <v>802</v>
      </c>
      <c r="E22" s="77">
        <v>12</v>
      </c>
      <c r="F22" s="77">
        <v>12</v>
      </c>
      <c r="G22" s="78">
        <v>12</v>
      </c>
      <c r="H22" s="77">
        <f t="shared" si="0"/>
        <v>36</v>
      </c>
      <c r="I22" s="79">
        <v>8</v>
      </c>
      <c r="J22" s="79">
        <v>8</v>
      </c>
      <c r="K22" s="78">
        <v>7</v>
      </c>
      <c r="L22" s="79">
        <v>7</v>
      </c>
      <c r="M22" s="79">
        <v>5</v>
      </c>
      <c r="N22" s="78">
        <v>4</v>
      </c>
      <c r="O22" s="79">
        <v>4</v>
      </c>
      <c r="P22" s="79">
        <v>2</v>
      </c>
      <c r="Q22" s="78">
        <v>1</v>
      </c>
      <c r="R22" s="79">
        <v>0</v>
      </c>
      <c r="S22" s="79">
        <v>0</v>
      </c>
      <c r="T22" s="78">
        <v>0</v>
      </c>
      <c r="U22" s="79">
        <v>0</v>
      </c>
      <c r="V22" s="79">
        <v>0</v>
      </c>
      <c r="W22" s="78">
        <v>0</v>
      </c>
      <c r="X22" s="79">
        <v>0</v>
      </c>
      <c r="Y22" s="79">
        <v>0</v>
      </c>
      <c r="Z22" s="78">
        <v>0</v>
      </c>
      <c r="AA22" s="79">
        <v>0</v>
      </c>
      <c r="AB22" s="79">
        <v>0</v>
      </c>
      <c r="AC22" s="78">
        <v>0</v>
      </c>
      <c r="AD22" s="77">
        <f t="shared" si="1"/>
        <v>100</v>
      </c>
      <c r="AE22" s="77">
        <f t="shared" si="2"/>
        <v>100</v>
      </c>
      <c r="AF22" s="78">
        <f t="shared" si="3"/>
        <v>100</v>
      </c>
      <c r="AG22" s="77">
        <f t="shared" si="4"/>
        <v>66.666666666666671</v>
      </c>
      <c r="AH22" s="77">
        <f t="shared" si="5"/>
        <v>66.666666666666671</v>
      </c>
      <c r="AI22" s="78">
        <f t="shared" si="6"/>
        <v>58.333333333333336</v>
      </c>
      <c r="AJ22" s="77">
        <f t="shared" si="7"/>
        <v>58.333333333333336</v>
      </c>
      <c r="AK22" s="77">
        <f t="shared" si="8"/>
        <v>41.666666666666671</v>
      </c>
      <c r="AL22" s="78">
        <f t="shared" si="9"/>
        <v>33.333333333333336</v>
      </c>
      <c r="AM22" s="77">
        <f t="shared" si="10"/>
        <v>33.333333333333336</v>
      </c>
      <c r="AN22" s="77">
        <f t="shared" si="11"/>
        <v>16.666666666666668</v>
      </c>
      <c r="AO22" s="78">
        <f t="shared" si="12"/>
        <v>8.3333333333333339</v>
      </c>
      <c r="AP22" s="77">
        <f t="shared" si="13"/>
        <v>0</v>
      </c>
      <c r="AQ22" s="77">
        <f t="shared" si="14"/>
        <v>0</v>
      </c>
      <c r="AR22" s="78">
        <f t="shared" si="15"/>
        <v>0</v>
      </c>
      <c r="AS22" s="77">
        <f t="shared" si="16"/>
        <v>0</v>
      </c>
      <c r="AT22" s="77">
        <f t="shared" si="17"/>
        <v>0</v>
      </c>
      <c r="AU22" s="78">
        <f t="shared" si="18"/>
        <v>0</v>
      </c>
      <c r="AV22" s="77">
        <f t="shared" si="19"/>
        <v>0</v>
      </c>
      <c r="AW22" s="77">
        <f t="shared" si="20"/>
        <v>0</v>
      </c>
      <c r="AX22" s="78">
        <f t="shared" si="21"/>
        <v>0</v>
      </c>
      <c r="AY22" s="77">
        <f t="shared" si="22"/>
        <v>0</v>
      </c>
      <c r="AZ22" s="77">
        <f t="shared" si="23"/>
        <v>0</v>
      </c>
      <c r="BA22" s="78">
        <f t="shared" si="24"/>
        <v>0</v>
      </c>
      <c r="BB22" s="80">
        <f t="shared" si="25"/>
        <v>0</v>
      </c>
      <c r="BC22" s="77">
        <f t="shared" si="26"/>
        <v>4.8112522432468827</v>
      </c>
      <c r="BD22" s="77">
        <f t="shared" si="27"/>
        <v>12.729376930432885</v>
      </c>
      <c r="BE22" s="77">
        <f t="shared" si="28"/>
        <v>12.72937693043289</v>
      </c>
      <c r="BF22" s="77">
        <f t="shared" si="29"/>
        <v>0</v>
      </c>
      <c r="BG22" s="77">
        <f t="shared" si="30"/>
        <v>0</v>
      </c>
      <c r="BH22" s="77">
        <f t="shared" si="31"/>
        <v>0</v>
      </c>
      <c r="BI22" s="77">
        <f t="shared" si="32"/>
        <v>0</v>
      </c>
      <c r="BJ22" s="80">
        <f t="shared" si="47"/>
        <v>0</v>
      </c>
      <c r="BK22" s="77">
        <f t="shared" si="33"/>
        <v>0.80187537387448049</v>
      </c>
      <c r="BL22" s="77">
        <f t="shared" si="34"/>
        <v>2.1215628217388143</v>
      </c>
      <c r="BM22" s="77">
        <f t="shared" si="35"/>
        <v>2.1215628217388152</v>
      </c>
      <c r="BN22" s="77">
        <f t="shared" si="36"/>
        <v>0</v>
      </c>
      <c r="BO22" s="77">
        <f t="shared" si="37"/>
        <v>0</v>
      </c>
      <c r="BP22" s="77">
        <f t="shared" si="38"/>
        <v>0</v>
      </c>
      <c r="BQ22" s="92">
        <f t="shared" si="39"/>
        <v>0</v>
      </c>
      <c r="BR22" s="81">
        <f t="shared" si="40"/>
        <v>100</v>
      </c>
      <c r="BS22" s="79">
        <f t="shared" si="41"/>
        <v>63.888888888888893</v>
      </c>
      <c r="BT22" s="79">
        <f t="shared" si="42"/>
        <v>44.44444444444445</v>
      </c>
      <c r="BU22" s="79">
        <f t="shared" si="43"/>
        <v>19.444444444444446</v>
      </c>
      <c r="BV22" s="79">
        <f t="shared" si="50"/>
        <v>0</v>
      </c>
      <c r="BW22" s="79">
        <f>AVERAGE(AQ22:AS22)</f>
        <v>0</v>
      </c>
      <c r="BX22" s="79">
        <f>AVERAGE(AR22:AT22)</f>
        <v>0</v>
      </c>
      <c r="BY22" s="79">
        <f>AVERAGE(AS22:AU22)</f>
        <v>0</v>
      </c>
      <c r="BZ22" s="81">
        <f t="shared" si="46"/>
        <v>0</v>
      </c>
      <c r="CA22" s="79">
        <f t="shared" si="46"/>
        <v>36.111111111111107</v>
      </c>
      <c r="CB22" s="79">
        <f t="shared" si="46"/>
        <v>55.55555555555555</v>
      </c>
      <c r="CC22" s="79">
        <f t="shared" si="46"/>
        <v>80.555555555555557</v>
      </c>
      <c r="CD22" s="79">
        <f t="shared" si="46"/>
        <v>100</v>
      </c>
      <c r="CE22" s="79">
        <f t="shared" si="46"/>
        <v>100</v>
      </c>
      <c r="CF22" s="79">
        <f t="shared" si="46"/>
        <v>100</v>
      </c>
      <c r="CG22" s="264">
        <f t="shared" si="46"/>
        <v>100</v>
      </c>
    </row>
    <row r="23" spans="2:85" x14ac:dyDescent="0.3">
      <c r="B23" s="409"/>
      <c r="C23" s="412"/>
      <c r="D23" s="70" t="s">
        <v>803</v>
      </c>
      <c r="E23" s="65">
        <v>12</v>
      </c>
      <c r="F23" s="65">
        <v>12</v>
      </c>
      <c r="G23" s="66">
        <v>12</v>
      </c>
      <c r="H23" s="65">
        <f t="shared" si="0"/>
        <v>36</v>
      </c>
      <c r="I23" s="67">
        <v>7</v>
      </c>
      <c r="J23" s="67">
        <v>10</v>
      </c>
      <c r="K23" s="66">
        <v>7</v>
      </c>
      <c r="L23" s="67">
        <v>7</v>
      </c>
      <c r="M23" s="67">
        <v>8</v>
      </c>
      <c r="N23" s="66">
        <v>7</v>
      </c>
      <c r="O23" s="67">
        <v>3</v>
      </c>
      <c r="P23" s="67">
        <v>8</v>
      </c>
      <c r="Q23" s="66">
        <v>0</v>
      </c>
      <c r="R23" s="67">
        <v>2</v>
      </c>
      <c r="S23" s="67">
        <v>6</v>
      </c>
      <c r="T23" s="66">
        <v>0</v>
      </c>
      <c r="U23" s="67">
        <v>1</v>
      </c>
      <c r="V23" s="67">
        <v>4</v>
      </c>
      <c r="W23" s="66">
        <v>0</v>
      </c>
      <c r="X23" s="67">
        <v>0</v>
      </c>
      <c r="Y23" s="67">
        <v>2</v>
      </c>
      <c r="Z23" s="66">
        <v>0</v>
      </c>
      <c r="AA23" s="67">
        <v>0</v>
      </c>
      <c r="AB23" s="67">
        <v>1</v>
      </c>
      <c r="AC23" s="66">
        <v>0</v>
      </c>
      <c r="AD23" s="65">
        <f t="shared" si="1"/>
        <v>100</v>
      </c>
      <c r="AE23" s="65">
        <f t="shared" si="2"/>
        <v>100</v>
      </c>
      <c r="AF23" s="66">
        <f t="shared" si="3"/>
        <v>100</v>
      </c>
      <c r="AG23" s="65">
        <f t="shared" si="4"/>
        <v>58.333333333333336</v>
      </c>
      <c r="AH23" s="65">
        <f t="shared" si="5"/>
        <v>83.333333333333343</v>
      </c>
      <c r="AI23" s="66">
        <f t="shared" si="6"/>
        <v>58.333333333333336</v>
      </c>
      <c r="AJ23" s="65">
        <f t="shared" si="7"/>
        <v>58.333333333333336</v>
      </c>
      <c r="AK23" s="65">
        <f t="shared" si="8"/>
        <v>66.666666666666671</v>
      </c>
      <c r="AL23" s="66">
        <f t="shared" si="9"/>
        <v>58.333333333333336</v>
      </c>
      <c r="AM23" s="65">
        <f t="shared" si="10"/>
        <v>25</v>
      </c>
      <c r="AN23" s="65">
        <f t="shared" si="11"/>
        <v>66.666666666666671</v>
      </c>
      <c r="AO23" s="66">
        <f t="shared" si="12"/>
        <v>0</v>
      </c>
      <c r="AP23" s="65">
        <f t="shared" si="13"/>
        <v>16.666666666666668</v>
      </c>
      <c r="AQ23" s="65">
        <f t="shared" si="14"/>
        <v>50</v>
      </c>
      <c r="AR23" s="66">
        <f t="shared" si="15"/>
        <v>0</v>
      </c>
      <c r="AS23" s="65">
        <f t="shared" si="16"/>
        <v>8.3333333333333339</v>
      </c>
      <c r="AT23" s="65">
        <f t="shared" si="17"/>
        <v>33.333333333333336</v>
      </c>
      <c r="AU23" s="66">
        <f t="shared" si="18"/>
        <v>0</v>
      </c>
      <c r="AV23" s="65">
        <f t="shared" si="19"/>
        <v>0</v>
      </c>
      <c r="AW23" s="65">
        <f t="shared" si="20"/>
        <v>16.666666666666668</v>
      </c>
      <c r="AX23" s="66">
        <f t="shared" si="21"/>
        <v>0</v>
      </c>
      <c r="AY23" s="65">
        <f t="shared" si="22"/>
        <v>0</v>
      </c>
      <c r="AZ23" s="65">
        <f t="shared" si="23"/>
        <v>8.3333333333333339</v>
      </c>
      <c r="BA23" s="66">
        <f t="shared" si="24"/>
        <v>0</v>
      </c>
      <c r="BB23" s="68">
        <f t="shared" si="25"/>
        <v>0</v>
      </c>
      <c r="BC23" s="65">
        <f t="shared" si="26"/>
        <v>14.433756729740603</v>
      </c>
      <c r="BD23" s="65">
        <f t="shared" si="27"/>
        <v>4.8112522432468827</v>
      </c>
      <c r="BE23" s="65">
        <f t="shared" si="28"/>
        <v>33.678765702728171</v>
      </c>
      <c r="BF23" s="65">
        <f t="shared" si="29"/>
        <v>25.458753860865777</v>
      </c>
      <c r="BG23" s="65">
        <f t="shared" si="30"/>
        <v>17.347216662217772</v>
      </c>
      <c r="BH23" s="65">
        <f t="shared" si="31"/>
        <v>9.6225044864937637</v>
      </c>
      <c r="BI23" s="65">
        <f t="shared" si="32"/>
        <v>4.8112522432468818</v>
      </c>
      <c r="BJ23" s="68">
        <f t="shared" si="47"/>
        <v>0</v>
      </c>
      <c r="BK23" s="65">
        <f t="shared" si="33"/>
        <v>2.4056261216234338</v>
      </c>
      <c r="BL23" s="65">
        <f t="shared" si="34"/>
        <v>0.80187537387448049</v>
      </c>
      <c r="BM23" s="65">
        <f t="shared" si="35"/>
        <v>5.6131276171213615</v>
      </c>
      <c r="BN23" s="65">
        <f t="shared" si="36"/>
        <v>4.2431256434776294</v>
      </c>
      <c r="BO23" s="65">
        <f t="shared" si="37"/>
        <v>2.8912027770362951</v>
      </c>
      <c r="BP23" s="65">
        <f t="shared" si="38"/>
        <v>1.6037507477489605</v>
      </c>
      <c r="BQ23" s="90">
        <f t="shared" si="39"/>
        <v>0.80187537387448027</v>
      </c>
      <c r="BR23" s="69">
        <f t="shared" si="40"/>
        <v>100</v>
      </c>
      <c r="BS23" s="67">
        <f t="shared" si="41"/>
        <v>66.666666666666671</v>
      </c>
      <c r="BT23" s="67">
        <f t="shared" si="42"/>
        <v>61.111111111111114</v>
      </c>
      <c r="BU23" s="67">
        <f t="shared" si="43"/>
        <v>30.555555555555557</v>
      </c>
      <c r="BV23" s="67">
        <f t="shared" si="50"/>
        <v>22.222222222222225</v>
      </c>
      <c r="BW23" s="67">
        <f t="shared" ref="BW23:BW54" si="52">AVERAGE(AS23:AU23)</f>
        <v>13.888888888888891</v>
      </c>
      <c r="BX23" s="67">
        <f t="shared" ref="BX23:BX45" si="53">AVERAGE(AV23:AX23)</f>
        <v>5.5555555555555562</v>
      </c>
      <c r="BY23" s="67">
        <f t="shared" ref="BY23:BY34" si="54">AVERAGE(AY23:BA23)</f>
        <v>2.7777777777777781</v>
      </c>
      <c r="BZ23" s="69">
        <f t="shared" si="46"/>
        <v>0</v>
      </c>
      <c r="CA23" s="67">
        <f t="shared" si="46"/>
        <v>33.333333333333329</v>
      </c>
      <c r="CB23" s="67">
        <f t="shared" si="46"/>
        <v>38.888888888888886</v>
      </c>
      <c r="CC23" s="67">
        <f t="shared" si="46"/>
        <v>69.444444444444443</v>
      </c>
      <c r="CD23" s="67">
        <f t="shared" si="46"/>
        <v>77.777777777777771</v>
      </c>
      <c r="CE23" s="67">
        <f t="shared" si="46"/>
        <v>86.111111111111114</v>
      </c>
      <c r="CF23" s="67">
        <f t="shared" si="46"/>
        <v>94.444444444444443</v>
      </c>
      <c r="CG23" s="116">
        <f t="shared" si="46"/>
        <v>97.222222222222229</v>
      </c>
    </row>
    <row r="24" spans="2:85" x14ac:dyDescent="0.3">
      <c r="B24" s="409"/>
      <c r="C24" s="412"/>
      <c r="D24" s="70" t="s">
        <v>804</v>
      </c>
      <c r="E24" s="65">
        <v>12</v>
      </c>
      <c r="F24" s="65">
        <v>12</v>
      </c>
      <c r="G24" s="66">
        <v>12</v>
      </c>
      <c r="H24" s="65">
        <f t="shared" si="0"/>
        <v>36</v>
      </c>
      <c r="I24" s="67">
        <v>12</v>
      </c>
      <c r="J24" s="67">
        <v>9</v>
      </c>
      <c r="K24" s="66">
        <v>8</v>
      </c>
      <c r="L24" s="67">
        <v>10</v>
      </c>
      <c r="M24" s="67">
        <v>7</v>
      </c>
      <c r="N24" s="66">
        <v>7</v>
      </c>
      <c r="O24" s="67">
        <v>7</v>
      </c>
      <c r="P24" s="67">
        <v>3</v>
      </c>
      <c r="Q24" s="66">
        <v>3</v>
      </c>
      <c r="R24" s="67">
        <v>5</v>
      </c>
      <c r="S24" s="67">
        <v>3</v>
      </c>
      <c r="T24" s="66">
        <v>3</v>
      </c>
      <c r="U24" s="67">
        <v>2</v>
      </c>
      <c r="V24" s="67">
        <v>1</v>
      </c>
      <c r="W24" s="66">
        <v>1</v>
      </c>
      <c r="X24" s="67">
        <v>0</v>
      </c>
      <c r="Y24" s="67">
        <v>0</v>
      </c>
      <c r="Z24" s="66">
        <v>1</v>
      </c>
      <c r="AA24" s="67">
        <v>0</v>
      </c>
      <c r="AB24" s="67">
        <v>0</v>
      </c>
      <c r="AC24" s="66">
        <v>1</v>
      </c>
      <c r="AD24" s="65">
        <f t="shared" si="1"/>
        <v>100</v>
      </c>
      <c r="AE24" s="65">
        <f t="shared" si="2"/>
        <v>100</v>
      </c>
      <c r="AF24" s="66">
        <f t="shared" si="3"/>
        <v>100</v>
      </c>
      <c r="AG24" s="65">
        <f t="shared" si="4"/>
        <v>100</v>
      </c>
      <c r="AH24" s="65">
        <f t="shared" si="5"/>
        <v>75</v>
      </c>
      <c r="AI24" s="66">
        <f t="shared" si="6"/>
        <v>66.666666666666671</v>
      </c>
      <c r="AJ24" s="65">
        <f t="shared" si="7"/>
        <v>83.333333333333343</v>
      </c>
      <c r="AK24" s="65">
        <f t="shared" si="8"/>
        <v>58.333333333333336</v>
      </c>
      <c r="AL24" s="66">
        <f t="shared" si="9"/>
        <v>58.333333333333336</v>
      </c>
      <c r="AM24" s="65">
        <f t="shared" si="10"/>
        <v>58.333333333333336</v>
      </c>
      <c r="AN24" s="65">
        <f t="shared" si="11"/>
        <v>25</v>
      </c>
      <c r="AO24" s="66">
        <f t="shared" si="12"/>
        <v>25</v>
      </c>
      <c r="AP24" s="65">
        <f t="shared" si="13"/>
        <v>41.666666666666671</v>
      </c>
      <c r="AQ24" s="65">
        <f t="shared" si="14"/>
        <v>25</v>
      </c>
      <c r="AR24" s="66">
        <f t="shared" si="15"/>
        <v>25</v>
      </c>
      <c r="AS24" s="65">
        <f t="shared" si="16"/>
        <v>16.666666666666668</v>
      </c>
      <c r="AT24" s="65">
        <f t="shared" si="17"/>
        <v>8.3333333333333339</v>
      </c>
      <c r="AU24" s="66">
        <f t="shared" si="18"/>
        <v>8.3333333333333339</v>
      </c>
      <c r="AV24" s="65">
        <f t="shared" si="19"/>
        <v>0</v>
      </c>
      <c r="AW24" s="65">
        <f t="shared" si="20"/>
        <v>0</v>
      </c>
      <c r="AX24" s="66">
        <f t="shared" si="21"/>
        <v>8.3333333333333339</v>
      </c>
      <c r="AY24" s="65">
        <f t="shared" si="22"/>
        <v>0</v>
      </c>
      <c r="AZ24" s="65">
        <f t="shared" si="23"/>
        <v>0</v>
      </c>
      <c r="BA24" s="66">
        <f t="shared" si="24"/>
        <v>8.3333333333333339</v>
      </c>
      <c r="BB24" s="68">
        <f t="shared" si="25"/>
        <v>0</v>
      </c>
      <c r="BC24" s="65">
        <f t="shared" si="26"/>
        <v>17.34721666221775</v>
      </c>
      <c r="BD24" s="65">
        <f t="shared" si="27"/>
        <v>14.433756729740603</v>
      </c>
      <c r="BE24" s="65">
        <f t="shared" si="28"/>
        <v>19.24500897298751</v>
      </c>
      <c r="BF24" s="65">
        <f t="shared" si="29"/>
        <v>9.6225044864937512</v>
      </c>
      <c r="BG24" s="65">
        <f t="shared" si="30"/>
        <v>4.8112522432468818</v>
      </c>
      <c r="BH24" s="65">
        <f t="shared" si="31"/>
        <v>4.8112522432468818</v>
      </c>
      <c r="BI24" s="65">
        <f t="shared" si="32"/>
        <v>4.8112522432468818</v>
      </c>
      <c r="BJ24" s="68">
        <f t="shared" si="47"/>
        <v>0</v>
      </c>
      <c r="BK24" s="65">
        <f t="shared" si="33"/>
        <v>2.8912027770362916</v>
      </c>
      <c r="BL24" s="65">
        <f t="shared" si="34"/>
        <v>2.4056261216234338</v>
      </c>
      <c r="BM24" s="65">
        <f t="shared" si="35"/>
        <v>3.2075014954979184</v>
      </c>
      <c r="BN24" s="65">
        <f t="shared" si="36"/>
        <v>1.6037507477489585</v>
      </c>
      <c r="BO24" s="65">
        <f t="shared" si="37"/>
        <v>0.80187537387448027</v>
      </c>
      <c r="BP24" s="65">
        <f t="shared" si="38"/>
        <v>0.80187537387448027</v>
      </c>
      <c r="BQ24" s="90">
        <f t="shared" si="39"/>
        <v>0.80187537387448027</v>
      </c>
      <c r="BR24" s="69">
        <f t="shared" si="40"/>
        <v>100</v>
      </c>
      <c r="BS24" s="67">
        <f t="shared" si="41"/>
        <v>80.555555555555557</v>
      </c>
      <c r="BT24" s="67">
        <f t="shared" si="42"/>
        <v>66.666666666666671</v>
      </c>
      <c r="BU24" s="67">
        <f t="shared" si="43"/>
        <v>36.111111111111114</v>
      </c>
      <c r="BV24" s="67">
        <f t="shared" si="50"/>
        <v>30.555555555555557</v>
      </c>
      <c r="BW24" s="67">
        <f t="shared" si="52"/>
        <v>11.111111111111112</v>
      </c>
      <c r="BX24" s="67">
        <f t="shared" si="53"/>
        <v>2.7777777777777781</v>
      </c>
      <c r="BY24" s="67">
        <f t="shared" si="54"/>
        <v>2.7777777777777781</v>
      </c>
      <c r="BZ24" s="69">
        <f t="shared" si="46"/>
        <v>0</v>
      </c>
      <c r="CA24" s="67">
        <f t="shared" si="46"/>
        <v>19.444444444444443</v>
      </c>
      <c r="CB24" s="67">
        <f t="shared" si="46"/>
        <v>33.333333333333329</v>
      </c>
      <c r="CC24" s="67">
        <f t="shared" si="46"/>
        <v>63.888888888888886</v>
      </c>
      <c r="CD24" s="67">
        <f t="shared" si="46"/>
        <v>69.444444444444443</v>
      </c>
      <c r="CE24" s="67">
        <f t="shared" si="46"/>
        <v>88.888888888888886</v>
      </c>
      <c r="CF24" s="67">
        <f t="shared" si="46"/>
        <v>97.222222222222229</v>
      </c>
      <c r="CG24" s="116">
        <f t="shared" si="46"/>
        <v>97.222222222222229</v>
      </c>
    </row>
    <row r="25" spans="2:85" x14ac:dyDescent="0.3">
      <c r="B25" s="410"/>
      <c r="C25" s="413"/>
      <c r="D25" s="70" t="s">
        <v>805</v>
      </c>
      <c r="E25" s="71">
        <v>12</v>
      </c>
      <c r="F25" s="71">
        <v>12</v>
      </c>
      <c r="G25" s="72">
        <v>12</v>
      </c>
      <c r="H25" s="71">
        <f t="shared" si="0"/>
        <v>36</v>
      </c>
      <c r="I25" s="73">
        <v>8</v>
      </c>
      <c r="J25" s="73">
        <v>12</v>
      </c>
      <c r="K25" s="72">
        <v>8</v>
      </c>
      <c r="L25" s="73">
        <v>7</v>
      </c>
      <c r="M25" s="73">
        <v>8</v>
      </c>
      <c r="N25" s="72">
        <v>6</v>
      </c>
      <c r="O25" s="73">
        <v>5</v>
      </c>
      <c r="P25" s="73">
        <v>8</v>
      </c>
      <c r="Q25" s="72">
        <v>3</v>
      </c>
      <c r="R25" s="73">
        <v>4</v>
      </c>
      <c r="S25" s="73">
        <v>6</v>
      </c>
      <c r="T25" s="72">
        <v>3</v>
      </c>
      <c r="U25" s="73">
        <v>3</v>
      </c>
      <c r="V25" s="73">
        <v>0</v>
      </c>
      <c r="W25" s="72">
        <v>1</v>
      </c>
      <c r="X25" s="73">
        <v>1</v>
      </c>
      <c r="Y25" s="73">
        <v>0</v>
      </c>
      <c r="Z25" s="72">
        <v>1</v>
      </c>
      <c r="AA25" s="73">
        <v>1</v>
      </c>
      <c r="AB25" s="73">
        <v>0</v>
      </c>
      <c r="AC25" s="72">
        <v>0</v>
      </c>
      <c r="AD25" s="71">
        <f t="shared" si="1"/>
        <v>100</v>
      </c>
      <c r="AE25" s="71">
        <f t="shared" si="2"/>
        <v>100</v>
      </c>
      <c r="AF25" s="72">
        <f t="shared" si="3"/>
        <v>100</v>
      </c>
      <c r="AG25" s="71">
        <f t="shared" si="4"/>
        <v>66.666666666666671</v>
      </c>
      <c r="AH25" s="71">
        <f t="shared" si="5"/>
        <v>100</v>
      </c>
      <c r="AI25" s="72">
        <f t="shared" si="6"/>
        <v>66.666666666666671</v>
      </c>
      <c r="AJ25" s="71">
        <f t="shared" si="7"/>
        <v>58.333333333333336</v>
      </c>
      <c r="AK25" s="71">
        <f t="shared" si="8"/>
        <v>66.666666666666671</v>
      </c>
      <c r="AL25" s="72">
        <f t="shared" si="9"/>
        <v>50</v>
      </c>
      <c r="AM25" s="71">
        <f t="shared" si="10"/>
        <v>41.666666666666671</v>
      </c>
      <c r="AN25" s="71">
        <f t="shared" si="11"/>
        <v>66.666666666666671</v>
      </c>
      <c r="AO25" s="72">
        <f t="shared" si="12"/>
        <v>25</v>
      </c>
      <c r="AP25" s="71">
        <f t="shared" si="13"/>
        <v>33.333333333333336</v>
      </c>
      <c r="AQ25" s="71">
        <f t="shared" si="14"/>
        <v>50</v>
      </c>
      <c r="AR25" s="72">
        <f t="shared" si="15"/>
        <v>25</v>
      </c>
      <c r="AS25" s="71">
        <f t="shared" si="16"/>
        <v>25</v>
      </c>
      <c r="AT25" s="71">
        <f t="shared" si="17"/>
        <v>0</v>
      </c>
      <c r="AU25" s="72">
        <f t="shared" si="18"/>
        <v>8.3333333333333339</v>
      </c>
      <c r="AV25" s="71">
        <f t="shared" si="19"/>
        <v>8.3333333333333339</v>
      </c>
      <c r="AW25" s="71">
        <f t="shared" si="20"/>
        <v>0</v>
      </c>
      <c r="AX25" s="72">
        <f t="shared" si="21"/>
        <v>8.3333333333333339</v>
      </c>
      <c r="AY25" s="71">
        <f t="shared" si="22"/>
        <v>8.3333333333333339</v>
      </c>
      <c r="AZ25" s="71">
        <f t="shared" si="23"/>
        <v>0</v>
      </c>
      <c r="BA25" s="72">
        <f t="shared" si="24"/>
        <v>0</v>
      </c>
      <c r="BB25" s="74">
        <f t="shared" si="25"/>
        <v>0</v>
      </c>
      <c r="BC25" s="71">
        <f t="shared" si="26"/>
        <v>19.245008972987481</v>
      </c>
      <c r="BD25" s="71">
        <f t="shared" si="27"/>
        <v>8.3333333333333268</v>
      </c>
      <c r="BE25" s="71">
        <f t="shared" si="28"/>
        <v>20.971762320196525</v>
      </c>
      <c r="BF25" s="71">
        <f t="shared" si="29"/>
        <v>12.729376930432876</v>
      </c>
      <c r="BG25" s="71">
        <f t="shared" si="30"/>
        <v>12.729376930432888</v>
      </c>
      <c r="BH25" s="71">
        <f t="shared" si="31"/>
        <v>4.8112522432468818</v>
      </c>
      <c r="BI25" s="71">
        <f t="shared" si="32"/>
        <v>4.8112522432468818</v>
      </c>
      <c r="BJ25" s="74">
        <f t="shared" si="47"/>
        <v>0</v>
      </c>
      <c r="BK25" s="71">
        <f t="shared" si="33"/>
        <v>3.2075014954979135</v>
      </c>
      <c r="BL25" s="71">
        <f t="shared" si="34"/>
        <v>1.3888888888888877</v>
      </c>
      <c r="BM25" s="71">
        <f t="shared" si="35"/>
        <v>3.4952937200327541</v>
      </c>
      <c r="BN25" s="71">
        <f t="shared" si="36"/>
        <v>2.1215628217388125</v>
      </c>
      <c r="BO25" s="71">
        <f t="shared" si="37"/>
        <v>2.1215628217388147</v>
      </c>
      <c r="BP25" s="71">
        <f t="shared" si="38"/>
        <v>0.80187537387448027</v>
      </c>
      <c r="BQ25" s="91">
        <f t="shared" si="39"/>
        <v>0.80187537387448027</v>
      </c>
      <c r="BR25" s="75">
        <f t="shared" si="40"/>
        <v>100</v>
      </c>
      <c r="BS25" s="73">
        <f t="shared" si="41"/>
        <v>77.777777777777786</v>
      </c>
      <c r="BT25" s="73">
        <f t="shared" si="42"/>
        <v>58.333333333333336</v>
      </c>
      <c r="BU25" s="73">
        <f t="shared" si="43"/>
        <v>44.44444444444445</v>
      </c>
      <c r="BV25" s="73">
        <f t="shared" si="50"/>
        <v>36.111111111111114</v>
      </c>
      <c r="BW25" s="73">
        <f t="shared" si="52"/>
        <v>11.111111111111112</v>
      </c>
      <c r="BX25" s="73">
        <f t="shared" si="53"/>
        <v>5.5555555555555562</v>
      </c>
      <c r="BY25" s="73">
        <f t="shared" si="54"/>
        <v>2.7777777777777781</v>
      </c>
      <c r="BZ25" s="75">
        <f t="shared" si="46"/>
        <v>0</v>
      </c>
      <c r="CA25" s="73">
        <f t="shared" si="46"/>
        <v>22.222222222222214</v>
      </c>
      <c r="CB25" s="73">
        <f t="shared" si="46"/>
        <v>41.666666666666664</v>
      </c>
      <c r="CC25" s="73">
        <f t="shared" si="46"/>
        <v>55.55555555555555</v>
      </c>
      <c r="CD25" s="73">
        <f t="shared" si="46"/>
        <v>63.888888888888886</v>
      </c>
      <c r="CE25" s="73">
        <f t="shared" si="46"/>
        <v>88.888888888888886</v>
      </c>
      <c r="CF25" s="73">
        <f t="shared" si="46"/>
        <v>94.444444444444443</v>
      </c>
      <c r="CG25" s="265">
        <f t="shared" si="46"/>
        <v>97.222222222222229</v>
      </c>
    </row>
    <row r="26" spans="2:85" ht="15" customHeight="1" x14ac:dyDescent="0.3">
      <c r="B26" s="408">
        <v>6</v>
      </c>
      <c r="C26" s="411" t="s">
        <v>101</v>
      </c>
      <c r="D26" s="76" t="s">
        <v>802</v>
      </c>
      <c r="E26" s="77">
        <v>12</v>
      </c>
      <c r="F26" s="77">
        <v>12</v>
      </c>
      <c r="G26" s="78">
        <v>12</v>
      </c>
      <c r="H26" s="77">
        <f t="shared" si="0"/>
        <v>36</v>
      </c>
      <c r="I26" s="79">
        <v>11</v>
      </c>
      <c r="J26" s="79">
        <v>9</v>
      </c>
      <c r="K26" s="78">
        <v>9</v>
      </c>
      <c r="L26" s="79">
        <v>11</v>
      </c>
      <c r="M26" s="79">
        <v>7</v>
      </c>
      <c r="N26" s="78">
        <v>9</v>
      </c>
      <c r="O26" s="79">
        <v>10</v>
      </c>
      <c r="P26" s="79">
        <v>7</v>
      </c>
      <c r="Q26" s="78">
        <v>7</v>
      </c>
      <c r="R26" s="79">
        <v>8</v>
      </c>
      <c r="S26" s="79">
        <v>7</v>
      </c>
      <c r="T26" s="78">
        <v>7</v>
      </c>
      <c r="U26" s="79">
        <v>6</v>
      </c>
      <c r="V26" s="79">
        <v>6</v>
      </c>
      <c r="W26" s="78">
        <v>6</v>
      </c>
      <c r="X26" s="79">
        <v>6</v>
      </c>
      <c r="Y26" s="79">
        <v>6</v>
      </c>
      <c r="Z26" s="78">
        <v>4</v>
      </c>
      <c r="AA26" s="79">
        <v>3</v>
      </c>
      <c r="AB26" s="79">
        <v>6</v>
      </c>
      <c r="AC26" s="78">
        <v>4</v>
      </c>
      <c r="AD26" s="77">
        <f t="shared" si="1"/>
        <v>100</v>
      </c>
      <c r="AE26" s="77">
        <f t="shared" si="2"/>
        <v>100</v>
      </c>
      <c r="AF26" s="78">
        <f t="shared" si="3"/>
        <v>100</v>
      </c>
      <c r="AG26" s="77">
        <f t="shared" si="4"/>
        <v>91.666666666666671</v>
      </c>
      <c r="AH26" s="77">
        <f t="shared" si="5"/>
        <v>75</v>
      </c>
      <c r="AI26" s="78">
        <f t="shared" si="6"/>
        <v>75</v>
      </c>
      <c r="AJ26" s="77">
        <f t="shared" si="7"/>
        <v>91.666666666666671</v>
      </c>
      <c r="AK26" s="77">
        <f t="shared" si="8"/>
        <v>58.333333333333336</v>
      </c>
      <c r="AL26" s="78">
        <f t="shared" si="9"/>
        <v>75</v>
      </c>
      <c r="AM26" s="77">
        <f t="shared" si="10"/>
        <v>83.333333333333343</v>
      </c>
      <c r="AN26" s="77">
        <f t="shared" si="11"/>
        <v>58.333333333333336</v>
      </c>
      <c r="AO26" s="78">
        <f t="shared" si="12"/>
        <v>58.333333333333336</v>
      </c>
      <c r="AP26" s="77">
        <f t="shared" si="13"/>
        <v>66.666666666666671</v>
      </c>
      <c r="AQ26" s="77">
        <f t="shared" si="14"/>
        <v>58.333333333333336</v>
      </c>
      <c r="AR26" s="78">
        <f t="shared" si="15"/>
        <v>58.333333333333336</v>
      </c>
      <c r="AS26" s="77">
        <f t="shared" si="16"/>
        <v>50</v>
      </c>
      <c r="AT26" s="77">
        <f t="shared" si="17"/>
        <v>50</v>
      </c>
      <c r="AU26" s="78">
        <f t="shared" si="18"/>
        <v>50</v>
      </c>
      <c r="AV26" s="77">
        <f t="shared" si="19"/>
        <v>50</v>
      </c>
      <c r="AW26" s="77">
        <f t="shared" si="20"/>
        <v>50</v>
      </c>
      <c r="AX26" s="78">
        <f t="shared" si="21"/>
        <v>33.333333333333336</v>
      </c>
      <c r="AY26" s="77">
        <f t="shared" si="22"/>
        <v>25</v>
      </c>
      <c r="AZ26" s="77">
        <f t="shared" si="23"/>
        <v>50</v>
      </c>
      <c r="BA26" s="78">
        <f t="shared" si="24"/>
        <v>33.333333333333336</v>
      </c>
      <c r="BB26" s="80">
        <f t="shared" si="25"/>
        <v>0</v>
      </c>
      <c r="BC26" s="77">
        <f t="shared" si="26"/>
        <v>9.6225044864937654</v>
      </c>
      <c r="BD26" s="77">
        <f t="shared" si="27"/>
        <v>16.666666666666654</v>
      </c>
      <c r="BE26" s="77">
        <f t="shared" si="28"/>
        <v>14.433756729740603</v>
      </c>
      <c r="BF26" s="77">
        <f t="shared" si="29"/>
        <v>4.8112522432468827</v>
      </c>
      <c r="BG26" s="77">
        <f t="shared" si="30"/>
        <v>0</v>
      </c>
      <c r="BH26" s="77">
        <f t="shared" si="31"/>
        <v>9.6225044864937406</v>
      </c>
      <c r="BI26" s="77">
        <f t="shared" si="32"/>
        <v>12.729376930432876</v>
      </c>
      <c r="BJ26" s="80">
        <f t="shared" si="47"/>
        <v>0</v>
      </c>
      <c r="BK26" s="77">
        <f t="shared" si="33"/>
        <v>1.603750747748961</v>
      </c>
      <c r="BL26" s="77">
        <f t="shared" si="34"/>
        <v>2.7777777777777755</v>
      </c>
      <c r="BM26" s="77">
        <f t="shared" si="35"/>
        <v>2.4056261216234338</v>
      </c>
      <c r="BN26" s="77">
        <f t="shared" si="36"/>
        <v>0.80187537387448049</v>
      </c>
      <c r="BO26" s="77">
        <f t="shared" si="37"/>
        <v>0</v>
      </c>
      <c r="BP26" s="77">
        <f t="shared" si="38"/>
        <v>1.6037507477489568</v>
      </c>
      <c r="BQ26" s="92">
        <f t="shared" si="39"/>
        <v>2.1215628217388125</v>
      </c>
      <c r="BR26" s="81">
        <f t="shared" si="40"/>
        <v>100</v>
      </c>
      <c r="BS26" s="79">
        <f t="shared" si="41"/>
        <v>80.555555555555557</v>
      </c>
      <c r="BT26" s="79">
        <f t="shared" si="42"/>
        <v>75</v>
      </c>
      <c r="BU26" s="79">
        <f t="shared" si="43"/>
        <v>66.666666666666671</v>
      </c>
      <c r="BV26" s="79">
        <f t="shared" si="50"/>
        <v>61.111111111111114</v>
      </c>
      <c r="BW26" s="79">
        <f t="shared" si="52"/>
        <v>50</v>
      </c>
      <c r="BX26" s="79">
        <f t="shared" si="53"/>
        <v>44.44444444444445</v>
      </c>
      <c r="BY26" s="79">
        <f t="shared" si="54"/>
        <v>36.111111111111114</v>
      </c>
      <c r="BZ26" s="81">
        <f t="shared" si="46"/>
        <v>0</v>
      </c>
      <c r="CA26" s="79">
        <f t="shared" si="46"/>
        <v>19.444444444444443</v>
      </c>
      <c r="CB26" s="79">
        <f t="shared" si="46"/>
        <v>25</v>
      </c>
      <c r="CC26" s="79">
        <f t="shared" si="46"/>
        <v>33.333333333333329</v>
      </c>
      <c r="CD26" s="79">
        <f t="shared" si="46"/>
        <v>38.888888888888886</v>
      </c>
      <c r="CE26" s="79">
        <f t="shared" si="46"/>
        <v>50</v>
      </c>
      <c r="CF26" s="79">
        <f t="shared" si="46"/>
        <v>55.55555555555555</v>
      </c>
      <c r="CG26" s="264">
        <f t="shared" si="46"/>
        <v>63.888888888888886</v>
      </c>
    </row>
    <row r="27" spans="2:85" x14ac:dyDescent="0.3">
      <c r="B27" s="409"/>
      <c r="C27" s="412"/>
      <c r="D27" s="70" t="s">
        <v>803</v>
      </c>
      <c r="E27" s="65">
        <v>12</v>
      </c>
      <c r="F27" s="65">
        <v>12</v>
      </c>
      <c r="G27" s="66">
        <v>12</v>
      </c>
      <c r="H27" s="65">
        <f t="shared" si="0"/>
        <v>36</v>
      </c>
      <c r="I27" s="67">
        <v>12</v>
      </c>
      <c r="J27" s="67">
        <v>11</v>
      </c>
      <c r="K27" s="66">
        <v>11</v>
      </c>
      <c r="L27" s="67">
        <v>12</v>
      </c>
      <c r="M27" s="67">
        <v>11</v>
      </c>
      <c r="N27" s="66">
        <v>11</v>
      </c>
      <c r="O27" s="67">
        <v>11</v>
      </c>
      <c r="P27" s="67">
        <v>11</v>
      </c>
      <c r="Q27" s="66">
        <v>11</v>
      </c>
      <c r="R27" s="67">
        <v>10</v>
      </c>
      <c r="S27" s="67">
        <v>9</v>
      </c>
      <c r="T27" s="66">
        <v>10</v>
      </c>
      <c r="U27" s="67">
        <v>9</v>
      </c>
      <c r="V27" s="67">
        <v>9</v>
      </c>
      <c r="W27" s="66">
        <v>10</v>
      </c>
      <c r="X27" s="67">
        <v>7</v>
      </c>
      <c r="Y27" s="67">
        <v>7</v>
      </c>
      <c r="Z27" s="66">
        <v>8</v>
      </c>
      <c r="AA27" s="67">
        <v>7</v>
      </c>
      <c r="AB27" s="67">
        <v>7</v>
      </c>
      <c r="AC27" s="66">
        <v>8</v>
      </c>
      <c r="AD27" s="65">
        <f t="shared" si="1"/>
        <v>100</v>
      </c>
      <c r="AE27" s="65">
        <f t="shared" si="2"/>
        <v>100</v>
      </c>
      <c r="AF27" s="66">
        <f t="shared" si="3"/>
        <v>100</v>
      </c>
      <c r="AG27" s="65">
        <f t="shared" si="4"/>
        <v>100</v>
      </c>
      <c r="AH27" s="65">
        <f t="shared" si="5"/>
        <v>91.666666666666671</v>
      </c>
      <c r="AI27" s="66">
        <f t="shared" si="6"/>
        <v>91.666666666666671</v>
      </c>
      <c r="AJ27" s="65">
        <f t="shared" si="7"/>
        <v>100</v>
      </c>
      <c r="AK27" s="65">
        <f t="shared" si="8"/>
        <v>91.666666666666671</v>
      </c>
      <c r="AL27" s="66">
        <f t="shared" si="9"/>
        <v>91.666666666666671</v>
      </c>
      <c r="AM27" s="65">
        <f t="shared" si="10"/>
        <v>91.666666666666671</v>
      </c>
      <c r="AN27" s="65">
        <f t="shared" si="11"/>
        <v>91.666666666666671</v>
      </c>
      <c r="AO27" s="66">
        <f t="shared" si="12"/>
        <v>91.666666666666671</v>
      </c>
      <c r="AP27" s="65">
        <f t="shared" si="13"/>
        <v>83.333333333333343</v>
      </c>
      <c r="AQ27" s="65">
        <f t="shared" si="14"/>
        <v>75</v>
      </c>
      <c r="AR27" s="66">
        <f t="shared" si="15"/>
        <v>83.333333333333343</v>
      </c>
      <c r="AS27" s="65">
        <f t="shared" si="16"/>
        <v>75</v>
      </c>
      <c r="AT27" s="65">
        <f t="shared" si="17"/>
        <v>75</v>
      </c>
      <c r="AU27" s="66">
        <f t="shared" si="18"/>
        <v>83.333333333333343</v>
      </c>
      <c r="AV27" s="65">
        <f t="shared" si="19"/>
        <v>58.333333333333336</v>
      </c>
      <c r="AW27" s="65">
        <f t="shared" si="20"/>
        <v>58.333333333333336</v>
      </c>
      <c r="AX27" s="66">
        <f t="shared" si="21"/>
        <v>66.666666666666671</v>
      </c>
      <c r="AY27" s="65">
        <f t="shared" si="22"/>
        <v>58.333333333333336</v>
      </c>
      <c r="AZ27" s="65">
        <f t="shared" si="23"/>
        <v>58.333333333333336</v>
      </c>
      <c r="BA27" s="66">
        <f t="shared" si="24"/>
        <v>66.666666666666671</v>
      </c>
      <c r="BB27" s="68">
        <f t="shared" si="25"/>
        <v>0</v>
      </c>
      <c r="BC27" s="65">
        <f t="shared" si="26"/>
        <v>4.8112522432468792</v>
      </c>
      <c r="BD27" s="65">
        <f t="shared" si="27"/>
        <v>4.8112522432468792</v>
      </c>
      <c r="BE27" s="65">
        <f t="shared" si="28"/>
        <v>0</v>
      </c>
      <c r="BF27" s="65">
        <f t="shared" si="29"/>
        <v>4.8112522432468872</v>
      </c>
      <c r="BG27" s="65">
        <f t="shared" si="30"/>
        <v>4.8112522432468872</v>
      </c>
      <c r="BH27" s="65">
        <f t="shared" si="31"/>
        <v>4.8112522432468827</v>
      </c>
      <c r="BI27" s="65">
        <f t="shared" si="32"/>
        <v>4.8112522432468827</v>
      </c>
      <c r="BJ27" s="68">
        <f t="shared" si="47"/>
        <v>0</v>
      </c>
      <c r="BK27" s="65">
        <f t="shared" si="33"/>
        <v>0.80187537387447982</v>
      </c>
      <c r="BL27" s="65">
        <f t="shared" si="34"/>
        <v>0.80187537387447982</v>
      </c>
      <c r="BM27" s="65">
        <f t="shared" si="35"/>
        <v>0</v>
      </c>
      <c r="BN27" s="65">
        <f t="shared" si="36"/>
        <v>0.80187537387448116</v>
      </c>
      <c r="BO27" s="65">
        <f t="shared" si="37"/>
        <v>0.80187537387448116</v>
      </c>
      <c r="BP27" s="65">
        <f t="shared" si="38"/>
        <v>0.80187537387448049</v>
      </c>
      <c r="BQ27" s="90">
        <f t="shared" si="39"/>
        <v>0.80187537387448049</v>
      </c>
      <c r="BR27" s="69">
        <f t="shared" si="40"/>
        <v>100</v>
      </c>
      <c r="BS27" s="67">
        <f t="shared" si="41"/>
        <v>94.444444444444457</v>
      </c>
      <c r="BT27" s="67">
        <f t="shared" si="42"/>
        <v>94.444444444444457</v>
      </c>
      <c r="BU27" s="67">
        <f t="shared" si="43"/>
        <v>91.666666666666671</v>
      </c>
      <c r="BV27" s="67">
        <f t="shared" si="50"/>
        <v>80.555555555555557</v>
      </c>
      <c r="BW27" s="67">
        <f t="shared" si="52"/>
        <v>77.777777777777786</v>
      </c>
      <c r="BX27" s="67">
        <f t="shared" si="53"/>
        <v>61.111111111111114</v>
      </c>
      <c r="BY27" s="67">
        <f t="shared" si="54"/>
        <v>61.111111111111114</v>
      </c>
      <c r="BZ27" s="69">
        <f t="shared" si="46"/>
        <v>0</v>
      </c>
      <c r="CA27" s="67">
        <f t="shared" si="46"/>
        <v>5.5555555555555429</v>
      </c>
      <c r="CB27" s="67">
        <f t="shared" si="46"/>
        <v>5.5555555555555429</v>
      </c>
      <c r="CC27" s="67">
        <f t="shared" si="46"/>
        <v>8.3333333333333286</v>
      </c>
      <c r="CD27" s="67">
        <f t="shared" si="46"/>
        <v>19.444444444444443</v>
      </c>
      <c r="CE27" s="67">
        <f t="shared" si="46"/>
        <v>22.222222222222214</v>
      </c>
      <c r="CF27" s="67">
        <f t="shared" si="46"/>
        <v>38.888888888888886</v>
      </c>
      <c r="CG27" s="116">
        <f t="shared" si="46"/>
        <v>38.888888888888886</v>
      </c>
    </row>
    <row r="28" spans="2:85" x14ac:dyDescent="0.3">
      <c r="B28" s="409"/>
      <c r="C28" s="412"/>
      <c r="D28" s="70" t="s">
        <v>804</v>
      </c>
      <c r="E28" s="65">
        <v>12</v>
      </c>
      <c r="F28" s="65">
        <v>12</v>
      </c>
      <c r="G28" s="66">
        <v>12</v>
      </c>
      <c r="H28" s="65">
        <f t="shared" si="0"/>
        <v>36</v>
      </c>
      <c r="I28" s="67">
        <v>9</v>
      </c>
      <c r="J28" s="67">
        <v>12</v>
      </c>
      <c r="K28" s="66">
        <v>10</v>
      </c>
      <c r="L28" s="67">
        <v>9</v>
      </c>
      <c r="M28" s="67">
        <v>12</v>
      </c>
      <c r="N28" s="66">
        <v>10</v>
      </c>
      <c r="O28" s="67">
        <v>9</v>
      </c>
      <c r="P28" s="67">
        <v>12</v>
      </c>
      <c r="Q28" s="66">
        <v>10</v>
      </c>
      <c r="R28" s="67">
        <v>9</v>
      </c>
      <c r="S28" s="67">
        <v>7</v>
      </c>
      <c r="T28" s="66">
        <v>7</v>
      </c>
      <c r="U28" s="67">
        <v>8</v>
      </c>
      <c r="V28" s="67">
        <v>7</v>
      </c>
      <c r="W28" s="66">
        <v>7</v>
      </c>
      <c r="X28" s="67">
        <v>7</v>
      </c>
      <c r="Y28" s="67">
        <v>7</v>
      </c>
      <c r="Z28" s="66">
        <v>7</v>
      </c>
      <c r="AA28" s="67">
        <v>7</v>
      </c>
      <c r="AB28" s="67">
        <v>7</v>
      </c>
      <c r="AC28" s="66">
        <v>7</v>
      </c>
      <c r="AD28" s="65">
        <f t="shared" si="1"/>
        <v>100</v>
      </c>
      <c r="AE28" s="65">
        <f t="shared" si="2"/>
        <v>100</v>
      </c>
      <c r="AF28" s="66">
        <f t="shared" si="3"/>
        <v>100</v>
      </c>
      <c r="AG28" s="65">
        <f t="shared" si="4"/>
        <v>75</v>
      </c>
      <c r="AH28" s="65">
        <f t="shared" si="5"/>
        <v>100</v>
      </c>
      <c r="AI28" s="66">
        <f t="shared" si="6"/>
        <v>83.333333333333343</v>
      </c>
      <c r="AJ28" s="65">
        <f t="shared" si="7"/>
        <v>75</v>
      </c>
      <c r="AK28" s="65">
        <f t="shared" si="8"/>
        <v>100</v>
      </c>
      <c r="AL28" s="66">
        <f t="shared" si="9"/>
        <v>83.333333333333343</v>
      </c>
      <c r="AM28" s="65">
        <f t="shared" si="10"/>
        <v>75</v>
      </c>
      <c r="AN28" s="65">
        <f t="shared" si="11"/>
        <v>100</v>
      </c>
      <c r="AO28" s="66">
        <f t="shared" si="12"/>
        <v>83.333333333333343</v>
      </c>
      <c r="AP28" s="65">
        <f t="shared" si="13"/>
        <v>75</v>
      </c>
      <c r="AQ28" s="65">
        <f t="shared" si="14"/>
        <v>58.333333333333336</v>
      </c>
      <c r="AR28" s="66">
        <f t="shared" si="15"/>
        <v>58.333333333333336</v>
      </c>
      <c r="AS28" s="65">
        <f t="shared" si="16"/>
        <v>66.666666666666671</v>
      </c>
      <c r="AT28" s="65">
        <f t="shared" si="17"/>
        <v>58.333333333333336</v>
      </c>
      <c r="AU28" s="66">
        <f t="shared" si="18"/>
        <v>58.333333333333336</v>
      </c>
      <c r="AV28" s="65">
        <f t="shared" si="19"/>
        <v>58.333333333333336</v>
      </c>
      <c r="AW28" s="65">
        <f t="shared" si="20"/>
        <v>58.333333333333336</v>
      </c>
      <c r="AX28" s="66">
        <f t="shared" si="21"/>
        <v>58.333333333333336</v>
      </c>
      <c r="AY28" s="65">
        <f t="shared" si="22"/>
        <v>58.333333333333336</v>
      </c>
      <c r="AZ28" s="65">
        <f t="shared" si="23"/>
        <v>58.333333333333336</v>
      </c>
      <c r="BA28" s="66">
        <f t="shared" si="24"/>
        <v>58.333333333333336</v>
      </c>
      <c r="BB28" s="68">
        <f t="shared" si="25"/>
        <v>0</v>
      </c>
      <c r="BC28" s="65">
        <f t="shared" si="26"/>
        <v>12.729376930432796</v>
      </c>
      <c r="BD28" s="65">
        <f t="shared" si="27"/>
        <v>12.729376930432796</v>
      </c>
      <c r="BE28" s="65">
        <f t="shared" si="28"/>
        <v>12.729376930432796</v>
      </c>
      <c r="BF28" s="65">
        <f t="shared" si="29"/>
        <v>9.6225044864936926</v>
      </c>
      <c r="BG28" s="65">
        <f t="shared" si="30"/>
        <v>4.8112522432468827</v>
      </c>
      <c r="BH28" s="65">
        <f t="shared" si="31"/>
        <v>0</v>
      </c>
      <c r="BI28" s="65">
        <f t="shared" si="32"/>
        <v>0</v>
      </c>
      <c r="BJ28" s="68">
        <f t="shared" si="47"/>
        <v>0</v>
      </c>
      <c r="BK28" s="65">
        <f t="shared" si="33"/>
        <v>2.1215628217387992</v>
      </c>
      <c r="BL28" s="65">
        <f t="shared" si="34"/>
        <v>2.1215628217387992</v>
      </c>
      <c r="BM28" s="65">
        <f t="shared" si="35"/>
        <v>2.1215628217387992</v>
      </c>
      <c r="BN28" s="65">
        <f t="shared" si="36"/>
        <v>1.6037507477489488</v>
      </c>
      <c r="BO28" s="65">
        <f t="shared" si="37"/>
        <v>0.80187537387448049</v>
      </c>
      <c r="BP28" s="65">
        <f t="shared" si="38"/>
        <v>0</v>
      </c>
      <c r="BQ28" s="90">
        <f t="shared" si="39"/>
        <v>0</v>
      </c>
      <c r="BR28" s="69">
        <f t="shared" si="40"/>
        <v>100</v>
      </c>
      <c r="BS28" s="67">
        <f t="shared" si="41"/>
        <v>86.111111111111128</v>
      </c>
      <c r="BT28" s="67">
        <f t="shared" si="42"/>
        <v>86.111111111111128</v>
      </c>
      <c r="BU28" s="67">
        <f t="shared" si="43"/>
        <v>86.111111111111128</v>
      </c>
      <c r="BV28" s="67">
        <f t="shared" si="50"/>
        <v>63.888888888888893</v>
      </c>
      <c r="BW28" s="67">
        <f t="shared" si="52"/>
        <v>61.111111111111114</v>
      </c>
      <c r="BX28" s="67">
        <f t="shared" si="53"/>
        <v>58.333333333333336</v>
      </c>
      <c r="BY28" s="67">
        <f t="shared" si="54"/>
        <v>58.333333333333336</v>
      </c>
      <c r="BZ28" s="69">
        <f t="shared" si="46"/>
        <v>0</v>
      </c>
      <c r="CA28" s="67">
        <f t="shared" si="46"/>
        <v>13.888888888888872</v>
      </c>
      <c r="CB28" s="67">
        <f t="shared" si="46"/>
        <v>13.888888888888872</v>
      </c>
      <c r="CC28" s="67">
        <f t="shared" si="46"/>
        <v>13.888888888888872</v>
      </c>
      <c r="CD28" s="67">
        <f t="shared" si="46"/>
        <v>36.111111111111107</v>
      </c>
      <c r="CE28" s="67">
        <f t="shared" si="46"/>
        <v>38.888888888888886</v>
      </c>
      <c r="CF28" s="67">
        <f t="shared" si="46"/>
        <v>41.666666666666664</v>
      </c>
      <c r="CG28" s="116">
        <f t="shared" si="46"/>
        <v>41.666666666666664</v>
      </c>
    </row>
    <row r="29" spans="2:85" x14ac:dyDescent="0.3">
      <c r="B29" s="410"/>
      <c r="C29" s="413"/>
      <c r="D29" s="70" t="s">
        <v>805</v>
      </c>
      <c r="E29" s="71">
        <v>12</v>
      </c>
      <c r="F29" s="71">
        <v>12</v>
      </c>
      <c r="G29" s="72">
        <v>12</v>
      </c>
      <c r="H29" s="71">
        <f t="shared" si="0"/>
        <v>36</v>
      </c>
      <c r="I29" s="73">
        <v>12</v>
      </c>
      <c r="J29" s="73">
        <v>11</v>
      </c>
      <c r="K29" s="72">
        <v>12</v>
      </c>
      <c r="L29" s="73">
        <v>12</v>
      </c>
      <c r="M29" s="73">
        <v>11</v>
      </c>
      <c r="N29" s="72">
        <v>12</v>
      </c>
      <c r="O29" s="73">
        <v>12</v>
      </c>
      <c r="P29" s="73">
        <v>11</v>
      </c>
      <c r="Q29" s="72">
        <v>12</v>
      </c>
      <c r="R29" s="73">
        <v>12</v>
      </c>
      <c r="S29" s="73">
        <v>11</v>
      </c>
      <c r="T29" s="72">
        <v>9</v>
      </c>
      <c r="U29" s="73">
        <v>12</v>
      </c>
      <c r="V29" s="73">
        <v>11</v>
      </c>
      <c r="W29" s="72">
        <v>9</v>
      </c>
      <c r="X29" s="73">
        <v>8</v>
      </c>
      <c r="Y29" s="73">
        <v>10</v>
      </c>
      <c r="Z29" s="72">
        <v>9</v>
      </c>
      <c r="AA29" s="73">
        <v>8</v>
      </c>
      <c r="AB29" s="73">
        <v>10</v>
      </c>
      <c r="AC29" s="72">
        <v>9</v>
      </c>
      <c r="AD29" s="71">
        <f t="shared" si="1"/>
        <v>100</v>
      </c>
      <c r="AE29" s="71">
        <f t="shared" si="2"/>
        <v>100</v>
      </c>
      <c r="AF29" s="72">
        <f t="shared" si="3"/>
        <v>100</v>
      </c>
      <c r="AG29" s="71">
        <f t="shared" si="4"/>
        <v>100</v>
      </c>
      <c r="AH29" s="71">
        <f t="shared" si="5"/>
        <v>91.666666666666671</v>
      </c>
      <c r="AI29" s="72">
        <f t="shared" si="6"/>
        <v>100</v>
      </c>
      <c r="AJ29" s="71">
        <f t="shared" si="7"/>
        <v>100</v>
      </c>
      <c r="AK29" s="71">
        <f t="shared" si="8"/>
        <v>91.666666666666671</v>
      </c>
      <c r="AL29" s="72">
        <f t="shared" si="9"/>
        <v>100</v>
      </c>
      <c r="AM29" s="71">
        <f t="shared" si="10"/>
        <v>100</v>
      </c>
      <c r="AN29" s="71">
        <f t="shared" si="11"/>
        <v>91.666666666666671</v>
      </c>
      <c r="AO29" s="72">
        <f t="shared" si="12"/>
        <v>100</v>
      </c>
      <c r="AP29" s="71">
        <f t="shared" si="13"/>
        <v>100</v>
      </c>
      <c r="AQ29" s="71">
        <f t="shared" si="14"/>
        <v>91.666666666666671</v>
      </c>
      <c r="AR29" s="72">
        <f t="shared" si="15"/>
        <v>75</v>
      </c>
      <c r="AS29" s="71">
        <f t="shared" si="16"/>
        <v>100</v>
      </c>
      <c r="AT29" s="71">
        <f t="shared" si="17"/>
        <v>91.666666666666671</v>
      </c>
      <c r="AU29" s="72">
        <f t="shared" si="18"/>
        <v>75</v>
      </c>
      <c r="AV29" s="71">
        <f t="shared" si="19"/>
        <v>66.666666666666671</v>
      </c>
      <c r="AW29" s="71">
        <f t="shared" si="20"/>
        <v>83.333333333333343</v>
      </c>
      <c r="AX29" s="72">
        <f t="shared" si="21"/>
        <v>75</v>
      </c>
      <c r="AY29" s="71">
        <f t="shared" si="22"/>
        <v>66.666666666666671</v>
      </c>
      <c r="AZ29" s="71">
        <f t="shared" si="23"/>
        <v>83.333333333333343</v>
      </c>
      <c r="BA29" s="72">
        <f t="shared" si="24"/>
        <v>75</v>
      </c>
      <c r="BB29" s="74">
        <f t="shared" si="25"/>
        <v>0</v>
      </c>
      <c r="BC29" s="71">
        <f t="shared" si="26"/>
        <v>4.8112522432468783</v>
      </c>
      <c r="BD29" s="71">
        <f t="shared" si="27"/>
        <v>4.8112522432468783</v>
      </c>
      <c r="BE29" s="71">
        <f t="shared" si="28"/>
        <v>4.8112522432468783</v>
      </c>
      <c r="BF29" s="71">
        <f t="shared" si="29"/>
        <v>12.729376930432867</v>
      </c>
      <c r="BG29" s="71">
        <f t="shared" si="30"/>
        <v>12.729376930432867</v>
      </c>
      <c r="BH29" s="71">
        <f t="shared" si="31"/>
        <v>8.3333333333333357</v>
      </c>
      <c r="BI29" s="71">
        <f t="shared" si="32"/>
        <v>8.3333333333333357</v>
      </c>
      <c r="BJ29" s="74">
        <f t="shared" si="47"/>
        <v>0</v>
      </c>
      <c r="BK29" s="71">
        <f t="shared" si="33"/>
        <v>0.80187537387447971</v>
      </c>
      <c r="BL29" s="71">
        <f t="shared" si="34"/>
        <v>0.80187537387447971</v>
      </c>
      <c r="BM29" s="71">
        <f t="shared" si="35"/>
        <v>0.80187537387447971</v>
      </c>
      <c r="BN29" s="71">
        <f t="shared" si="36"/>
        <v>2.1215628217388112</v>
      </c>
      <c r="BO29" s="71">
        <f t="shared" si="37"/>
        <v>2.1215628217388112</v>
      </c>
      <c r="BP29" s="71">
        <f t="shared" si="38"/>
        <v>1.3888888888888893</v>
      </c>
      <c r="BQ29" s="91">
        <f t="shared" si="39"/>
        <v>1.3888888888888893</v>
      </c>
      <c r="BR29" s="75">
        <f t="shared" si="40"/>
        <v>100</v>
      </c>
      <c r="BS29" s="73">
        <f t="shared" si="41"/>
        <v>97.222222222222229</v>
      </c>
      <c r="BT29" s="73">
        <f t="shared" si="42"/>
        <v>97.222222222222229</v>
      </c>
      <c r="BU29" s="73">
        <f t="shared" si="43"/>
        <v>97.222222222222229</v>
      </c>
      <c r="BV29" s="73">
        <f t="shared" si="50"/>
        <v>88.8888888888889</v>
      </c>
      <c r="BW29" s="73">
        <f t="shared" si="52"/>
        <v>88.8888888888889</v>
      </c>
      <c r="BX29" s="73">
        <f t="shared" si="53"/>
        <v>75</v>
      </c>
      <c r="BY29" s="73">
        <f t="shared" si="54"/>
        <v>75</v>
      </c>
      <c r="BZ29" s="75">
        <f t="shared" si="46"/>
        <v>0</v>
      </c>
      <c r="CA29" s="73">
        <f t="shared" si="46"/>
        <v>2.7777777777777715</v>
      </c>
      <c r="CB29" s="73">
        <f t="shared" si="46"/>
        <v>2.7777777777777715</v>
      </c>
      <c r="CC29" s="73">
        <f t="shared" si="46"/>
        <v>2.7777777777777715</v>
      </c>
      <c r="CD29" s="73">
        <f t="shared" si="46"/>
        <v>11.1111111111111</v>
      </c>
      <c r="CE29" s="73">
        <f t="shared" si="46"/>
        <v>11.1111111111111</v>
      </c>
      <c r="CF29" s="73">
        <f t="shared" si="46"/>
        <v>25</v>
      </c>
      <c r="CG29" s="265">
        <f t="shared" ref="CG29:CG92" si="55">100-BY29</f>
        <v>25</v>
      </c>
    </row>
    <row r="30" spans="2:85" ht="15" customHeight="1" x14ac:dyDescent="0.3">
      <c r="B30" s="408">
        <v>7</v>
      </c>
      <c r="C30" s="411" t="s">
        <v>117</v>
      </c>
      <c r="D30" s="76" t="s">
        <v>802</v>
      </c>
      <c r="E30" s="77">
        <v>12</v>
      </c>
      <c r="F30" s="77">
        <v>12</v>
      </c>
      <c r="G30" s="78">
        <v>12</v>
      </c>
      <c r="H30" s="77">
        <f t="shared" si="0"/>
        <v>36</v>
      </c>
      <c r="I30" s="79">
        <v>7</v>
      </c>
      <c r="J30" s="79">
        <v>8</v>
      </c>
      <c r="K30" s="78">
        <v>7</v>
      </c>
      <c r="L30" s="79">
        <v>5</v>
      </c>
      <c r="M30" s="79">
        <v>6</v>
      </c>
      <c r="N30" s="78">
        <v>5</v>
      </c>
      <c r="O30" s="79">
        <v>4</v>
      </c>
      <c r="P30" s="79">
        <v>5</v>
      </c>
      <c r="Q30" s="78">
        <v>5</v>
      </c>
      <c r="R30" s="79">
        <v>4</v>
      </c>
      <c r="S30" s="79">
        <v>5</v>
      </c>
      <c r="T30" s="78">
        <v>5</v>
      </c>
      <c r="U30" s="79">
        <v>4</v>
      </c>
      <c r="V30" s="79">
        <v>5</v>
      </c>
      <c r="W30" s="78">
        <v>3</v>
      </c>
      <c r="X30" s="79">
        <v>3</v>
      </c>
      <c r="Y30" s="79">
        <v>4</v>
      </c>
      <c r="Z30" s="78">
        <v>2</v>
      </c>
      <c r="AA30" s="79">
        <v>2</v>
      </c>
      <c r="AB30" s="79">
        <v>4</v>
      </c>
      <c r="AC30" s="78">
        <v>2</v>
      </c>
      <c r="AD30" s="77">
        <f t="shared" si="1"/>
        <v>100</v>
      </c>
      <c r="AE30" s="77">
        <f t="shared" si="2"/>
        <v>100</v>
      </c>
      <c r="AF30" s="78">
        <f t="shared" si="3"/>
        <v>100</v>
      </c>
      <c r="AG30" s="77">
        <f t="shared" si="4"/>
        <v>58.333333333333336</v>
      </c>
      <c r="AH30" s="77">
        <f t="shared" si="5"/>
        <v>66.666666666666671</v>
      </c>
      <c r="AI30" s="78">
        <f t="shared" si="6"/>
        <v>58.333333333333336</v>
      </c>
      <c r="AJ30" s="77">
        <f t="shared" si="7"/>
        <v>41.666666666666671</v>
      </c>
      <c r="AK30" s="77">
        <f t="shared" si="8"/>
        <v>50</v>
      </c>
      <c r="AL30" s="78">
        <f t="shared" si="9"/>
        <v>41.666666666666671</v>
      </c>
      <c r="AM30" s="77">
        <f t="shared" si="10"/>
        <v>33.333333333333336</v>
      </c>
      <c r="AN30" s="77">
        <f t="shared" si="11"/>
        <v>41.666666666666671</v>
      </c>
      <c r="AO30" s="78">
        <f t="shared" si="12"/>
        <v>41.666666666666671</v>
      </c>
      <c r="AP30" s="77">
        <f t="shared" si="13"/>
        <v>33.333333333333336</v>
      </c>
      <c r="AQ30" s="77">
        <f t="shared" si="14"/>
        <v>41.666666666666671</v>
      </c>
      <c r="AR30" s="78">
        <f t="shared" si="15"/>
        <v>41.666666666666671</v>
      </c>
      <c r="AS30" s="77">
        <f t="shared" si="16"/>
        <v>33.333333333333336</v>
      </c>
      <c r="AT30" s="77">
        <f t="shared" si="17"/>
        <v>41.666666666666671</v>
      </c>
      <c r="AU30" s="78">
        <f t="shared" si="18"/>
        <v>25</v>
      </c>
      <c r="AV30" s="77">
        <f t="shared" si="19"/>
        <v>25</v>
      </c>
      <c r="AW30" s="77">
        <f t="shared" si="20"/>
        <v>33.333333333333336</v>
      </c>
      <c r="AX30" s="78">
        <f t="shared" si="21"/>
        <v>16.666666666666668</v>
      </c>
      <c r="AY30" s="77">
        <f t="shared" si="22"/>
        <v>16.666666666666668</v>
      </c>
      <c r="AZ30" s="77">
        <f t="shared" si="23"/>
        <v>33.333333333333336</v>
      </c>
      <c r="BA30" s="78">
        <f t="shared" si="24"/>
        <v>16.666666666666668</v>
      </c>
      <c r="BB30" s="80">
        <f t="shared" si="25"/>
        <v>0</v>
      </c>
      <c r="BC30" s="77">
        <f t="shared" si="26"/>
        <v>4.8112522432468827</v>
      </c>
      <c r="BD30" s="77">
        <f t="shared" si="27"/>
        <v>4.8112522432468783</v>
      </c>
      <c r="BE30" s="77">
        <f t="shared" si="28"/>
        <v>4.8112522432468934</v>
      </c>
      <c r="BF30" s="77">
        <f t="shared" si="29"/>
        <v>4.8112522432468934</v>
      </c>
      <c r="BG30" s="77">
        <f t="shared" si="30"/>
        <v>8.333333333333341</v>
      </c>
      <c r="BH30" s="77">
        <f t="shared" si="31"/>
        <v>8.333333333333341</v>
      </c>
      <c r="BI30" s="77">
        <f t="shared" si="32"/>
        <v>9.6225044864937637</v>
      </c>
      <c r="BJ30" s="80">
        <f t="shared" si="47"/>
        <v>0</v>
      </c>
      <c r="BK30" s="77">
        <f t="shared" si="33"/>
        <v>0.80187537387448049</v>
      </c>
      <c r="BL30" s="77">
        <f t="shared" si="34"/>
        <v>0.80187537387447971</v>
      </c>
      <c r="BM30" s="77">
        <f t="shared" si="35"/>
        <v>0.80187537387448227</v>
      </c>
      <c r="BN30" s="77">
        <f t="shared" si="36"/>
        <v>0.80187537387448227</v>
      </c>
      <c r="BO30" s="77">
        <f t="shared" si="37"/>
        <v>1.3888888888888902</v>
      </c>
      <c r="BP30" s="77">
        <f t="shared" si="38"/>
        <v>1.3888888888888902</v>
      </c>
      <c r="BQ30" s="92">
        <f t="shared" si="39"/>
        <v>1.6037507477489605</v>
      </c>
      <c r="BR30" s="81">
        <f t="shared" si="40"/>
        <v>100</v>
      </c>
      <c r="BS30" s="79">
        <f t="shared" si="41"/>
        <v>61.111111111111114</v>
      </c>
      <c r="BT30" s="79">
        <f t="shared" si="42"/>
        <v>44.44444444444445</v>
      </c>
      <c r="BU30" s="79">
        <f t="shared" si="43"/>
        <v>38.888888888888893</v>
      </c>
      <c r="BV30" s="79">
        <f t="shared" si="50"/>
        <v>38.888888888888893</v>
      </c>
      <c r="BW30" s="79">
        <f t="shared" si="52"/>
        <v>33.333333333333336</v>
      </c>
      <c r="BX30" s="79">
        <f t="shared" si="53"/>
        <v>25</v>
      </c>
      <c r="BY30" s="79">
        <f t="shared" si="54"/>
        <v>22.222222222222225</v>
      </c>
      <c r="BZ30" s="81">
        <f t="shared" ref="BZ30:CF66" si="56">100-BR30</f>
        <v>0</v>
      </c>
      <c r="CA30" s="79">
        <f t="shared" si="56"/>
        <v>38.888888888888886</v>
      </c>
      <c r="CB30" s="79">
        <f t="shared" si="56"/>
        <v>55.55555555555555</v>
      </c>
      <c r="CC30" s="79">
        <f t="shared" si="56"/>
        <v>61.111111111111107</v>
      </c>
      <c r="CD30" s="79">
        <f t="shared" si="56"/>
        <v>61.111111111111107</v>
      </c>
      <c r="CE30" s="79">
        <f t="shared" si="56"/>
        <v>66.666666666666657</v>
      </c>
      <c r="CF30" s="79">
        <f t="shared" si="56"/>
        <v>75</v>
      </c>
      <c r="CG30" s="264">
        <f t="shared" si="55"/>
        <v>77.777777777777771</v>
      </c>
    </row>
    <row r="31" spans="2:85" x14ac:dyDescent="0.3">
      <c r="B31" s="409"/>
      <c r="C31" s="412"/>
      <c r="D31" s="70" t="s">
        <v>803</v>
      </c>
      <c r="E31" s="65">
        <v>12</v>
      </c>
      <c r="F31" s="65">
        <v>12</v>
      </c>
      <c r="G31" s="66">
        <v>12</v>
      </c>
      <c r="H31" s="65">
        <f t="shared" si="0"/>
        <v>36</v>
      </c>
      <c r="I31" s="67">
        <v>8</v>
      </c>
      <c r="J31" s="67">
        <v>8</v>
      </c>
      <c r="K31" s="66">
        <v>8</v>
      </c>
      <c r="L31" s="67">
        <v>3</v>
      </c>
      <c r="M31" s="67">
        <v>5</v>
      </c>
      <c r="N31" s="66">
        <v>5</v>
      </c>
      <c r="O31" s="67">
        <v>3</v>
      </c>
      <c r="P31" s="67">
        <v>4</v>
      </c>
      <c r="Q31" s="66">
        <v>4</v>
      </c>
      <c r="R31" s="67">
        <v>2</v>
      </c>
      <c r="S31" s="67">
        <v>3</v>
      </c>
      <c r="T31" s="66">
        <v>2</v>
      </c>
      <c r="U31" s="67">
        <v>2</v>
      </c>
      <c r="V31" s="67">
        <v>3</v>
      </c>
      <c r="W31" s="66">
        <v>2</v>
      </c>
      <c r="X31" s="67">
        <v>1</v>
      </c>
      <c r="Y31" s="67">
        <v>2</v>
      </c>
      <c r="Z31" s="66">
        <v>2</v>
      </c>
      <c r="AA31" s="67">
        <v>1</v>
      </c>
      <c r="AB31" s="67">
        <v>2</v>
      </c>
      <c r="AC31" s="66">
        <v>2</v>
      </c>
      <c r="AD31" s="65">
        <f t="shared" si="1"/>
        <v>100</v>
      </c>
      <c r="AE31" s="65">
        <f t="shared" si="2"/>
        <v>100</v>
      </c>
      <c r="AF31" s="66">
        <f t="shared" si="3"/>
        <v>100</v>
      </c>
      <c r="AG31" s="65">
        <f t="shared" si="4"/>
        <v>66.666666666666671</v>
      </c>
      <c r="AH31" s="65">
        <f t="shared" si="5"/>
        <v>66.666666666666671</v>
      </c>
      <c r="AI31" s="66">
        <f t="shared" si="6"/>
        <v>66.666666666666671</v>
      </c>
      <c r="AJ31" s="65">
        <f t="shared" si="7"/>
        <v>25</v>
      </c>
      <c r="AK31" s="65">
        <f t="shared" si="8"/>
        <v>41.666666666666671</v>
      </c>
      <c r="AL31" s="66">
        <f t="shared" si="9"/>
        <v>41.666666666666671</v>
      </c>
      <c r="AM31" s="65">
        <f t="shared" si="10"/>
        <v>25</v>
      </c>
      <c r="AN31" s="65">
        <f t="shared" si="11"/>
        <v>33.333333333333336</v>
      </c>
      <c r="AO31" s="66">
        <f t="shared" si="12"/>
        <v>33.333333333333336</v>
      </c>
      <c r="AP31" s="65">
        <f t="shared" si="13"/>
        <v>16.666666666666668</v>
      </c>
      <c r="AQ31" s="65">
        <f t="shared" si="14"/>
        <v>25</v>
      </c>
      <c r="AR31" s="66">
        <f t="shared" si="15"/>
        <v>16.666666666666668</v>
      </c>
      <c r="AS31" s="65">
        <f t="shared" si="16"/>
        <v>16.666666666666668</v>
      </c>
      <c r="AT31" s="65">
        <f t="shared" si="17"/>
        <v>25</v>
      </c>
      <c r="AU31" s="66">
        <f t="shared" si="18"/>
        <v>16.666666666666668</v>
      </c>
      <c r="AV31" s="65">
        <f t="shared" si="19"/>
        <v>8.3333333333333339</v>
      </c>
      <c r="AW31" s="65">
        <f t="shared" si="20"/>
        <v>16.666666666666668</v>
      </c>
      <c r="AX31" s="66">
        <f t="shared" si="21"/>
        <v>16.666666666666668</v>
      </c>
      <c r="AY31" s="65">
        <f t="shared" si="22"/>
        <v>8.3333333333333339</v>
      </c>
      <c r="AZ31" s="65">
        <f t="shared" si="23"/>
        <v>16.666666666666668</v>
      </c>
      <c r="BA31" s="66">
        <f t="shared" si="24"/>
        <v>16.666666666666668</v>
      </c>
      <c r="BB31" s="68">
        <f t="shared" si="25"/>
        <v>0</v>
      </c>
      <c r="BC31" s="65">
        <f t="shared" si="26"/>
        <v>0</v>
      </c>
      <c r="BD31" s="65">
        <f t="shared" si="27"/>
        <v>9.6225044864937512</v>
      </c>
      <c r="BE31" s="65">
        <f t="shared" si="28"/>
        <v>4.8112522432468703</v>
      </c>
      <c r="BF31" s="65">
        <f t="shared" si="29"/>
        <v>4.8112522432468703</v>
      </c>
      <c r="BG31" s="65">
        <f t="shared" si="30"/>
        <v>4.8112522432468703</v>
      </c>
      <c r="BH31" s="65">
        <f t="shared" si="31"/>
        <v>4.8112522432468818</v>
      </c>
      <c r="BI31" s="65">
        <f t="shared" si="32"/>
        <v>4.8112522432468818</v>
      </c>
      <c r="BJ31" s="68">
        <f t="shared" si="47"/>
        <v>0</v>
      </c>
      <c r="BK31" s="65">
        <f t="shared" si="33"/>
        <v>0</v>
      </c>
      <c r="BL31" s="65">
        <f t="shared" si="34"/>
        <v>1.6037507477489585</v>
      </c>
      <c r="BM31" s="65">
        <f t="shared" si="35"/>
        <v>0.80187537387447838</v>
      </c>
      <c r="BN31" s="65">
        <f t="shared" si="36"/>
        <v>0.80187537387447838</v>
      </c>
      <c r="BO31" s="65">
        <f t="shared" si="37"/>
        <v>0.80187537387447838</v>
      </c>
      <c r="BP31" s="65">
        <f t="shared" si="38"/>
        <v>0.80187537387448027</v>
      </c>
      <c r="BQ31" s="90">
        <f t="shared" si="39"/>
        <v>0.80187537387448027</v>
      </c>
      <c r="BR31" s="69">
        <f t="shared" si="40"/>
        <v>100</v>
      </c>
      <c r="BS31" s="67">
        <f t="shared" si="41"/>
        <v>66.666666666666671</v>
      </c>
      <c r="BT31" s="67">
        <f t="shared" si="42"/>
        <v>36.111111111111114</v>
      </c>
      <c r="BU31" s="67">
        <f t="shared" si="43"/>
        <v>30.555555555555557</v>
      </c>
      <c r="BV31" s="67">
        <f t="shared" si="50"/>
        <v>19.444444444444446</v>
      </c>
      <c r="BW31" s="67">
        <f t="shared" si="52"/>
        <v>19.444444444444446</v>
      </c>
      <c r="BX31" s="67">
        <f t="shared" si="53"/>
        <v>13.888888888888891</v>
      </c>
      <c r="BY31" s="67">
        <f t="shared" si="54"/>
        <v>13.888888888888891</v>
      </c>
      <c r="BZ31" s="69">
        <f t="shared" si="56"/>
        <v>0</v>
      </c>
      <c r="CA31" s="67">
        <f t="shared" si="56"/>
        <v>33.333333333333329</v>
      </c>
      <c r="CB31" s="67">
        <f t="shared" si="56"/>
        <v>63.888888888888886</v>
      </c>
      <c r="CC31" s="67">
        <f t="shared" si="56"/>
        <v>69.444444444444443</v>
      </c>
      <c r="CD31" s="67">
        <f t="shared" si="56"/>
        <v>80.555555555555557</v>
      </c>
      <c r="CE31" s="67">
        <f t="shared" si="56"/>
        <v>80.555555555555557</v>
      </c>
      <c r="CF31" s="67">
        <f t="shared" si="56"/>
        <v>86.111111111111114</v>
      </c>
      <c r="CG31" s="116">
        <f t="shared" si="55"/>
        <v>86.111111111111114</v>
      </c>
    </row>
    <row r="32" spans="2:85" x14ac:dyDescent="0.3">
      <c r="B32" s="409"/>
      <c r="C32" s="412"/>
      <c r="D32" s="70" t="s">
        <v>804</v>
      </c>
      <c r="E32" s="65">
        <v>12</v>
      </c>
      <c r="F32" s="65">
        <v>12</v>
      </c>
      <c r="G32" s="66">
        <v>12</v>
      </c>
      <c r="H32" s="65">
        <f t="shared" si="0"/>
        <v>36</v>
      </c>
      <c r="I32" s="67">
        <v>9</v>
      </c>
      <c r="J32" s="67">
        <v>9</v>
      </c>
      <c r="K32" s="66">
        <v>11</v>
      </c>
      <c r="L32" s="67">
        <v>8</v>
      </c>
      <c r="M32" s="67">
        <v>6</v>
      </c>
      <c r="N32" s="66">
        <v>8</v>
      </c>
      <c r="O32" s="67">
        <v>6</v>
      </c>
      <c r="P32" s="67">
        <v>6</v>
      </c>
      <c r="Q32" s="66">
        <v>6</v>
      </c>
      <c r="R32" s="67">
        <v>6</v>
      </c>
      <c r="S32" s="67">
        <v>5</v>
      </c>
      <c r="T32" s="66">
        <v>6</v>
      </c>
      <c r="U32" s="67">
        <v>5</v>
      </c>
      <c r="V32" s="67">
        <v>5</v>
      </c>
      <c r="W32" s="66">
        <v>6</v>
      </c>
      <c r="X32" s="67">
        <v>3</v>
      </c>
      <c r="Y32" s="67">
        <v>3</v>
      </c>
      <c r="Z32" s="66">
        <v>6</v>
      </c>
      <c r="AA32" s="67">
        <v>3</v>
      </c>
      <c r="AB32" s="67">
        <v>3</v>
      </c>
      <c r="AC32" s="66">
        <v>5</v>
      </c>
      <c r="AD32" s="65">
        <f t="shared" si="1"/>
        <v>100</v>
      </c>
      <c r="AE32" s="65">
        <f t="shared" si="2"/>
        <v>100</v>
      </c>
      <c r="AF32" s="66">
        <f t="shared" si="3"/>
        <v>100</v>
      </c>
      <c r="AG32" s="65">
        <f t="shared" si="4"/>
        <v>75</v>
      </c>
      <c r="AH32" s="65">
        <f t="shared" si="5"/>
        <v>75</v>
      </c>
      <c r="AI32" s="66">
        <f t="shared" si="6"/>
        <v>91.666666666666671</v>
      </c>
      <c r="AJ32" s="65">
        <f t="shared" si="7"/>
        <v>66.666666666666671</v>
      </c>
      <c r="AK32" s="65">
        <f t="shared" si="8"/>
        <v>50</v>
      </c>
      <c r="AL32" s="66">
        <f t="shared" si="9"/>
        <v>66.666666666666671</v>
      </c>
      <c r="AM32" s="65">
        <f t="shared" si="10"/>
        <v>50</v>
      </c>
      <c r="AN32" s="65">
        <f t="shared" si="11"/>
        <v>50</v>
      </c>
      <c r="AO32" s="66">
        <f t="shared" si="12"/>
        <v>50</v>
      </c>
      <c r="AP32" s="65">
        <f t="shared" si="13"/>
        <v>50</v>
      </c>
      <c r="AQ32" s="65">
        <f t="shared" si="14"/>
        <v>41.666666666666671</v>
      </c>
      <c r="AR32" s="66">
        <f t="shared" si="15"/>
        <v>50</v>
      </c>
      <c r="AS32" s="65">
        <f t="shared" si="16"/>
        <v>41.666666666666671</v>
      </c>
      <c r="AT32" s="65">
        <f t="shared" si="17"/>
        <v>41.666666666666671</v>
      </c>
      <c r="AU32" s="66">
        <f t="shared" si="18"/>
        <v>50</v>
      </c>
      <c r="AV32" s="65">
        <f t="shared" si="19"/>
        <v>25</v>
      </c>
      <c r="AW32" s="65">
        <f t="shared" si="20"/>
        <v>25</v>
      </c>
      <c r="AX32" s="66">
        <f t="shared" si="21"/>
        <v>50</v>
      </c>
      <c r="AY32" s="65">
        <f t="shared" si="22"/>
        <v>25</v>
      </c>
      <c r="AZ32" s="65">
        <f t="shared" si="23"/>
        <v>25</v>
      </c>
      <c r="BA32" s="66">
        <f t="shared" si="24"/>
        <v>41.666666666666671</v>
      </c>
      <c r="BB32" s="68">
        <f t="shared" si="25"/>
        <v>0</v>
      </c>
      <c r="BC32" s="65">
        <f t="shared" si="26"/>
        <v>9.6225044864937654</v>
      </c>
      <c r="BD32" s="65">
        <f t="shared" si="27"/>
        <v>9.6225044864937406</v>
      </c>
      <c r="BE32" s="65">
        <f t="shared" si="28"/>
        <v>0</v>
      </c>
      <c r="BF32" s="65">
        <f t="shared" si="29"/>
        <v>4.8112522432468783</v>
      </c>
      <c r="BG32" s="65">
        <f t="shared" si="30"/>
        <v>4.8112522432468783</v>
      </c>
      <c r="BH32" s="65">
        <f t="shared" si="31"/>
        <v>14.433756729740642</v>
      </c>
      <c r="BI32" s="65">
        <f t="shared" si="32"/>
        <v>9.6225044864937512</v>
      </c>
      <c r="BJ32" s="68">
        <f t="shared" si="47"/>
        <v>0</v>
      </c>
      <c r="BK32" s="65">
        <f t="shared" si="33"/>
        <v>1.603750747748961</v>
      </c>
      <c r="BL32" s="65">
        <f t="shared" si="34"/>
        <v>1.6037507477489568</v>
      </c>
      <c r="BM32" s="65">
        <f t="shared" si="35"/>
        <v>0</v>
      </c>
      <c r="BN32" s="65">
        <f t="shared" si="36"/>
        <v>0.80187537387447971</v>
      </c>
      <c r="BO32" s="65">
        <f t="shared" si="37"/>
        <v>0.80187537387447971</v>
      </c>
      <c r="BP32" s="65">
        <f t="shared" si="38"/>
        <v>2.4056261216234405</v>
      </c>
      <c r="BQ32" s="90">
        <f t="shared" si="39"/>
        <v>1.6037507477489585</v>
      </c>
      <c r="BR32" s="69">
        <f t="shared" si="40"/>
        <v>100</v>
      </c>
      <c r="BS32" s="67">
        <f t="shared" si="41"/>
        <v>80.555555555555557</v>
      </c>
      <c r="BT32" s="67">
        <f t="shared" si="42"/>
        <v>61.111111111111114</v>
      </c>
      <c r="BU32" s="67">
        <f t="shared" si="43"/>
        <v>50</v>
      </c>
      <c r="BV32" s="67">
        <f t="shared" si="50"/>
        <v>47.222222222222229</v>
      </c>
      <c r="BW32" s="67">
        <f t="shared" si="52"/>
        <v>44.44444444444445</v>
      </c>
      <c r="BX32" s="67">
        <f t="shared" si="53"/>
        <v>33.333333333333336</v>
      </c>
      <c r="BY32" s="67">
        <f t="shared" si="54"/>
        <v>30.555555555555557</v>
      </c>
      <c r="BZ32" s="69">
        <f t="shared" si="56"/>
        <v>0</v>
      </c>
      <c r="CA32" s="67">
        <f t="shared" si="56"/>
        <v>19.444444444444443</v>
      </c>
      <c r="CB32" s="67">
        <f t="shared" si="56"/>
        <v>38.888888888888886</v>
      </c>
      <c r="CC32" s="67">
        <f t="shared" si="56"/>
        <v>50</v>
      </c>
      <c r="CD32" s="67">
        <f t="shared" si="56"/>
        <v>52.777777777777771</v>
      </c>
      <c r="CE32" s="67">
        <f t="shared" si="56"/>
        <v>55.55555555555555</v>
      </c>
      <c r="CF32" s="67">
        <f t="shared" si="56"/>
        <v>66.666666666666657</v>
      </c>
      <c r="CG32" s="116">
        <f t="shared" si="55"/>
        <v>69.444444444444443</v>
      </c>
    </row>
    <row r="33" spans="2:85" x14ac:dyDescent="0.3">
      <c r="B33" s="410"/>
      <c r="C33" s="413"/>
      <c r="D33" s="70" t="s">
        <v>805</v>
      </c>
      <c r="E33" s="71">
        <v>12</v>
      </c>
      <c r="F33" s="71">
        <v>12</v>
      </c>
      <c r="G33" s="72">
        <v>12</v>
      </c>
      <c r="H33" s="71">
        <f t="shared" si="0"/>
        <v>36</v>
      </c>
      <c r="I33" s="73">
        <v>11</v>
      </c>
      <c r="J33" s="73">
        <v>11</v>
      </c>
      <c r="K33" s="72">
        <v>11</v>
      </c>
      <c r="L33" s="73">
        <v>6</v>
      </c>
      <c r="M33" s="73">
        <v>8</v>
      </c>
      <c r="N33" s="72">
        <v>8</v>
      </c>
      <c r="O33" s="73">
        <v>6</v>
      </c>
      <c r="P33" s="73">
        <v>8</v>
      </c>
      <c r="Q33" s="72">
        <v>8</v>
      </c>
      <c r="R33" s="73">
        <v>6</v>
      </c>
      <c r="S33" s="73">
        <v>5</v>
      </c>
      <c r="T33" s="72">
        <v>8</v>
      </c>
      <c r="U33" s="73">
        <v>3</v>
      </c>
      <c r="V33" s="73">
        <v>5</v>
      </c>
      <c r="W33" s="72">
        <v>6</v>
      </c>
      <c r="X33" s="73">
        <v>3</v>
      </c>
      <c r="Y33" s="73">
        <v>5</v>
      </c>
      <c r="Z33" s="72">
        <v>6</v>
      </c>
      <c r="AA33" s="73">
        <v>3</v>
      </c>
      <c r="AB33" s="73">
        <v>5</v>
      </c>
      <c r="AC33" s="72">
        <v>4</v>
      </c>
      <c r="AD33" s="71">
        <f t="shared" si="1"/>
        <v>100</v>
      </c>
      <c r="AE33" s="71">
        <f t="shared" si="2"/>
        <v>100</v>
      </c>
      <c r="AF33" s="72">
        <f t="shared" si="3"/>
        <v>100</v>
      </c>
      <c r="AG33" s="71">
        <f t="shared" si="4"/>
        <v>91.666666666666671</v>
      </c>
      <c r="AH33" s="71">
        <f t="shared" si="5"/>
        <v>91.666666666666671</v>
      </c>
      <c r="AI33" s="72">
        <f t="shared" si="6"/>
        <v>91.666666666666671</v>
      </c>
      <c r="AJ33" s="71">
        <f t="shared" si="7"/>
        <v>50</v>
      </c>
      <c r="AK33" s="71">
        <f t="shared" si="8"/>
        <v>66.666666666666671</v>
      </c>
      <c r="AL33" s="72">
        <f t="shared" si="9"/>
        <v>66.666666666666671</v>
      </c>
      <c r="AM33" s="71">
        <f t="shared" si="10"/>
        <v>50</v>
      </c>
      <c r="AN33" s="71">
        <f t="shared" si="11"/>
        <v>66.666666666666671</v>
      </c>
      <c r="AO33" s="72">
        <f t="shared" si="12"/>
        <v>66.666666666666671</v>
      </c>
      <c r="AP33" s="71">
        <f t="shared" si="13"/>
        <v>50</v>
      </c>
      <c r="AQ33" s="71">
        <f t="shared" si="14"/>
        <v>41.666666666666671</v>
      </c>
      <c r="AR33" s="72">
        <f t="shared" si="15"/>
        <v>66.666666666666671</v>
      </c>
      <c r="AS33" s="71">
        <f t="shared" si="16"/>
        <v>25</v>
      </c>
      <c r="AT33" s="71">
        <f t="shared" si="17"/>
        <v>41.666666666666671</v>
      </c>
      <c r="AU33" s="72">
        <f t="shared" si="18"/>
        <v>50</v>
      </c>
      <c r="AV33" s="71">
        <f t="shared" si="19"/>
        <v>25</v>
      </c>
      <c r="AW33" s="71">
        <f t="shared" si="20"/>
        <v>41.666666666666671</v>
      </c>
      <c r="AX33" s="72">
        <f t="shared" si="21"/>
        <v>50</v>
      </c>
      <c r="AY33" s="71">
        <f t="shared" si="22"/>
        <v>25</v>
      </c>
      <c r="AZ33" s="71">
        <f t="shared" si="23"/>
        <v>41.666666666666671</v>
      </c>
      <c r="BA33" s="72">
        <f t="shared" si="24"/>
        <v>33.333333333333336</v>
      </c>
      <c r="BB33" s="74">
        <f t="shared" si="25"/>
        <v>0</v>
      </c>
      <c r="BC33" s="71">
        <f t="shared" si="26"/>
        <v>0</v>
      </c>
      <c r="BD33" s="71">
        <f t="shared" si="27"/>
        <v>9.6225044864937406</v>
      </c>
      <c r="BE33" s="71">
        <f t="shared" si="28"/>
        <v>9.6225044864937406</v>
      </c>
      <c r="BF33" s="71">
        <f t="shared" si="29"/>
        <v>12.729376930432867</v>
      </c>
      <c r="BG33" s="71">
        <f t="shared" si="30"/>
        <v>12.729376930432885</v>
      </c>
      <c r="BH33" s="71">
        <f t="shared" si="31"/>
        <v>12.729376930432885</v>
      </c>
      <c r="BI33" s="71">
        <f t="shared" si="32"/>
        <v>8.333333333333341</v>
      </c>
      <c r="BJ33" s="74">
        <f t="shared" si="47"/>
        <v>0</v>
      </c>
      <c r="BK33" s="71">
        <f t="shared" si="33"/>
        <v>0</v>
      </c>
      <c r="BL33" s="71">
        <f t="shared" si="34"/>
        <v>1.6037507477489568</v>
      </c>
      <c r="BM33" s="71">
        <f t="shared" si="35"/>
        <v>1.6037507477489568</v>
      </c>
      <c r="BN33" s="71">
        <f t="shared" si="36"/>
        <v>2.1215628217388112</v>
      </c>
      <c r="BO33" s="71">
        <f t="shared" si="37"/>
        <v>2.1215628217388143</v>
      </c>
      <c r="BP33" s="71">
        <f t="shared" si="38"/>
        <v>2.1215628217388143</v>
      </c>
      <c r="BQ33" s="91">
        <f t="shared" si="39"/>
        <v>1.3888888888888902</v>
      </c>
      <c r="BR33" s="75">
        <f t="shared" si="40"/>
        <v>100</v>
      </c>
      <c r="BS33" s="73">
        <f t="shared" si="41"/>
        <v>91.666666666666671</v>
      </c>
      <c r="BT33" s="73">
        <f t="shared" si="42"/>
        <v>61.111111111111114</v>
      </c>
      <c r="BU33" s="73">
        <f t="shared" si="43"/>
        <v>61.111111111111114</v>
      </c>
      <c r="BV33" s="73">
        <f t="shared" si="50"/>
        <v>52.777777777777779</v>
      </c>
      <c r="BW33" s="73">
        <f t="shared" si="52"/>
        <v>38.888888888888893</v>
      </c>
      <c r="BX33" s="73">
        <f t="shared" si="53"/>
        <v>38.888888888888893</v>
      </c>
      <c r="BY33" s="73">
        <f t="shared" si="54"/>
        <v>33.333333333333336</v>
      </c>
      <c r="BZ33" s="75">
        <f t="shared" si="56"/>
        <v>0</v>
      </c>
      <c r="CA33" s="73">
        <f t="shared" si="56"/>
        <v>8.3333333333333286</v>
      </c>
      <c r="CB33" s="73">
        <f t="shared" si="56"/>
        <v>38.888888888888886</v>
      </c>
      <c r="CC33" s="73">
        <f t="shared" si="56"/>
        <v>38.888888888888886</v>
      </c>
      <c r="CD33" s="73">
        <f t="shared" si="56"/>
        <v>47.222222222222221</v>
      </c>
      <c r="CE33" s="73">
        <f t="shared" si="56"/>
        <v>61.111111111111107</v>
      </c>
      <c r="CF33" s="73">
        <f t="shared" si="56"/>
        <v>61.111111111111107</v>
      </c>
      <c r="CG33" s="265">
        <f t="shared" si="55"/>
        <v>66.666666666666657</v>
      </c>
    </row>
    <row r="34" spans="2:85" ht="15" customHeight="1" x14ac:dyDescent="0.3">
      <c r="B34" s="408">
        <v>8</v>
      </c>
      <c r="C34" s="411" t="s">
        <v>127</v>
      </c>
      <c r="D34" s="76" t="s">
        <v>802</v>
      </c>
      <c r="E34" s="77">
        <v>9</v>
      </c>
      <c r="F34" s="77">
        <v>12</v>
      </c>
      <c r="G34" s="78">
        <v>13</v>
      </c>
      <c r="H34" s="77">
        <f t="shared" si="0"/>
        <v>34</v>
      </c>
      <c r="I34" s="79">
        <v>7</v>
      </c>
      <c r="J34" s="79">
        <v>11</v>
      </c>
      <c r="K34" s="78">
        <v>13</v>
      </c>
      <c r="L34" s="79">
        <v>5</v>
      </c>
      <c r="M34" s="79">
        <v>7</v>
      </c>
      <c r="N34" s="78">
        <v>9</v>
      </c>
      <c r="O34" s="79">
        <v>1</v>
      </c>
      <c r="P34" s="79">
        <v>2</v>
      </c>
      <c r="Q34" s="78">
        <v>2</v>
      </c>
      <c r="R34" s="79">
        <v>0</v>
      </c>
      <c r="S34" s="79">
        <v>0</v>
      </c>
      <c r="T34" s="78">
        <v>1</v>
      </c>
      <c r="U34" s="79">
        <v>0</v>
      </c>
      <c r="V34" s="79">
        <v>0</v>
      </c>
      <c r="W34" s="78">
        <v>1</v>
      </c>
      <c r="X34" s="79">
        <v>0</v>
      </c>
      <c r="Y34" s="79">
        <v>0</v>
      </c>
      <c r="Z34" s="78">
        <v>1</v>
      </c>
      <c r="AA34" s="79">
        <v>0</v>
      </c>
      <c r="AB34" s="79">
        <v>0</v>
      </c>
      <c r="AC34" s="78">
        <v>1</v>
      </c>
      <c r="AD34" s="77">
        <f t="shared" si="1"/>
        <v>100</v>
      </c>
      <c r="AE34" s="77">
        <f t="shared" si="2"/>
        <v>100</v>
      </c>
      <c r="AF34" s="78">
        <f t="shared" si="3"/>
        <v>100</v>
      </c>
      <c r="AG34" s="77">
        <f t="shared" si="4"/>
        <v>77.777777777777771</v>
      </c>
      <c r="AH34" s="77">
        <f t="shared" si="5"/>
        <v>91.666666666666671</v>
      </c>
      <c r="AI34" s="78">
        <f t="shared" si="6"/>
        <v>100</v>
      </c>
      <c r="AJ34" s="77">
        <f t="shared" si="7"/>
        <v>55.555555555555557</v>
      </c>
      <c r="AK34" s="77">
        <f t="shared" si="8"/>
        <v>58.333333333333336</v>
      </c>
      <c r="AL34" s="78">
        <f t="shared" si="9"/>
        <v>69.230769230769226</v>
      </c>
      <c r="AM34" s="77">
        <f t="shared" si="10"/>
        <v>11.111111111111111</v>
      </c>
      <c r="AN34" s="77">
        <f t="shared" si="11"/>
        <v>16.666666666666668</v>
      </c>
      <c r="AO34" s="78">
        <f t="shared" si="12"/>
        <v>15.384615384615385</v>
      </c>
      <c r="AP34" s="77">
        <f t="shared" si="13"/>
        <v>0</v>
      </c>
      <c r="AQ34" s="77">
        <f t="shared" si="14"/>
        <v>0</v>
      </c>
      <c r="AR34" s="78">
        <f t="shared" si="15"/>
        <v>7.6923076923076925</v>
      </c>
      <c r="AS34" s="77">
        <f t="shared" si="16"/>
        <v>0</v>
      </c>
      <c r="AT34" s="77">
        <f t="shared" si="17"/>
        <v>0</v>
      </c>
      <c r="AU34" s="78">
        <f t="shared" si="18"/>
        <v>7.6923076923076925</v>
      </c>
      <c r="AV34" s="77">
        <f t="shared" si="19"/>
        <v>0</v>
      </c>
      <c r="AW34" s="77">
        <f t="shared" si="20"/>
        <v>0</v>
      </c>
      <c r="AX34" s="78">
        <f t="shared" si="21"/>
        <v>7.6923076923076925</v>
      </c>
      <c r="AY34" s="77">
        <f t="shared" si="22"/>
        <v>0</v>
      </c>
      <c r="AZ34" s="77">
        <f t="shared" si="23"/>
        <v>0</v>
      </c>
      <c r="BA34" s="78">
        <f t="shared" si="24"/>
        <v>7.6923076923076925</v>
      </c>
      <c r="BB34" s="80">
        <f t="shared" si="25"/>
        <v>0</v>
      </c>
      <c r="BC34" s="77">
        <f t="shared" si="26"/>
        <v>11.226255234242776</v>
      </c>
      <c r="BD34" s="77">
        <f t="shared" si="27"/>
        <v>7.2282043365346667</v>
      </c>
      <c r="BE34" s="77">
        <f t="shared" si="28"/>
        <v>2.9089142245957458</v>
      </c>
      <c r="BF34" s="77">
        <f t="shared" si="29"/>
        <v>4.4411559168432753</v>
      </c>
      <c r="BG34" s="77">
        <f t="shared" si="30"/>
        <v>4.4411559168432753</v>
      </c>
      <c r="BH34" s="77">
        <f t="shared" si="31"/>
        <v>4.4411559168432753</v>
      </c>
      <c r="BI34" s="77">
        <f t="shared" si="32"/>
        <v>4.4411559168432753</v>
      </c>
      <c r="BJ34" s="80">
        <f t="shared" si="47"/>
        <v>0</v>
      </c>
      <c r="BK34" s="77">
        <f t="shared" si="33"/>
        <v>1.9252868891213202</v>
      </c>
      <c r="BL34" s="77">
        <f t="shared" si="34"/>
        <v>1.239626816836642</v>
      </c>
      <c r="BM34" s="77">
        <f t="shared" si="35"/>
        <v>0.49887467381908857</v>
      </c>
      <c r="BN34" s="77">
        <f t="shared" si="36"/>
        <v>0.76165195613590331</v>
      </c>
      <c r="BO34" s="77">
        <f t="shared" si="37"/>
        <v>0.76165195613590331</v>
      </c>
      <c r="BP34" s="77">
        <f t="shared" si="38"/>
        <v>0.76165195613590331</v>
      </c>
      <c r="BQ34" s="92">
        <f t="shared" si="39"/>
        <v>0.76165195613590331</v>
      </c>
      <c r="BR34" s="81">
        <f t="shared" si="40"/>
        <v>100</v>
      </c>
      <c r="BS34" s="79">
        <f t="shared" si="41"/>
        <v>89.814814814814824</v>
      </c>
      <c r="BT34" s="79">
        <f t="shared" si="42"/>
        <v>61.039886039886035</v>
      </c>
      <c r="BU34" s="79">
        <f t="shared" si="43"/>
        <v>14.387464387464389</v>
      </c>
      <c r="BV34" s="79">
        <f t="shared" si="50"/>
        <v>2.5641025641025643</v>
      </c>
      <c r="BW34" s="79">
        <f t="shared" si="52"/>
        <v>2.5641025641025643</v>
      </c>
      <c r="BX34" s="79">
        <f t="shared" si="53"/>
        <v>2.5641025641025643</v>
      </c>
      <c r="BY34" s="79">
        <f t="shared" si="54"/>
        <v>2.5641025641025643</v>
      </c>
      <c r="BZ34" s="81">
        <f t="shared" si="56"/>
        <v>0</v>
      </c>
      <c r="CA34" s="79">
        <f t="shared" si="56"/>
        <v>10.185185185185176</v>
      </c>
      <c r="CB34" s="79">
        <f t="shared" si="56"/>
        <v>38.960113960113965</v>
      </c>
      <c r="CC34" s="79">
        <f t="shared" si="56"/>
        <v>85.612535612535609</v>
      </c>
      <c r="CD34" s="79">
        <f t="shared" si="56"/>
        <v>97.435897435897431</v>
      </c>
      <c r="CE34" s="79">
        <f t="shared" si="56"/>
        <v>97.435897435897431</v>
      </c>
      <c r="CF34" s="79">
        <f t="shared" si="56"/>
        <v>97.435897435897431</v>
      </c>
      <c r="CG34" s="264">
        <f t="shared" si="55"/>
        <v>97.435897435897431</v>
      </c>
    </row>
    <row r="35" spans="2:85" x14ac:dyDescent="0.3">
      <c r="B35" s="409"/>
      <c r="C35" s="412"/>
      <c r="D35" s="70" t="s">
        <v>803</v>
      </c>
      <c r="E35" s="65">
        <v>15</v>
      </c>
      <c r="F35" s="65">
        <v>14</v>
      </c>
      <c r="G35" s="66">
        <v>13</v>
      </c>
      <c r="H35" s="65">
        <f t="shared" si="0"/>
        <v>42</v>
      </c>
      <c r="I35" s="67">
        <v>14</v>
      </c>
      <c r="J35" s="67">
        <v>13</v>
      </c>
      <c r="K35" s="66">
        <v>13</v>
      </c>
      <c r="L35" s="67">
        <v>12</v>
      </c>
      <c r="M35" s="67">
        <v>9</v>
      </c>
      <c r="N35" s="66">
        <v>10</v>
      </c>
      <c r="O35" s="67">
        <v>6</v>
      </c>
      <c r="P35" s="67">
        <v>5</v>
      </c>
      <c r="Q35" s="66">
        <v>3</v>
      </c>
      <c r="R35" s="67">
        <v>3</v>
      </c>
      <c r="S35" s="67">
        <v>2</v>
      </c>
      <c r="T35" s="66">
        <v>1</v>
      </c>
      <c r="U35" s="67">
        <v>1</v>
      </c>
      <c r="V35" s="67">
        <v>0</v>
      </c>
      <c r="W35" s="66">
        <v>0</v>
      </c>
      <c r="X35" s="67">
        <v>0</v>
      </c>
      <c r="Y35" s="67">
        <v>0</v>
      </c>
      <c r="Z35" s="66">
        <v>0</v>
      </c>
      <c r="AA35" s="67">
        <v>0</v>
      </c>
      <c r="AB35" s="67">
        <v>0</v>
      </c>
      <c r="AC35" s="66">
        <v>0</v>
      </c>
      <c r="AD35" s="65">
        <f t="shared" si="1"/>
        <v>100</v>
      </c>
      <c r="AE35" s="65">
        <f t="shared" si="2"/>
        <v>100</v>
      </c>
      <c r="AF35" s="66">
        <f t="shared" si="3"/>
        <v>100</v>
      </c>
      <c r="AG35" s="65">
        <f t="shared" si="4"/>
        <v>93.333333333333343</v>
      </c>
      <c r="AH35" s="65">
        <f t="shared" si="5"/>
        <v>92.857142857142861</v>
      </c>
      <c r="AI35" s="66">
        <f t="shared" si="6"/>
        <v>100</v>
      </c>
      <c r="AJ35" s="65">
        <f t="shared" si="7"/>
        <v>80</v>
      </c>
      <c r="AK35" s="65">
        <f t="shared" si="8"/>
        <v>64.285714285714292</v>
      </c>
      <c r="AL35" s="66">
        <f t="shared" si="9"/>
        <v>76.92307692307692</v>
      </c>
      <c r="AM35" s="65">
        <f t="shared" si="10"/>
        <v>40</v>
      </c>
      <c r="AN35" s="65">
        <f t="shared" si="11"/>
        <v>35.714285714285715</v>
      </c>
      <c r="AO35" s="66">
        <f t="shared" si="12"/>
        <v>23.076923076923077</v>
      </c>
      <c r="AP35" s="65">
        <f t="shared" si="13"/>
        <v>20</v>
      </c>
      <c r="AQ35" s="65">
        <f t="shared" si="14"/>
        <v>14.285714285714286</v>
      </c>
      <c r="AR35" s="66">
        <f t="shared" si="15"/>
        <v>7.6923076923076925</v>
      </c>
      <c r="AS35" s="65">
        <f t="shared" si="16"/>
        <v>6.666666666666667</v>
      </c>
      <c r="AT35" s="65">
        <f t="shared" si="17"/>
        <v>0</v>
      </c>
      <c r="AU35" s="66">
        <f t="shared" si="18"/>
        <v>0</v>
      </c>
      <c r="AV35" s="65">
        <f t="shared" si="19"/>
        <v>0</v>
      </c>
      <c r="AW35" s="65">
        <f t="shared" si="20"/>
        <v>0</v>
      </c>
      <c r="AX35" s="66">
        <f t="shared" si="21"/>
        <v>0</v>
      </c>
      <c r="AY35" s="65">
        <f t="shared" si="22"/>
        <v>0</v>
      </c>
      <c r="AZ35" s="65">
        <f t="shared" si="23"/>
        <v>0</v>
      </c>
      <c r="BA35" s="66">
        <f t="shared" si="24"/>
        <v>0</v>
      </c>
      <c r="BB35" s="68">
        <f t="shared" si="25"/>
        <v>0</v>
      </c>
      <c r="BC35" s="65">
        <f t="shared" si="26"/>
        <v>3.993570039812417</v>
      </c>
      <c r="BD35" s="65">
        <f t="shared" si="27"/>
        <v>8.3277564561702793</v>
      </c>
      <c r="BE35" s="65">
        <f t="shared" si="28"/>
        <v>8.7983029984136039</v>
      </c>
      <c r="BF35" s="65">
        <f t="shared" si="29"/>
        <v>6.159076793255295</v>
      </c>
      <c r="BG35" s="65">
        <f t="shared" si="30"/>
        <v>3.8490017945975055</v>
      </c>
      <c r="BH35" s="65">
        <f t="shared" si="31"/>
        <v>0</v>
      </c>
      <c r="BI35" s="65">
        <f t="shared" si="32"/>
        <v>0</v>
      </c>
      <c r="BJ35" s="68">
        <f t="shared" si="47"/>
        <v>0</v>
      </c>
      <c r="BK35" s="65">
        <f t="shared" si="33"/>
        <v>0.6162212354513007</v>
      </c>
      <c r="BL35" s="65">
        <f t="shared" si="34"/>
        <v>1.2850007188555128</v>
      </c>
      <c r="BM35" s="65">
        <f t="shared" si="35"/>
        <v>1.357607626636737</v>
      </c>
      <c r="BN35" s="65">
        <f t="shared" si="36"/>
        <v>0.95036618187307054</v>
      </c>
      <c r="BO35" s="65">
        <f t="shared" si="37"/>
        <v>0.59391387091649872</v>
      </c>
      <c r="BP35" s="65">
        <f t="shared" si="38"/>
        <v>0</v>
      </c>
      <c r="BQ35" s="90">
        <f t="shared" si="39"/>
        <v>0</v>
      </c>
      <c r="BR35" s="69">
        <f t="shared" si="40"/>
        <v>100</v>
      </c>
      <c r="BS35" s="67">
        <f t="shared" si="41"/>
        <v>95.396825396825406</v>
      </c>
      <c r="BT35" s="67">
        <f t="shared" si="42"/>
        <v>73.736263736263723</v>
      </c>
      <c r="BU35" s="67">
        <f t="shared" si="43"/>
        <v>32.930402930402934</v>
      </c>
      <c r="BV35" s="67">
        <f t="shared" si="50"/>
        <v>13.992673992673993</v>
      </c>
      <c r="BW35" s="67">
        <f t="shared" si="52"/>
        <v>2.2222222222222223</v>
      </c>
      <c r="BX35" s="67">
        <f t="shared" si="53"/>
        <v>0</v>
      </c>
      <c r="BY35" s="67">
        <f>AVERAGE(AW35:AY35)</f>
        <v>0</v>
      </c>
      <c r="BZ35" s="69">
        <f t="shared" si="56"/>
        <v>0</v>
      </c>
      <c r="CA35" s="67">
        <f t="shared" si="56"/>
        <v>4.6031746031745939</v>
      </c>
      <c r="CB35" s="67">
        <f t="shared" si="56"/>
        <v>26.263736263736277</v>
      </c>
      <c r="CC35" s="67">
        <f t="shared" si="56"/>
        <v>67.069597069597066</v>
      </c>
      <c r="CD35" s="67">
        <f t="shared" si="56"/>
        <v>86.007326007326014</v>
      </c>
      <c r="CE35" s="67">
        <f t="shared" si="56"/>
        <v>97.777777777777771</v>
      </c>
      <c r="CF35" s="67">
        <f t="shared" si="56"/>
        <v>100</v>
      </c>
      <c r="CG35" s="116">
        <f t="shared" si="55"/>
        <v>100</v>
      </c>
    </row>
    <row r="36" spans="2:85" x14ac:dyDescent="0.3">
      <c r="B36" s="409"/>
      <c r="C36" s="412"/>
      <c r="D36" s="70" t="s">
        <v>804</v>
      </c>
      <c r="E36" s="65">
        <v>15</v>
      </c>
      <c r="F36" s="65">
        <v>12</v>
      </c>
      <c r="G36" s="66">
        <v>14</v>
      </c>
      <c r="H36" s="65">
        <f t="shared" si="0"/>
        <v>41</v>
      </c>
      <c r="I36" s="67">
        <v>15</v>
      </c>
      <c r="J36" s="67">
        <v>9</v>
      </c>
      <c r="K36" s="66">
        <v>12</v>
      </c>
      <c r="L36" s="67">
        <v>11</v>
      </c>
      <c r="M36" s="67">
        <v>8</v>
      </c>
      <c r="N36" s="66">
        <v>11</v>
      </c>
      <c r="O36" s="67">
        <v>8</v>
      </c>
      <c r="P36" s="67">
        <v>6</v>
      </c>
      <c r="Q36" s="66">
        <v>8</v>
      </c>
      <c r="R36" s="67">
        <v>5</v>
      </c>
      <c r="S36" s="67">
        <v>3</v>
      </c>
      <c r="T36" s="66">
        <v>7</v>
      </c>
      <c r="U36" s="67">
        <v>3</v>
      </c>
      <c r="V36" s="67">
        <v>2</v>
      </c>
      <c r="W36" s="66">
        <v>5</v>
      </c>
      <c r="X36" s="67">
        <v>2</v>
      </c>
      <c r="Y36" s="67">
        <v>0</v>
      </c>
      <c r="Z36" s="66">
        <v>3</v>
      </c>
      <c r="AA36" s="67">
        <v>2</v>
      </c>
      <c r="AB36" s="67">
        <v>0</v>
      </c>
      <c r="AC36" s="66">
        <v>3</v>
      </c>
      <c r="AD36" s="65">
        <f t="shared" si="1"/>
        <v>100</v>
      </c>
      <c r="AE36" s="65">
        <f t="shared" si="2"/>
        <v>100</v>
      </c>
      <c r="AF36" s="66">
        <f t="shared" si="3"/>
        <v>100</v>
      </c>
      <c r="AG36" s="65">
        <f t="shared" si="4"/>
        <v>100</v>
      </c>
      <c r="AH36" s="65">
        <f t="shared" si="5"/>
        <v>75</v>
      </c>
      <c r="AI36" s="66">
        <f t="shared" si="6"/>
        <v>85.714285714285722</v>
      </c>
      <c r="AJ36" s="65">
        <f t="shared" si="7"/>
        <v>73.333333333333343</v>
      </c>
      <c r="AK36" s="65">
        <f t="shared" si="8"/>
        <v>66.666666666666671</v>
      </c>
      <c r="AL36" s="66">
        <f t="shared" si="9"/>
        <v>78.571428571428569</v>
      </c>
      <c r="AM36" s="65">
        <f t="shared" si="10"/>
        <v>53.333333333333336</v>
      </c>
      <c r="AN36" s="65">
        <f t="shared" si="11"/>
        <v>50</v>
      </c>
      <c r="AO36" s="66">
        <f t="shared" si="12"/>
        <v>57.142857142857146</v>
      </c>
      <c r="AP36" s="65">
        <f t="shared" si="13"/>
        <v>33.333333333333336</v>
      </c>
      <c r="AQ36" s="65">
        <f t="shared" si="14"/>
        <v>25</v>
      </c>
      <c r="AR36" s="66">
        <f t="shared" si="15"/>
        <v>50</v>
      </c>
      <c r="AS36" s="65">
        <f t="shared" si="16"/>
        <v>20</v>
      </c>
      <c r="AT36" s="65">
        <f t="shared" si="17"/>
        <v>16.666666666666668</v>
      </c>
      <c r="AU36" s="66">
        <f t="shared" si="18"/>
        <v>35.714285714285715</v>
      </c>
      <c r="AV36" s="65">
        <f t="shared" si="19"/>
        <v>13.333333333333334</v>
      </c>
      <c r="AW36" s="65">
        <f t="shared" si="20"/>
        <v>0</v>
      </c>
      <c r="AX36" s="66">
        <f t="shared" si="21"/>
        <v>21.428571428571431</v>
      </c>
      <c r="AY36" s="65">
        <f t="shared" si="22"/>
        <v>13.333333333333334</v>
      </c>
      <c r="AZ36" s="65">
        <f t="shared" si="23"/>
        <v>0</v>
      </c>
      <c r="BA36" s="66">
        <f t="shared" si="24"/>
        <v>21.428571428571431</v>
      </c>
      <c r="BB36" s="68">
        <f t="shared" si="25"/>
        <v>0</v>
      </c>
      <c r="BC36" s="65">
        <f t="shared" si="26"/>
        <v>12.542444943872324</v>
      </c>
      <c r="BD36" s="65">
        <f t="shared" si="27"/>
        <v>5.9666495648293623</v>
      </c>
      <c r="BE36" s="65">
        <f t="shared" si="28"/>
        <v>3.5740730949833992</v>
      </c>
      <c r="BF36" s="65">
        <f t="shared" si="29"/>
        <v>12.729376930432876</v>
      </c>
      <c r="BG36" s="65">
        <f t="shared" si="30"/>
        <v>10.17236188572198</v>
      </c>
      <c r="BH36" s="65">
        <f t="shared" si="31"/>
        <v>10.82046156644715</v>
      </c>
      <c r="BI36" s="65">
        <f t="shared" si="32"/>
        <v>10.82046156644715</v>
      </c>
      <c r="BJ36" s="68">
        <f t="shared" si="47"/>
        <v>0</v>
      </c>
      <c r="BK36" s="65">
        <f t="shared" si="33"/>
        <v>1.9588008101652674</v>
      </c>
      <c r="BL36" s="65">
        <f t="shared" si="34"/>
        <v>0.93183410841041581</v>
      </c>
      <c r="BM36" s="65">
        <f t="shared" si="35"/>
        <v>0.55817644050841075</v>
      </c>
      <c r="BN36" s="65">
        <f t="shared" si="36"/>
        <v>1.9879946817237393</v>
      </c>
      <c r="BO36" s="65">
        <f t="shared" si="37"/>
        <v>1.5886560229854763</v>
      </c>
      <c r="BP36" s="65">
        <f t="shared" si="38"/>
        <v>1.6898721882031307</v>
      </c>
      <c r="BQ36" s="90">
        <f t="shared" si="39"/>
        <v>1.6898721882031307</v>
      </c>
      <c r="BR36" s="69">
        <f t="shared" si="40"/>
        <v>100</v>
      </c>
      <c r="BS36" s="67">
        <f t="shared" si="41"/>
        <v>86.904761904761912</v>
      </c>
      <c r="BT36" s="67">
        <f t="shared" si="42"/>
        <v>72.857142857142847</v>
      </c>
      <c r="BU36" s="67">
        <f t="shared" si="43"/>
        <v>53.492063492063494</v>
      </c>
      <c r="BV36" s="67">
        <f t="shared" si="50"/>
        <v>36.111111111111114</v>
      </c>
      <c r="BW36" s="67">
        <f t="shared" si="52"/>
        <v>24.126984126984127</v>
      </c>
      <c r="BX36" s="67">
        <f t="shared" si="53"/>
        <v>11.587301587301589</v>
      </c>
      <c r="BY36" s="67">
        <f>AVERAGE(AY36:BA36)</f>
        <v>11.587301587301589</v>
      </c>
      <c r="BZ36" s="69">
        <f t="shared" si="56"/>
        <v>0</v>
      </c>
      <c r="CA36" s="67">
        <f t="shared" si="56"/>
        <v>13.095238095238088</v>
      </c>
      <c r="CB36" s="67">
        <f t="shared" si="56"/>
        <v>27.142857142857153</v>
      </c>
      <c r="CC36" s="67">
        <f t="shared" si="56"/>
        <v>46.507936507936506</v>
      </c>
      <c r="CD36" s="67">
        <f t="shared" si="56"/>
        <v>63.888888888888886</v>
      </c>
      <c r="CE36" s="67">
        <f t="shared" si="56"/>
        <v>75.873015873015873</v>
      </c>
      <c r="CF36" s="67">
        <f t="shared" si="56"/>
        <v>88.412698412698404</v>
      </c>
      <c r="CG36" s="116">
        <f t="shared" si="55"/>
        <v>88.412698412698404</v>
      </c>
    </row>
    <row r="37" spans="2:85" x14ac:dyDescent="0.3">
      <c r="B37" s="410"/>
      <c r="C37" s="413"/>
      <c r="D37" s="70" t="s">
        <v>805</v>
      </c>
      <c r="E37" s="71">
        <v>15</v>
      </c>
      <c r="F37" s="71">
        <v>12</v>
      </c>
      <c r="G37" s="72">
        <v>13</v>
      </c>
      <c r="H37" s="71">
        <f t="shared" si="0"/>
        <v>40</v>
      </c>
      <c r="I37" s="73">
        <v>15</v>
      </c>
      <c r="J37" s="73">
        <v>12</v>
      </c>
      <c r="K37" s="72">
        <v>12</v>
      </c>
      <c r="L37" s="73">
        <v>10</v>
      </c>
      <c r="M37" s="73">
        <v>10</v>
      </c>
      <c r="N37" s="72">
        <v>10</v>
      </c>
      <c r="O37" s="73">
        <v>9</v>
      </c>
      <c r="P37" s="73">
        <v>9</v>
      </c>
      <c r="Q37" s="72">
        <v>9</v>
      </c>
      <c r="R37" s="73">
        <v>9</v>
      </c>
      <c r="S37" s="73">
        <v>7</v>
      </c>
      <c r="T37" s="72">
        <v>8</v>
      </c>
      <c r="U37" s="73">
        <v>7</v>
      </c>
      <c r="V37" s="73">
        <v>7</v>
      </c>
      <c r="W37" s="72">
        <v>7</v>
      </c>
      <c r="X37" s="73">
        <v>5</v>
      </c>
      <c r="Y37" s="73">
        <v>7</v>
      </c>
      <c r="Z37" s="72">
        <v>7</v>
      </c>
      <c r="AA37" s="73">
        <v>5</v>
      </c>
      <c r="AB37" s="73">
        <v>6</v>
      </c>
      <c r="AC37" s="72">
        <v>4</v>
      </c>
      <c r="AD37" s="71">
        <f t="shared" si="1"/>
        <v>100</v>
      </c>
      <c r="AE37" s="71">
        <f t="shared" si="2"/>
        <v>100</v>
      </c>
      <c r="AF37" s="72">
        <f t="shared" si="3"/>
        <v>100</v>
      </c>
      <c r="AG37" s="71">
        <f t="shared" si="4"/>
        <v>100</v>
      </c>
      <c r="AH37" s="71">
        <f t="shared" si="5"/>
        <v>100</v>
      </c>
      <c r="AI37" s="72">
        <f t="shared" si="6"/>
        <v>92.307692307692307</v>
      </c>
      <c r="AJ37" s="71">
        <f t="shared" si="7"/>
        <v>66.666666666666671</v>
      </c>
      <c r="AK37" s="71">
        <f t="shared" si="8"/>
        <v>83.333333333333343</v>
      </c>
      <c r="AL37" s="72">
        <f t="shared" si="9"/>
        <v>76.92307692307692</v>
      </c>
      <c r="AM37" s="71">
        <f t="shared" si="10"/>
        <v>60</v>
      </c>
      <c r="AN37" s="71">
        <f t="shared" si="11"/>
        <v>75</v>
      </c>
      <c r="AO37" s="72">
        <f t="shared" si="12"/>
        <v>69.230769230769226</v>
      </c>
      <c r="AP37" s="71">
        <f t="shared" si="13"/>
        <v>60</v>
      </c>
      <c r="AQ37" s="71">
        <f t="shared" si="14"/>
        <v>58.333333333333336</v>
      </c>
      <c r="AR37" s="72">
        <f t="shared" si="15"/>
        <v>61.53846153846154</v>
      </c>
      <c r="AS37" s="71">
        <f t="shared" si="16"/>
        <v>46.666666666666671</v>
      </c>
      <c r="AT37" s="71">
        <f t="shared" si="17"/>
        <v>58.333333333333336</v>
      </c>
      <c r="AU37" s="72">
        <f t="shared" si="18"/>
        <v>53.846153846153847</v>
      </c>
      <c r="AV37" s="71">
        <f t="shared" si="19"/>
        <v>33.333333333333336</v>
      </c>
      <c r="AW37" s="71">
        <f t="shared" si="20"/>
        <v>58.333333333333336</v>
      </c>
      <c r="AX37" s="72">
        <f t="shared" si="21"/>
        <v>53.846153846153847</v>
      </c>
      <c r="AY37" s="71">
        <f t="shared" si="22"/>
        <v>33.333333333333336</v>
      </c>
      <c r="AZ37" s="71">
        <f t="shared" si="23"/>
        <v>50</v>
      </c>
      <c r="BA37" s="72">
        <f t="shared" si="24"/>
        <v>30.76923076923077</v>
      </c>
      <c r="BB37" s="74">
        <f t="shared" si="25"/>
        <v>0</v>
      </c>
      <c r="BC37" s="71">
        <f t="shared" si="26"/>
        <v>4.4411559168432753</v>
      </c>
      <c r="BD37" s="71">
        <f t="shared" si="27"/>
        <v>8.4069724670538477</v>
      </c>
      <c r="BE37" s="71">
        <f t="shared" si="28"/>
        <v>7.5662752203484622</v>
      </c>
      <c r="BF37" s="71">
        <f t="shared" si="29"/>
        <v>1.6029913960265854</v>
      </c>
      <c r="BG37" s="71">
        <f t="shared" si="30"/>
        <v>5.8848807269376913</v>
      </c>
      <c r="BH37" s="71">
        <f t="shared" si="31"/>
        <v>13.32860698611168</v>
      </c>
      <c r="BI37" s="71">
        <f t="shared" si="32"/>
        <v>10.441702327239835</v>
      </c>
      <c r="BJ37" s="74">
        <f t="shared" si="47"/>
        <v>0</v>
      </c>
      <c r="BK37" s="71">
        <f t="shared" si="33"/>
        <v>0.70220840705790522</v>
      </c>
      <c r="BL37" s="71">
        <f t="shared" si="34"/>
        <v>1.3292590611107513</v>
      </c>
      <c r="BM37" s="71">
        <f t="shared" si="35"/>
        <v>1.1963331549996761</v>
      </c>
      <c r="BN37" s="71">
        <f t="shared" si="36"/>
        <v>0.25345519405484968</v>
      </c>
      <c r="BO37" s="71">
        <f t="shared" si="37"/>
        <v>0.93048134277752559</v>
      </c>
      <c r="BP37" s="71">
        <f t="shared" si="38"/>
        <v>2.1074378056672578</v>
      </c>
      <c r="BQ37" s="91">
        <f t="shared" si="39"/>
        <v>1.6509781001779351</v>
      </c>
      <c r="BR37" s="75">
        <f t="shared" si="40"/>
        <v>100</v>
      </c>
      <c r="BS37" s="73">
        <f t="shared" si="41"/>
        <v>97.435897435897445</v>
      </c>
      <c r="BT37" s="73">
        <f t="shared" si="42"/>
        <v>75.641025641025635</v>
      </c>
      <c r="BU37" s="73">
        <f t="shared" si="43"/>
        <v>68.07692307692308</v>
      </c>
      <c r="BV37" s="73">
        <f t="shared" si="50"/>
        <v>59.957264957264961</v>
      </c>
      <c r="BW37" s="73">
        <f t="shared" si="52"/>
        <v>52.948717948717949</v>
      </c>
      <c r="BX37" s="73">
        <f t="shared" si="53"/>
        <v>48.504273504273506</v>
      </c>
      <c r="BY37" s="73">
        <f>AVERAGE(AY37:BA37)</f>
        <v>38.034188034188041</v>
      </c>
      <c r="BZ37" s="75">
        <f t="shared" si="56"/>
        <v>0</v>
      </c>
      <c r="CA37" s="73">
        <f t="shared" si="56"/>
        <v>2.564102564102555</v>
      </c>
      <c r="CB37" s="73">
        <f t="shared" si="56"/>
        <v>24.358974358974365</v>
      </c>
      <c r="CC37" s="73">
        <f t="shared" si="56"/>
        <v>31.92307692307692</v>
      </c>
      <c r="CD37" s="73">
        <f t="shared" si="56"/>
        <v>40.042735042735039</v>
      </c>
      <c r="CE37" s="73">
        <f t="shared" si="56"/>
        <v>47.051282051282051</v>
      </c>
      <c r="CF37" s="73">
        <f t="shared" si="56"/>
        <v>51.495726495726494</v>
      </c>
      <c r="CG37" s="265">
        <f t="shared" si="55"/>
        <v>61.965811965811959</v>
      </c>
    </row>
    <row r="38" spans="2:85" ht="15" customHeight="1" x14ac:dyDescent="0.3">
      <c r="B38" s="408">
        <v>9</v>
      </c>
      <c r="C38" s="411" t="s">
        <v>138</v>
      </c>
      <c r="D38" s="76" t="s">
        <v>802</v>
      </c>
      <c r="E38" s="77">
        <v>12</v>
      </c>
      <c r="F38" s="77">
        <v>12</v>
      </c>
      <c r="G38" s="78">
        <v>12</v>
      </c>
      <c r="H38" s="77">
        <f t="shared" si="0"/>
        <v>36</v>
      </c>
      <c r="I38" s="79">
        <v>11</v>
      </c>
      <c r="J38" s="79">
        <v>12</v>
      </c>
      <c r="K38" s="78">
        <v>11</v>
      </c>
      <c r="L38" s="79">
        <v>7</v>
      </c>
      <c r="M38" s="79">
        <v>8</v>
      </c>
      <c r="N38" s="78">
        <v>9</v>
      </c>
      <c r="O38" s="79">
        <v>2</v>
      </c>
      <c r="P38" s="79">
        <v>3</v>
      </c>
      <c r="Q38" s="78">
        <v>5</v>
      </c>
      <c r="R38" s="79">
        <v>1</v>
      </c>
      <c r="S38" s="79">
        <v>0</v>
      </c>
      <c r="T38" s="78">
        <v>0</v>
      </c>
      <c r="U38" s="79">
        <v>1</v>
      </c>
      <c r="V38" s="79">
        <v>0</v>
      </c>
      <c r="W38" s="78">
        <v>0</v>
      </c>
      <c r="X38" s="79">
        <v>0</v>
      </c>
      <c r="Y38" s="79">
        <v>0</v>
      </c>
      <c r="Z38" s="78">
        <v>0</v>
      </c>
      <c r="AA38" s="79">
        <v>0</v>
      </c>
      <c r="AB38" s="79">
        <v>0</v>
      </c>
      <c r="AC38" s="78">
        <v>0</v>
      </c>
      <c r="AD38" s="77">
        <f t="shared" si="1"/>
        <v>100</v>
      </c>
      <c r="AE38" s="77">
        <f t="shared" si="2"/>
        <v>100</v>
      </c>
      <c r="AF38" s="78">
        <f t="shared" si="3"/>
        <v>100</v>
      </c>
      <c r="AG38" s="77">
        <f t="shared" si="4"/>
        <v>91.666666666666671</v>
      </c>
      <c r="AH38" s="77">
        <f t="shared" si="5"/>
        <v>100</v>
      </c>
      <c r="AI38" s="78">
        <f t="shared" si="6"/>
        <v>91.666666666666671</v>
      </c>
      <c r="AJ38" s="77">
        <f t="shared" si="7"/>
        <v>58.333333333333336</v>
      </c>
      <c r="AK38" s="77">
        <f t="shared" si="8"/>
        <v>66.666666666666671</v>
      </c>
      <c r="AL38" s="78">
        <f t="shared" si="9"/>
        <v>75</v>
      </c>
      <c r="AM38" s="77">
        <f t="shared" si="10"/>
        <v>16.666666666666668</v>
      </c>
      <c r="AN38" s="77">
        <f t="shared" si="11"/>
        <v>25</v>
      </c>
      <c r="AO38" s="78">
        <f t="shared" si="12"/>
        <v>41.666666666666671</v>
      </c>
      <c r="AP38" s="77">
        <f t="shared" si="13"/>
        <v>8.3333333333333339</v>
      </c>
      <c r="AQ38" s="77">
        <f t="shared" si="14"/>
        <v>0</v>
      </c>
      <c r="AR38" s="78">
        <f t="shared" si="15"/>
        <v>0</v>
      </c>
      <c r="AS38" s="77">
        <f t="shared" si="16"/>
        <v>8.3333333333333339</v>
      </c>
      <c r="AT38" s="77">
        <f t="shared" si="17"/>
        <v>0</v>
      </c>
      <c r="AU38" s="78">
        <f t="shared" si="18"/>
        <v>0</v>
      </c>
      <c r="AV38" s="77">
        <f t="shared" si="19"/>
        <v>0</v>
      </c>
      <c r="AW38" s="77">
        <f t="shared" si="20"/>
        <v>0</v>
      </c>
      <c r="AX38" s="78">
        <f t="shared" si="21"/>
        <v>0</v>
      </c>
      <c r="AY38" s="77">
        <f t="shared" si="22"/>
        <v>0</v>
      </c>
      <c r="AZ38" s="77">
        <f t="shared" si="23"/>
        <v>0</v>
      </c>
      <c r="BA38" s="78">
        <f t="shared" si="24"/>
        <v>0</v>
      </c>
      <c r="BB38" s="80">
        <f t="shared" si="25"/>
        <v>0</v>
      </c>
      <c r="BC38" s="77">
        <f t="shared" si="26"/>
        <v>4.8112522432468792</v>
      </c>
      <c r="BD38" s="77">
        <f t="shared" si="27"/>
        <v>8.3333333333333268</v>
      </c>
      <c r="BE38" s="77">
        <f t="shared" si="28"/>
        <v>12.729376930432894</v>
      </c>
      <c r="BF38" s="77">
        <f t="shared" si="29"/>
        <v>4.8112522432468818</v>
      </c>
      <c r="BG38" s="77">
        <f t="shared" si="30"/>
        <v>4.8112522432468818</v>
      </c>
      <c r="BH38" s="77">
        <f t="shared" si="31"/>
        <v>0</v>
      </c>
      <c r="BI38" s="77">
        <f t="shared" si="32"/>
        <v>0</v>
      </c>
      <c r="BJ38" s="80">
        <f t="shared" si="47"/>
        <v>0</v>
      </c>
      <c r="BK38" s="77">
        <f t="shared" si="33"/>
        <v>0.80187537387447982</v>
      </c>
      <c r="BL38" s="77">
        <f t="shared" si="34"/>
        <v>1.3888888888888877</v>
      </c>
      <c r="BM38" s="77">
        <f t="shared" si="35"/>
        <v>2.1215628217388156</v>
      </c>
      <c r="BN38" s="77">
        <f t="shared" si="36"/>
        <v>0.80187537387448027</v>
      </c>
      <c r="BO38" s="77">
        <f t="shared" si="37"/>
        <v>0.80187537387448027</v>
      </c>
      <c r="BP38" s="77">
        <f t="shared" si="38"/>
        <v>0</v>
      </c>
      <c r="BQ38" s="92">
        <f t="shared" si="39"/>
        <v>0</v>
      </c>
      <c r="BR38" s="81">
        <f t="shared" si="40"/>
        <v>100</v>
      </c>
      <c r="BS38" s="79">
        <f t="shared" si="41"/>
        <v>94.444444444444457</v>
      </c>
      <c r="BT38" s="79">
        <f t="shared" si="42"/>
        <v>66.666666666666671</v>
      </c>
      <c r="BU38" s="79">
        <f t="shared" si="43"/>
        <v>27.777777777777782</v>
      </c>
      <c r="BV38" s="79">
        <f t="shared" si="50"/>
        <v>2.7777777777777781</v>
      </c>
      <c r="BW38" s="79">
        <f t="shared" si="52"/>
        <v>2.7777777777777781</v>
      </c>
      <c r="BX38" s="79">
        <f t="shared" si="53"/>
        <v>0</v>
      </c>
      <c r="BY38" s="79">
        <f>AVERAGE(AW38:AY38)</f>
        <v>0</v>
      </c>
      <c r="BZ38" s="81">
        <f t="shared" si="56"/>
        <v>0</v>
      </c>
      <c r="CA38" s="79">
        <f t="shared" si="56"/>
        <v>5.5555555555555429</v>
      </c>
      <c r="CB38" s="79">
        <f t="shared" si="56"/>
        <v>33.333333333333329</v>
      </c>
      <c r="CC38" s="79">
        <f t="shared" si="56"/>
        <v>72.222222222222214</v>
      </c>
      <c r="CD38" s="79">
        <f t="shared" si="56"/>
        <v>97.222222222222229</v>
      </c>
      <c r="CE38" s="79">
        <f t="shared" si="56"/>
        <v>97.222222222222229</v>
      </c>
      <c r="CF38" s="79">
        <f t="shared" si="56"/>
        <v>100</v>
      </c>
      <c r="CG38" s="264">
        <f t="shared" si="55"/>
        <v>100</v>
      </c>
    </row>
    <row r="39" spans="2:85" x14ac:dyDescent="0.3">
      <c r="B39" s="409"/>
      <c r="C39" s="412"/>
      <c r="D39" s="70" t="s">
        <v>803</v>
      </c>
      <c r="E39" s="65">
        <v>12</v>
      </c>
      <c r="F39" s="65">
        <v>12</v>
      </c>
      <c r="G39" s="66">
        <v>12</v>
      </c>
      <c r="H39" s="65">
        <f t="shared" si="0"/>
        <v>36</v>
      </c>
      <c r="I39" s="67">
        <v>10</v>
      </c>
      <c r="J39" s="67">
        <v>11</v>
      </c>
      <c r="K39" s="66">
        <v>12</v>
      </c>
      <c r="L39" s="67">
        <v>7</v>
      </c>
      <c r="M39" s="67">
        <v>10</v>
      </c>
      <c r="N39" s="66">
        <v>10</v>
      </c>
      <c r="O39" s="67">
        <v>5</v>
      </c>
      <c r="P39" s="67">
        <v>6</v>
      </c>
      <c r="Q39" s="66">
        <v>7</v>
      </c>
      <c r="R39" s="67">
        <v>4</v>
      </c>
      <c r="S39" s="67">
        <v>3</v>
      </c>
      <c r="T39" s="66">
        <v>6</v>
      </c>
      <c r="U39" s="67">
        <v>4</v>
      </c>
      <c r="V39" s="67">
        <v>3</v>
      </c>
      <c r="W39" s="66">
        <v>5</v>
      </c>
      <c r="X39" s="67">
        <v>4</v>
      </c>
      <c r="Y39" s="67">
        <v>3</v>
      </c>
      <c r="Z39" s="66">
        <v>4</v>
      </c>
      <c r="AA39" s="67">
        <v>2</v>
      </c>
      <c r="AB39" s="67">
        <v>2</v>
      </c>
      <c r="AC39" s="66">
        <v>1</v>
      </c>
      <c r="AD39" s="65">
        <f t="shared" si="1"/>
        <v>100</v>
      </c>
      <c r="AE39" s="65">
        <f t="shared" si="2"/>
        <v>100</v>
      </c>
      <c r="AF39" s="66">
        <f t="shared" si="3"/>
        <v>100</v>
      </c>
      <c r="AG39" s="65">
        <f t="shared" si="4"/>
        <v>83.333333333333343</v>
      </c>
      <c r="AH39" s="65">
        <f t="shared" si="5"/>
        <v>91.666666666666671</v>
      </c>
      <c r="AI39" s="66">
        <f t="shared" si="6"/>
        <v>100</v>
      </c>
      <c r="AJ39" s="65">
        <f t="shared" si="7"/>
        <v>58.333333333333336</v>
      </c>
      <c r="AK39" s="65">
        <f t="shared" si="8"/>
        <v>83.333333333333343</v>
      </c>
      <c r="AL39" s="66">
        <f t="shared" si="9"/>
        <v>83.333333333333343</v>
      </c>
      <c r="AM39" s="65">
        <f t="shared" si="10"/>
        <v>41.666666666666671</v>
      </c>
      <c r="AN39" s="65">
        <f t="shared" si="11"/>
        <v>50</v>
      </c>
      <c r="AO39" s="66">
        <f t="shared" si="12"/>
        <v>58.333333333333336</v>
      </c>
      <c r="AP39" s="65">
        <f t="shared" si="13"/>
        <v>33.333333333333336</v>
      </c>
      <c r="AQ39" s="65">
        <f t="shared" si="14"/>
        <v>25</v>
      </c>
      <c r="AR39" s="66">
        <f t="shared" si="15"/>
        <v>50</v>
      </c>
      <c r="AS39" s="65">
        <f t="shared" si="16"/>
        <v>33.333333333333336</v>
      </c>
      <c r="AT39" s="65">
        <f t="shared" si="17"/>
        <v>25</v>
      </c>
      <c r="AU39" s="66">
        <f t="shared" si="18"/>
        <v>41.666666666666671</v>
      </c>
      <c r="AV39" s="65">
        <f t="shared" si="19"/>
        <v>33.333333333333336</v>
      </c>
      <c r="AW39" s="65">
        <f t="shared" si="20"/>
        <v>25</v>
      </c>
      <c r="AX39" s="66">
        <f t="shared" si="21"/>
        <v>33.333333333333336</v>
      </c>
      <c r="AY39" s="65">
        <f t="shared" si="22"/>
        <v>16.666666666666668</v>
      </c>
      <c r="AZ39" s="65">
        <f t="shared" si="23"/>
        <v>16.666666666666668</v>
      </c>
      <c r="BA39" s="66">
        <f t="shared" si="24"/>
        <v>8.3333333333333339</v>
      </c>
      <c r="BB39" s="68">
        <f t="shared" si="25"/>
        <v>0</v>
      </c>
      <c r="BC39" s="65">
        <f t="shared" si="26"/>
        <v>8.3333333333333286</v>
      </c>
      <c r="BD39" s="65">
        <f t="shared" si="27"/>
        <v>14.433756729740665</v>
      </c>
      <c r="BE39" s="65">
        <f t="shared" si="28"/>
        <v>8.3333333333333268</v>
      </c>
      <c r="BF39" s="65">
        <f t="shared" si="29"/>
        <v>12.729376930432876</v>
      </c>
      <c r="BG39" s="65">
        <f t="shared" si="30"/>
        <v>8.333333333333341</v>
      </c>
      <c r="BH39" s="65">
        <f t="shared" si="31"/>
        <v>4.8112522432468703</v>
      </c>
      <c r="BI39" s="65">
        <f t="shared" si="32"/>
        <v>4.8112522432468818</v>
      </c>
      <c r="BJ39" s="68">
        <f t="shared" si="47"/>
        <v>0</v>
      </c>
      <c r="BK39" s="65">
        <f t="shared" si="33"/>
        <v>1.3888888888888882</v>
      </c>
      <c r="BL39" s="65">
        <f t="shared" si="34"/>
        <v>2.405626121623444</v>
      </c>
      <c r="BM39" s="65">
        <f t="shared" si="35"/>
        <v>1.3888888888888877</v>
      </c>
      <c r="BN39" s="65">
        <f t="shared" si="36"/>
        <v>2.1215628217388125</v>
      </c>
      <c r="BO39" s="65">
        <f t="shared" si="37"/>
        <v>1.3888888888888902</v>
      </c>
      <c r="BP39" s="65">
        <f t="shared" si="38"/>
        <v>0.80187537387447838</v>
      </c>
      <c r="BQ39" s="90">
        <f t="shared" si="39"/>
        <v>0.80187537387448027</v>
      </c>
      <c r="BR39" s="69">
        <f t="shared" si="40"/>
        <v>100</v>
      </c>
      <c r="BS39" s="67">
        <f t="shared" si="41"/>
        <v>91.666666666666671</v>
      </c>
      <c r="BT39" s="67">
        <f t="shared" si="42"/>
        <v>75.000000000000014</v>
      </c>
      <c r="BU39" s="67">
        <f t="shared" si="43"/>
        <v>50</v>
      </c>
      <c r="BV39" s="67">
        <f t="shared" si="50"/>
        <v>36.111111111111114</v>
      </c>
      <c r="BW39" s="67">
        <f t="shared" si="52"/>
        <v>33.333333333333336</v>
      </c>
      <c r="BX39" s="67">
        <f t="shared" si="53"/>
        <v>30.555555555555557</v>
      </c>
      <c r="BY39" s="67">
        <f>AVERAGE(AY39:BA39)</f>
        <v>13.888888888888891</v>
      </c>
      <c r="BZ39" s="69">
        <f t="shared" si="56"/>
        <v>0</v>
      </c>
      <c r="CA39" s="67">
        <f t="shared" si="56"/>
        <v>8.3333333333333286</v>
      </c>
      <c r="CB39" s="67">
        <f t="shared" si="56"/>
        <v>24.999999999999986</v>
      </c>
      <c r="CC39" s="67">
        <f t="shared" si="56"/>
        <v>50</v>
      </c>
      <c r="CD39" s="67">
        <f t="shared" si="56"/>
        <v>63.888888888888886</v>
      </c>
      <c r="CE39" s="67">
        <f t="shared" si="56"/>
        <v>66.666666666666657</v>
      </c>
      <c r="CF39" s="67">
        <f t="shared" si="56"/>
        <v>69.444444444444443</v>
      </c>
      <c r="CG39" s="116">
        <f t="shared" si="55"/>
        <v>86.111111111111114</v>
      </c>
    </row>
    <row r="40" spans="2:85" x14ac:dyDescent="0.3">
      <c r="B40" s="409"/>
      <c r="C40" s="412"/>
      <c r="D40" s="70" t="s">
        <v>804</v>
      </c>
      <c r="E40" s="65">
        <v>12</v>
      </c>
      <c r="F40" s="65">
        <v>12</v>
      </c>
      <c r="G40" s="66">
        <v>12</v>
      </c>
      <c r="H40" s="65">
        <f t="shared" si="0"/>
        <v>36</v>
      </c>
      <c r="I40" s="67">
        <v>11</v>
      </c>
      <c r="J40" s="67">
        <v>12</v>
      </c>
      <c r="K40" s="66">
        <v>12</v>
      </c>
      <c r="L40" s="67">
        <v>10</v>
      </c>
      <c r="M40" s="67">
        <v>10</v>
      </c>
      <c r="N40" s="66">
        <v>11</v>
      </c>
      <c r="O40" s="67">
        <v>7</v>
      </c>
      <c r="P40" s="67">
        <v>6</v>
      </c>
      <c r="Q40" s="66">
        <v>6</v>
      </c>
      <c r="R40" s="67">
        <v>5</v>
      </c>
      <c r="S40" s="67">
        <v>4</v>
      </c>
      <c r="T40" s="66">
        <v>5</v>
      </c>
      <c r="U40" s="67">
        <v>4</v>
      </c>
      <c r="V40" s="67">
        <v>4</v>
      </c>
      <c r="W40" s="66">
        <v>5</v>
      </c>
      <c r="X40" s="67">
        <v>4</v>
      </c>
      <c r="Y40" s="67">
        <v>4</v>
      </c>
      <c r="Z40" s="66">
        <v>5</v>
      </c>
      <c r="AA40" s="67">
        <v>2</v>
      </c>
      <c r="AB40" s="67">
        <v>3</v>
      </c>
      <c r="AC40" s="66">
        <v>2</v>
      </c>
      <c r="AD40" s="65">
        <f t="shared" si="1"/>
        <v>100</v>
      </c>
      <c r="AE40" s="65">
        <f t="shared" si="2"/>
        <v>100</v>
      </c>
      <c r="AF40" s="66">
        <f t="shared" si="3"/>
        <v>100</v>
      </c>
      <c r="AG40" s="65">
        <f t="shared" si="4"/>
        <v>91.666666666666671</v>
      </c>
      <c r="AH40" s="65">
        <f t="shared" si="5"/>
        <v>100</v>
      </c>
      <c r="AI40" s="66">
        <f t="shared" si="6"/>
        <v>100</v>
      </c>
      <c r="AJ40" s="65">
        <f t="shared" si="7"/>
        <v>83.333333333333343</v>
      </c>
      <c r="AK40" s="65">
        <f t="shared" si="8"/>
        <v>83.333333333333343</v>
      </c>
      <c r="AL40" s="66">
        <f t="shared" si="9"/>
        <v>91.666666666666671</v>
      </c>
      <c r="AM40" s="65">
        <f t="shared" si="10"/>
        <v>58.333333333333336</v>
      </c>
      <c r="AN40" s="65">
        <f t="shared" si="11"/>
        <v>50</v>
      </c>
      <c r="AO40" s="66">
        <f t="shared" si="12"/>
        <v>50</v>
      </c>
      <c r="AP40" s="65">
        <f t="shared" si="13"/>
        <v>41.666666666666671</v>
      </c>
      <c r="AQ40" s="65">
        <f t="shared" si="14"/>
        <v>33.333333333333336</v>
      </c>
      <c r="AR40" s="66">
        <f t="shared" si="15"/>
        <v>41.666666666666671</v>
      </c>
      <c r="AS40" s="65">
        <f t="shared" si="16"/>
        <v>33.333333333333336</v>
      </c>
      <c r="AT40" s="65">
        <f t="shared" si="17"/>
        <v>33.333333333333336</v>
      </c>
      <c r="AU40" s="66">
        <f t="shared" si="18"/>
        <v>41.666666666666671</v>
      </c>
      <c r="AV40" s="65">
        <f t="shared" si="19"/>
        <v>33.333333333333336</v>
      </c>
      <c r="AW40" s="65">
        <f t="shared" si="20"/>
        <v>33.333333333333336</v>
      </c>
      <c r="AX40" s="66">
        <f t="shared" si="21"/>
        <v>41.666666666666671</v>
      </c>
      <c r="AY40" s="65">
        <f t="shared" si="22"/>
        <v>16.666666666666668</v>
      </c>
      <c r="AZ40" s="65">
        <f t="shared" si="23"/>
        <v>25</v>
      </c>
      <c r="BA40" s="66">
        <f t="shared" si="24"/>
        <v>16.666666666666668</v>
      </c>
      <c r="BB40" s="68">
        <f t="shared" si="25"/>
        <v>0</v>
      </c>
      <c r="BC40" s="65">
        <f t="shared" si="26"/>
        <v>4.8112522432468783</v>
      </c>
      <c r="BD40" s="65">
        <f t="shared" si="27"/>
        <v>4.8112522432468792</v>
      </c>
      <c r="BE40" s="65">
        <f t="shared" si="28"/>
        <v>4.8112522432468827</v>
      </c>
      <c r="BF40" s="65">
        <f t="shared" si="29"/>
        <v>4.8112522432468934</v>
      </c>
      <c r="BG40" s="65">
        <f t="shared" si="30"/>
        <v>4.8112522432468703</v>
      </c>
      <c r="BH40" s="65">
        <f t="shared" si="31"/>
        <v>4.8112522432468703</v>
      </c>
      <c r="BI40" s="65">
        <f t="shared" si="32"/>
        <v>4.8112522432468703</v>
      </c>
      <c r="BJ40" s="68">
        <f t="shared" si="47"/>
        <v>0</v>
      </c>
      <c r="BK40" s="65">
        <f t="shared" si="33"/>
        <v>0.80187537387447971</v>
      </c>
      <c r="BL40" s="65">
        <f t="shared" si="34"/>
        <v>0.80187537387447982</v>
      </c>
      <c r="BM40" s="65">
        <f t="shared" si="35"/>
        <v>0.80187537387448049</v>
      </c>
      <c r="BN40" s="65">
        <f t="shared" si="36"/>
        <v>0.80187537387448227</v>
      </c>
      <c r="BO40" s="65">
        <f t="shared" si="37"/>
        <v>0.80187537387447838</v>
      </c>
      <c r="BP40" s="65">
        <f t="shared" si="38"/>
        <v>0.80187537387447838</v>
      </c>
      <c r="BQ40" s="90">
        <f t="shared" si="39"/>
        <v>0.80187537387447838</v>
      </c>
      <c r="BR40" s="69">
        <f t="shared" si="40"/>
        <v>100</v>
      </c>
      <c r="BS40" s="67">
        <f t="shared" si="41"/>
        <v>97.222222222222229</v>
      </c>
      <c r="BT40" s="67">
        <f t="shared" si="42"/>
        <v>86.111111111111128</v>
      </c>
      <c r="BU40" s="67">
        <f t="shared" si="43"/>
        <v>52.777777777777779</v>
      </c>
      <c r="BV40" s="67">
        <f t="shared" si="50"/>
        <v>38.888888888888893</v>
      </c>
      <c r="BW40" s="67">
        <f t="shared" si="52"/>
        <v>36.111111111111114</v>
      </c>
      <c r="BX40" s="67">
        <f t="shared" si="53"/>
        <v>36.111111111111114</v>
      </c>
      <c r="BY40" s="67">
        <f>AVERAGE(AY40:BA40)</f>
        <v>19.444444444444446</v>
      </c>
      <c r="BZ40" s="69">
        <f t="shared" si="56"/>
        <v>0</v>
      </c>
      <c r="CA40" s="67">
        <f t="shared" si="56"/>
        <v>2.7777777777777715</v>
      </c>
      <c r="CB40" s="67">
        <f t="shared" si="56"/>
        <v>13.888888888888872</v>
      </c>
      <c r="CC40" s="67">
        <f t="shared" si="56"/>
        <v>47.222222222222221</v>
      </c>
      <c r="CD40" s="67">
        <f t="shared" si="56"/>
        <v>61.111111111111107</v>
      </c>
      <c r="CE40" s="67">
        <f t="shared" si="56"/>
        <v>63.888888888888886</v>
      </c>
      <c r="CF40" s="67">
        <f t="shared" si="56"/>
        <v>63.888888888888886</v>
      </c>
      <c r="CG40" s="116">
        <f t="shared" si="55"/>
        <v>80.555555555555557</v>
      </c>
    </row>
    <row r="41" spans="2:85" x14ac:dyDescent="0.3">
      <c r="B41" s="410"/>
      <c r="C41" s="413"/>
      <c r="D41" s="70" t="s">
        <v>805</v>
      </c>
      <c r="E41" s="71">
        <v>12</v>
      </c>
      <c r="F41" s="71">
        <v>12</v>
      </c>
      <c r="G41" s="72">
        <v>12</v>
      </c>
      <c r="H41" s="71">
        <f t="shared" si="0"/>
        <v>36</v>
      </c>
      <c r="I41" s="73">
        <v>12</v>
      </c>
      <c r="J41" s="73">
        <v>10</v>
      </c>
      <c r="K41" s="72">
        <v>12</v>
      </c>
      <c r="L41" s="73">
        <v>11</v>
      </c>
      <c r="M41" s="73">
        <v>9</v>
      </c>
      <c r="N41" s="72">
        <v>11</v>
      </c>
      <c r="O41" s="73">
        <v>6</v>
      </c>
      <c r="P41" s="73">
        <v>6</v>
      </c>
      <c r="Q41" s="72">
        <v>5</v>
      </c>
      <c r="R41" s="73">
        <v>5</v>
      </c>
      <c r="S41" s="73">
        <v>4</v>
      </c>
      <c r="T41" s="72">
        <v>4</v>
      </c>
      <c r="U41" s="73">
        <v>4</v>
      </c>
      <c r="V41" s="73">
        <v>2</v>
      </c>
      <c r="W41" s="72">
        <v>3</v>
      </c>
      <c r="X41" s="73">
        <v>3</v>
      </c>
      <c r="Y41" s="73">
        <v>2</v>
      </c>
      <c r="Z41" s="72">
        <v>3</v>
      </c>
      <c r="AA41" s="73">
        <v>3</v>
      </c>
      <c r="AB41" s="73">
        <v>2</v>
      </c>
      <c r="AC41" s="72">
        <v>3</v>
      </c>
      <c r="AD41" s="71">
        <f t="shared" si="1"/>
        <v>100</v>
      </c>
      <c r="AE41" s="71">
        <f t="shared" si="2"/>
        <v>100</v>
      </c>
      <c r="AF41" s="72">
        <f t="shared" si="3"/>
        <v>100</v>
      </c>
      <c r="AG41" s="71">
        <f t="shared" si="4"/>
        <v>100</v>
      </c>
      <c r="AH41" s="71">
        <f t="shared" si="5"/>
        <v>83.333333333333343</v>
      </c>
      <c r="AI41" s="72">
        <f t="shared" si="6"/>
        <v>100</v>
      </c>
      <c r="AJ41" s="71">
        <f t="shared" si="7"/>
        <v>91.666666666666671</v>
      </c>
      <c r="AK41" s="71">
        <f t="shared" si="8"/>
        <v>75</v>
      </c>
      <c r="AL41" s="72">
        <f t="shared" si="9"/>
        <v>91.666666666666671</v>
      </c>
      <c r="AM41" s="71">
        <f t="shared" si="10"/>
        <v>50</v>
      </c>
      <c r="AN41" s="71">
        <f t="shared" si="11"/>
        <v>50</v>
      </c>
      <c r="AO41" s="72">
        <f t="shared" si="12"/>
        <v>41.666666666666671</v>
      </c>
      <c r="AP41" s="71">
        <f t="shared" si="13"/>
        <v>41.666666666666671</v>
      </c>
      <c r="AQ41" s="71">
        <f t="shared" si="14"/>
        <v>33.333333333333336</v>
      </c>
      <c r="AR41" s="72">
        <f t="shared" si="15"/>
        <v>33.333333333333336</v>
      </c>
      <c r="AS41" s="71">
        <f t="shared" si="16"/>
        <v>33.333333333333336</v>
      </c>
      <c r="AT41" s="71">
        <f t="shared" si="17"/>
        <v>16.666666666666668</v>
      </c>
      <c r="AU41" s="72">
        <f t="shared" si="18"/>
        <v>25</v>
      </c>
      <c r="AV41" s="71">
        <f t="shared" si="19"/>
        <v>25</v>
      </c>
      <c r="AW41" s="71">
        <f t="shared" si="20"/>
        <v>16.666666666666668</v>
      </c>
      <c r="AX41" s="72">
        <f t="shared" si="21"/>
        <v>25</v>
      </c>
      <c r="AY41" s="71">
        <f t="shared" si="22"/>
        <v>25</v>
      </c>
      <c r="AZ41" s="71">
        <f t="shared" si="23"/>
        <v>16.666666666666668</v>
      </c>
      <c r="BA41" s="72">
        <f t="shared" si="24"/>
        <v>25</v>
      </c>
      <c r="BB41" s="74">
        <f t="shared" si="25"/>
        <v>0</v>
      </c>
      <c r="BC41" s="71">
        <f t="shared" si="26"/>
        <v>9.6225044864937566</v>
      </c>
      <c r="BD41" s="71">
        <f t="shared" si="27"/>
        <v>9.6225044864937654</v>
      </c>
      <c r="BE41" s="71">
        <f t="shared" si="28"/>
        <v>4.8112522432468783</v>
      </c>
      <c r="BF41" s="71">
        <f t="shared" si="29"/>
        <v>4.8112522432468703</v>
      </c>
      <c r="BG41" s="71">
        <f t="shared" si="30"/>
        <v>8.333333333333341</v>
      </c>
      <c r="BH41" s="71">
        <f t="shared" si="31"/>
        <v>4.8112522432468703</v>
      </c>
      <c r="BI41" s="71">
        <f t="shared" si="32"/>
        <v>4.8112522432468703</v>
      </c>
      <c r="BJ41" s="74">
        <f t="shared" si="47"/>
        <v>0</v>
      </c>
      <c r="BK41" s="71">
        <f t="shared" si="33"/>
        <v>1.6037507477489594</v>
      </c>
      <c r="BL41" s="71">
        <f t="shared" si="34"/>
        <v>1.603750747748961</v>
      </c>
      <c r="BM41" s="71">
        <f t="shared" si="35"/>
        <v>0.80187537387447971</v>
      </c>
      <c r="BN41" s="71">
        <f t="shared" si="36"/>
        <v>0.80187537387447838</v>
      </c>
      <c r="BO41" s="71">
        <f t="shared" si="37"/>
        <v>1.3888888888888902</v>
      </c>
      <c r="BP41" s="71">
        <f t="shared" si="38"/>
        <v>0.80187537387447838</v>
      </c>
      <c r="BQ41" s="91">
        <f t="shared" si="39"/>
        <v>0.80187537387447838</v>
      </c>
      <c r="BR41" s="75">
        <f t="shared" si="40"/>
        <v>100</v>
      </c>
      <c r="BS41" s="73">
        <f t="shared" si="41"/>
        <v>94.444444444444457</v>
      </c>
      <c r="BT41" s="73">
        <f t="shared" si="42"/>
        <v>86.111111111111128</v>
      </c>
      <c r="BU41" s="73">
        <f t="shared" si="43"/>
        <v>47.222222222222229</v>
      </c>
      <c r="BV41" s="73">
        <f t="shared" si="50"/>
        <v>36.111111111111114</v>
      </c>
      <c r="BW41" s="73">
        <f t="shared" si="52"/>
        <v>25</v>
      </c>
      <c r="BX41" s="73">
        <f t="shared" si="53"/>
        <v>22.222222222222225</v>
      </c>
      <c r="BY41" s="73">
        <f>AVERAGE(AY41:BA41)</f>
        <v>22.222222222222225</v>
      </c>
      <c r="BZ41" s="75">
        <f t="shared" si="56"/>
        <v>0</v>
      </c>
      <c r="CA41" s="73">
        <f t="shared" si="56"/>
        <v>5.5555555555555429</v>
      </c>
      <c r="CB41" s="73">
        <f t="shared" si="56"/>
        <v>13.888888888888872</v>
      </c>
      <c r="CC41" s="73">
        <f t="shared" si="56"/>
        <v>52.777777777777771</v>
      </c>
      <c r="CD41" s="73">
        <f t="shared" si="56"/>
        <v>63.888888888888886</v>
      </c>
      <c r="CE41" s="73">
        <f t="shared" si="56"/>
        <v>75</v>
      </c>
      <c r="CF41" s="73">
        <f t="shared" si="56"/>
        <v>77.777777777777771</v>
      </c>
      <c r="CG41" s="265">
        <f t="shared" si="55"/>
        <v>77.777777777777771</v>
      </c>
    </row>
    <row r="42" spans="2:85" ht="15" customHeight="1" x14ac:dyDescent="0.3">
      <c r="B42" s="408">
        <v>10</v>
      </c>
      <c r="C42" s="411" t="s">
        <v>147</v>
      </c>
      <c r="D42" s="76" t="s">
        <v>802</v>
      </c>
      <c r="E42" s="77">
        <v>12</v>
      </c>
      <c r="F42" s="77">
        <v>12</v>
      </c>
      <c r="G42" s="78">
        <v>12</v>
      </c>
      <c r="H42" s="77">
        <f t="shared" si="0"/>
        <v>36</v>
      </c>
      <c r="I42" s="79">
        <v>7</v>
      </c>
      <c r="J42" s="79">
        <v>5</v>
      </c>
      <c r="K42" s="78">
        <v>4</v>
      </c>
      <c r="L42" s="79">
        <v>3</v>
      </c>
      <c r="M42" s="79">
        <v>4</v>
      </c>
      <c r="N42" s="78">
        <v>3</v>
      </c>
      <c r="O42" s="79">
        <v>1</v>
      </c>
      <c r="P42" s="79">
        <v>1</v>
      </c>
      <c r="Q42" s="78">
        <v>2</v>
      </c>
      <c r="R42" s="79">
        <v>1</v>
      </c>
      <c r="S42" s="79">
        <v>0</v>
      </c>
      <c r="T42" s="78">
        <v>1</v>
      </c>
      <c r="U42" s="79">
        <v>1</v>
      </c>
      <c r="V42" s="79">
        <v>0</v>
      </c>
      <c r="W42" s="78">
        <v>0</v>
      </c>
      <c r="X42" s="79">
        <v>0</v>
      </c>
      <c r="Y42" s="79">
        <v>0</v>
      </c>
      <c r="Z42" s="78">
        <v>0</v>
      </c>
      <c r="AA42" s="79">
        <v>0</v>
      </c>
      <c r="AB42" s="79">
        <v>0</v>
      </c>
      <c r="AC42" s="78">
        <v>0</v>
      </c>
      <c r="AD42" s="77">
        <f t="shared" si="1"/>
        <v>100</v>
      </c>
      <c r="AE42" s="77">
        <f t="shared" si="2"/>
        <v>100</v>
      </c>
      <c r="AF42" s="78">
        <f t="shared" si="3"/>
        <v>100</v>
      </c>
      <c r="AG42" s="77">
        <f t="shared" si="4"/>
        <v>58.333333333333336</v>
      </c>
      <c r="AH42" s="77">
        <f t="shared" si="5"/>
        <v>41.666666666666671</v>
      </c>
      <c r="AI42" s="78">
        <f t="shared" si="6"/>
        <v>33.333333333333336</v>
      </c>
      <c r="AJ42" s="77">
        <f t="shared" si="7"/>
        <v>25</v>
      </c>
      <c r="AK42" s="77">
        <f t="shared" si="8"/>
        <v>33.333333333333336</v>
      </c>
      <c r="AL42" s="78">
        <f t="shared" si="9"/>
        <v>25</v>
      </c>
      <c r="AM42" s="77">
        <f t="shared" si="10"/>
        <v>8.3333333333333339</v>
      </c>
      <c r="AN42" s="77">
        <f t="shared" si="11"/>
        <v>8.3333333333333339</v>
      </c>
      <c r="AO42" s="78">
        <f t="shared" si="12"/>
        <v>16.666666666666668</v>
      </c>
      <c r="AP42" s="77">
        <f t="shared" si="13"/>
        <v>8.3333333333333339</v>
      </c>
      <c r="AQ42" s="77">
        <f t="shared" si="14"/>
        <v>0</v>
      </c>
      <c r="AR42" s="78">
        <f t="shared" si="15"/>
        <v>8.3333333333333339</v>
      </c>
      <c r="AS42" s="77">
        <f t="shared" si="16"/>
        <v>8.3333333333333339</v>
      </c>
      <c r="AT42" s="77">
        <f t="shared" si="17"/>
        <v>0</v>
      </c>
      <c r="AU42" s="78">
        <f t="shared" si="18"/>
        <v>0</v>
      </c>
      <c r="AV42" s="77">
        <f t="shared" si="19"/>
        <v>0</v>
      </c>
      <c r="AW42" s="77">
        <f t="shared" si="20"/>
        <v>0</v>
      </c>
      <c r="AX42" s="78">
        <f t="shared" si="21"/>
        <v>0</v>
      </c>
      <c r="AY42" s="77">
        <f t="shared" si="22"/>
        <v>0</v>
      </c>
      <c r="AZ42" s="77">
        <f t="shared" si="23"/>
        <v>0</v>
      </c>
      <c r="BA42" s="78">
        <f t="shared" si="24"/>
        <v>0</v>
      </c>
      <c r="BB42" s="80">
        <f t="shared" si="25"/>
        <v>0</v>
      </c>
      <c r="BC42" s="77">
        <f t="shared" si="26"/>
        <v>12.729376930432885</v>
      </c>
      <c r="BD42" s="77">
        <f t="shared" si="27"/>
        <v>4.8112522432468703</v>
      </c>
      <c r="BE42" s="77">
        <f t="shared" si="28"/>
        <v>4.8112522432468818</v>
      </c>
      <c r="BF42" s="77">
        <f t="shared" si="29"/>
        <v>4.8112522432468818</v>
      </c>
      <c r="BG42" s="77">
        <f t="shared" si="30"/>
        <v>4.8112522432468818</v>
      </c>
      <c r="BH42" s="77">
        <f t="shared" si="31"/>
        <v>0</v>
      </c>
      <c r="BI42" s="77">
        <f t="shared" si="32"/>
        <v>0</v>
      </c>
      <c r="BJ42" s="80">
        <f t="shared" si="47"/>
        <v>0</v>
      </c>
      <c r="BK42" s="77">
        <f t="shared" si="33"/>
        <v>2.1215628217388143</v>
      </c>
      <c r="BL42" s="77">
        <f t="shared" si="34"/>
        <v>0.80187537387447838</v>
      </c>
      <c r="BM42" s="77">
        <f t="shared" si="35"/>
        <v>0.80187537387448027</v>
      </c>
      <c r="BN42" s="77">
        <f t="shared" si="36"/>
        <v>0.80187537387448027</v>
      </c>
      <c r="BO42" s="77">
        <f t="shared" si="37"/>
        <v>0.80187537387448027</v>
      </c>
      <c r="BP42" s="77">
        <f t="shared" si="38"/>
        <v>0</v>
      </c>
      <c r="BQ42" s="92">
        <f t="shared" si="39"/>
        <v>0</v>
      </c>
      <c r="BR42" s="81">
        <f t="shared" si="40"/>
        <v>100</v>
      </c>
      <c r="BS42" s="79">
        <f t="shared" si="41"/>
        <v>44.44444444444445</v>
      </c>
      <c r="BT42" s="79">
        <f t="shared" si="42"/>
        <v>27.777777777777782</v>
      </c>
      <c r="BU42" s="79">
        <f t="shared" si="43"/>
        <v>11.111111111111112</v>
      </c>
      <c r="BV42" s="79">
        <f t="shared" si="50"/>
        <v>5.5555555555555562</v>
      </c>
      <c r="BW42" s="79">
        <f t="shared" si="52"/>
        <v>2.7777777777777781</v>
      </c>
      <c r="BX42" s="79">
        <f t="shared" si="53"/>
        <v>0</v>
      </c>
      <c r="BY42" s="79">
        <f>AVERAGE(AW42:AY42)</f>
        <v>0</v>
      </c>
      <c r="BZ42" s="81">
        <f t="shared" si="56"/>
        <v>0</v>
      </c>
      <c r="CA42" s="79">
        <f t="shared" si="56"/>
        <v>55.55555555555555</v>
      </c>
      <c r="CB42" s="79">
        <f t="shared" si="56"/>
        <v>72.222222222222214</v>
      </c>
      <c r="CC42" s="79">
        <f t="shared" si="56"/>
        <v>88.888888888888886</v>
      </c>
      <c r="CD42" s="79">
        <f t="shared" si="56"/>
        <v>94.444444444444443</v>
      </c>
      <c r="CE42" s="79">
        <f t="shared" si="56"/>
        <v>97.222222222222229</v>
      </c>
      <c r="CF42" s="79">
        <f t="shared" si="56"/>
        <v>100</v>
      </c>
      <c r="CG42" s="264">
        <f t="shared" si="55"/>
        <v>100</v>
      </c>
    </row>
    <row r="43" spans="2:85" x14ac:dyDescent="0.3">
      <c r="B43" s="409"/>
      <c r="C43" s="412"/>
      <c r="D43" s="70" t="s">
        <v>803</v>
      </c>
      <c r="E43" s="65">
        <v>12</v>
      </c>
      <c r="F43" s="65">
        <v>12</v>
      </c>
      <c r="G43" s="66">
        <v>12</v>
      </c>
      <c r="H43" s="65">
        <f t="shared" si="0"/>
        <v>36</v>
      </c>
      <c r="I43" s="67">
        <v>9</v>
      </c>
      <c r="J43" s="67">
        <v>9</v>
      </c>
      <c r="K43" s="66">
        <v>8</v>
      </c>
      <c r="L43" s="67">
        <v>6</v>
      </c>
      <c r="M43" s="67">
        <v>7</v>
      </c>
      <c r="N43" s="66">
        <v>4</v>
      </c>
      <c r="O43" s="67">
        <v>3</v>
      </c>
      <c r="P43" s="67">
        <v>3</v>
      </c>
      <c r="Q43" s="66">
        <v>2</v>
      </c>
      <c r="R43" s="67">
        <v>2</v>
      </c>
      <c r="S43" s="67">
        <v>2</v>
      </c>
      <c r="T43" s="66">
        <v>2</v>
      </c>
      <c r="U43" s="67">
        <v>2</v>
      </c>
      <c r="V43" s="67">
        <v>2</v>
      </c>
      <c r="W43" s="66">
        <v>2</v>
      </c>
      <c r="X43" s="67">
        <v>1</v>
      </c>
      <c r="Y43" s="67">
        <v>2</v>
      </c>
      <c r="Z43" s="66">
        <v>2</v>
      </c>
      <c r="AA43" s="67">
        <v>1</v>
      </c>
      <c r="AB43" s="67">
        <v>2</v>
      </c>
      <c r="AC43" s="66">
        <v>2</v>
      </c>
      <c r="AD43" s="65">
        <f t="shared" si="1"/>
        <v>100</v>
      </c>
      <c r="AE43" s="65">
        <f t="shared" si="2"/>
        <v>100</v>
      </c>
      <c r="AF43" s="66">
        <f t="shared" si="3"/>
        <v>100</v>
      </c>
      <c r="AG43" s="65">
        <f t="shared" si="4"/>
        <v>75</v>
      </c>
      <c r="AH43" s="65">
        <f t="shared" si="5"/>
        <v>75</v>
      </c>
      <c r="AI43" s="66">
        <f t="shared" si="6"/>
        <v>66.666666666666671</v>
      </c>
      <c r="AJ43" s="65">
        <f t="shared" si="7"/>
        <v>50</v>
      </c>
      <c r="AK43" s="65">
        <f t="shared" si="8"/>
        <v>58.333333333333336</v>
      </c>
      <c r="AL43" s="66">
        <f t="shared" si="9"/>
        <v>33.333333333333336</v>
      </c>
      <c r="AM43" s="65">
        <f t="shared" si="10"/>
        <v>25</v>
      </c>
      <c r="AN43" s="65">
        <f t="shared" si="11"/>
        <v>25</v>
      </c>
      <c r="AO43" s="66">
        <f t="shared" si="12"/>
        <v>16.666666666666668</v>
      </c>
      <c r="AP43" s="65">
        <f t="shared" si="13"/>
        <v>16.666666666666668</v>
      </c>
      <c r="AQ43" s="65">
        <f t="shared" si="14"/>
        <v>16.666666666666668</v>
      </c>
      <c r="AR43" s="66">
        <f t="shared" si="15"/>
        <v>16.666666666666668</v>
      </c>
      <c r="AS43" s="65">
        <f t="shared" si="16"/>
        <v>16.666666666666668</v>
      </c>
      <c r="AT43" s="65">
        <f t="shared" si="17"/>
        <v>16.666666666666668</v>
      </c>
      <c r="AU43" s="66">
        <f t="shared" si="18"/>
        <v>16.666666666666668</v>
      </c>
      <c r="AV43" s="65">
        <f t="shared" si="19"/>
        <v>8.3333333333333339</v>
      </c>
      <c r="AW43" s="65">
        <f t="shared" si="20"/>
        <v>16.666666666666668</v>
      </c>
      <c r="AX43" s="66">
        <f t="shared" si="21"/>
        <v>16.666666666666668</v>
      </c>
      <c r="AY43" s="65">
        <f t="shared" si="22"/>
        <v>8.3333333333333339</v>
      </c>
      <c r="AZ43" s="65">
        <f t="shared" si="23"/>
        <v>16.666666666666668</v>
      </c>
      <c r="BA43" s="66">
        <f t="shared" si="24"/>
        <v>16.666666666666668</v>
      </c>
      <c r="BB43" s="68">
        <f t="shared" si="25"/>
        <v>0</v>
      </c>
      <c r="BC43" s="65">
        <f t="shared" si="26"/>
        <v>4.8112522432468783</v>
      </c>
      <c r="BD43" s="65">
        <f t="shared" si="27"/>
        <v>12.729376930432849</v>
      </c>
      <c r="BE43" s="65">
        <f t="shared" si="28"/>
        <v>4.8112522432468703</v>
      </c>
      <c r="BF43" s="65">
        <f t="shared" si="29"/>
        <v>0</v>
      </c>
      <c r="BG43" s="65">
        <f t="shared" si="30"/>
        <v>0</v>
      </c>
      <c r="BH43" s="65">
        <f t="shared" si="31"/>
        <v>4.8112522432468818</v>
      </c>
      <c r="BI43" s="65">
        <f t="shared" si="32"/>
        <v>4.8112522432468818</v>
      </c>
      <c r="BJ43" s="68">
        <f t="shared" si="47"/>
        <v>0</v>
      </c>
      <c r="BK43" s="65">
        <f t="shared" si="33"/>
        <v>0.80187537387447971</v>
      </c>
      <c r="BL43" s="65">
        <f t="shared" si="34"/>
        <v>2.1215628217388081</v>
      </c>
      <c r="BM43" s="65">
        <f t="shared" si="35"/>
        <v>0.80187537387447838</v>
      </c>
      <c r="BN43" s="65">
        <f t="shared" si="36"/>
        <v>0</v>
      </c>
      <c r="BO43" s="65">
        <f t="shared" si="37"/>
        <v>0</v>
      </c>
      <c r="BP43" s="65">
        <f t="shared" si="38"/>
        <v>0.80187537387448027</v>
      </c>
      <c r="BQ43" s="90">
        <f t="shared" si="39"/>
        <v>0.80187537387448027</v>
      </c>
      <c r="BR43" s="69">
        <f t="shared" si="40"/>
        <v>100</v>
      </c>
      <c r="BS43" s="67">
        <f t="shared" si="41"/>
        <v>72.222222222222229</v>
      </c>
      <c r="BT43" s="67">
        <f t="shared" si="42"/>
        <v>47.222222222222229</v>
      </c>
      <c r="BU43" s="67">
        <f t="shared" si="43"/>
        <v>22.222222222222225</v>
      </c>
      <c r="BV43" s="67">
        <f t="shared" si="50"/>
        <v>16.666666666666668</v>
      </c>
      <c r="BW43" s="67">
        <f t="shared" si="52"/>
        <v>16.666666666666668</v>
      </c>
      <c r="BX43" s="67">
        <f t="shared" si="53"/>
        <v>13.888888888888891</v>
      </c>
      <c r="BY43" s="67">
        <f>AVERAGE(AY43:BA43)</f>
        <v>13.888888888888891</v>
      </c>
      <c r="BZ43" s="69">
        <f t="shared" si="56"/>
        <v>0</v>
      </c>
      <c r="CA43" s="67">
        <f t="shared" si="56"/>
        <v>27.777777777777771</v>
      </c>
      <c r="CB43" s="67">
        <f t="shared" si="56"/>
        <v>52.777777777777771</v>
      </c>
      <c r="CC43" s="67">
        <f t="shared" si="56"/>
        <v>77.777777777777771</v>
      </c>
      <c r="CD43" s="67">
        <f t="shared" si="56"/>
        <v>83.333333333333329</v>
      </c>
      <c r="CE43" s="67">
        <f t="shared" si="56"/>
        <v>83.333333333333329</v>
      </c>
      <c r="CF43" s="67">
        <f t="shared" si="56"/>
        <v>86.111111111111114</v>
      </c>
      <c r="CG43" s="116">
        <f t="shared" si="55"/>
        <v>86.111111111111114</v>
      </c>
    </row>
    <row r="44" spans="2:85" x14ac:dyDescent="0.3">
      <c r="B44" s="409"/>
      <c r="C44" s="412"/>
      <c r="D44" s="70" t="s">
        <v>804</v>
      </c>
      <c r="E44" s="65">
        <v>12</v>
      </c>
      <c r="F44" s="65">
        <v>12</v>
      </c>
      <c r="G44" s="66">
        <v>12</v>
      </c>
      <c r="H44" s="65">
        <f t="shared" si="0"/>
        <v>36</v>
      </c>
      <c r="I44" s="67">
        <v>7</v>
      </c>
      <c r="J44" s="67">
        <v>8</v>
      </c>
      <c r="K44" s="66">
        <v>8</v>
      </c>
      <c r="L44" s="67">
        <v>7</v>
      </c>
      <c r="M44" s="67">
        <v>6</v>
      </c>
      <c r="N44" s="66">
        <v>6</v>
      </c>
      <c r="O44" s="67">
        <v>6</v>
      </c>
      <c r="P44" s="67">
        <v>4</v>
      </c>
      <c r="Q44" s="66">
        <v>4</v>
      </c>
      <c r="R44" s="67">
        <v>4</v>
      </c>
      <c r="S44" s="67">
        <v>4</v>
      </c>
      <c r="T44" s="66">
        <v>4</v>
      </c>
      <c r="U44" s="67">
        <v>2</v>
      </c>
      <c r="V44" s="67">
        <v>2</v>
      </c>
      <c r="W44" s="66">
        <v>3</v>
      </c>
      <c r="X44" s="67">
        <v>2</v>
      </c>
      <c r="Y44" s="67">
        <v>2</v>
      </c>
      <c r="Z44" s="66">
        <v>3</v>
      </c>
      <c r="AA44" s="67">
        <v>1</v>
      </c>
      <c r="AB44" s="67">
        <v>1</v>
      </c>
      <c r="AC44" s="66">
        <v>2</v>
      </c>
      <c r="AD44" s="65">
        <f t="shared" si="1"/>
        <v>100</v>
      </c>
      <c r="AE44" s="65">
        <f t="shared" si="2"/>
        <v>100</v>
      </c>
      <c r="AF44" s="66">
        <f t="shared" si="3"/>
        <v>100</v>
      </c>
      <c r="AG44" s="65">
        <f t="shared" si="4"/>
        <v>58.333333333333336</v>
      </c>
      <c r="AH44" s="65">
        <f t="shared" si="5"/>
        <v>66.666666666666671</v>
      </c>
      <c r="AI44" s="66">
        <f t="shared" si="6"/>
        <v>66.666666666666671</v>
      </c>
      <c r="AJ44" s="65">
        <f t="shared" si="7"/>
        <v>58.333333333333336</v>
      </c>
      <c r="AK44" s="65">
        <f t="shared" si="8"/>
        <v>50</v>
      </c>
      <c r="AL44" s="66">
        <f t="shared" si="9"/>
        <v>50</v>
      </c>
      <c r="AM44" s="65">
        <f t="shared" si="10"/>
        <v>50</v>
      </c>
      <c r="AN44" s="65">
        <f t="shared" si="11"/>
        <v>33.333333333333336</v>
      </c>
      <c r="AO44" s="66">
        <f t="shared" si="12"/>
        <v>33.333333333333336</v>
      </c>
      <c r="AP44" s="65">
        <f t="shared" si="13"/>
        <v>33.333333333333336</v>
      </c>
      <c r="AQ44" s="65">
        <f t="shared" si="14"/>
        <v>33.333333333333336</v>
      </c>
      <c r="AR44" s="66">
        <f t="shared" si="15"/>
        <v>33.333333333333336</v>
      </c>
      <c r="AS44" s="65">
        <f t="shared" si="16"/>
        <v>16.666666666666668</v>
      </c>
      <c r="AT44" s="65">
        <f t="shared" si="17"/>
        <v>16.666666666666668</v>
      </c>
      <c r="AU44" s="66">
        <f t="shared" si="18"/>
        <v>25</v>
      </c>
      <c r="AV44" s="65">
        <f t="shared" si="19"/>
        <v>16.666666666666668</v>
      </c>
      <c r="AW44" s="65">
        <f t="shared" si="20"/>
        <v>16.666666666666668</v>
      </c>
      <c r="AX44" s="66">
        <f t="shared" si="21"/>
        <v>25</v>
      </c>
      <c r="AY44" s="65">
        <f t="shared" si="22"/>
        <v>8.3333333333333339</v>
      </c>
      <c r="AZ44" s="65">
        <f t="shared" si="23"/>
        <v>8.3333333333333339</v>
      </c>
      <c r="BA44" s="66">
        <f t="shared" si="24"/>
        <v>16.666666666666668</v>
      </c>
      <c r="BB44" s="68">
        <f t="shared" si="25"/>
        <v>0</v>
      </c>
      <c r="BC44" s="65">
        <f t="shared" si="26"/>
        <v>4.8112522432468827</v>
      </c>
      <c r="BD44" s="65">
        <f t="shared" si="27"/>
        <v>4.8112522432468827</v>
      </c>
      <c r="BE44" s="65">
        <f t="shared" si="28"/>
        <v>9.6225044864937406</v>
      </c>
      <c r="BF44" s="65">
        <f t="shared" si="29"/>
        <v>0</v>
      </c>
      <c r="BG44" s="65">
        <f t="shared" si="30"/>
        <v>4.8112522432468818</v>
      </c>
      <c r="BH44" s="65">
        <f t="shared" si="31"/>
        <v>4.8112522432468818</v>
      </c>
      <c r="BI44" s="65">
        <f t="shared" si="32"/>
        <v>4.8112522432468818</v>
      </c>
      <c r="BJ44" s="68">
        <f t="shared" si="47"/>
        <v>0</v>
      </c>
      <c r="BK44" s="65">
        <f t="shared" si="33"/>
        <v>0.80187537387448049</v>
      </c>
      <c r="BL44" s="65">
        <f t="shared" si="34"/>
        <v>0.80187537387448049</v>
      </c>
      <c r="BM44" s="65">
        <f t="shared" si="35"/>
        <v>1.6037507477489568</v>
      </c>
      <c r="BN44" s="65">
        <f t="shared" si="36"/>
        <v>0</v>
      </c>
      <c r="BO44" s="65">
        <f t="shared" si="37"/>
        <v>0.80187537387448027</v>
      </c>
      <c r="BP44" s="65">
        <f t="shared" si="38"/>
        <v>0.80187537387448027</v>
      </c>
      <c r="BQ44" s="90">
        <f t="shared" si="39"/>
        <v>0.80187537387448027</v>
      </c>
      <c r="BR44" s="69">
        <f t="shared" si="40"/>
        <v>100</v>
      </c>
      <c r="BS44" s="67">
        <f t="shared" si="41"/>
        <v>63.888888888888893</v>
      </c>
      <c r="BT44" s="67">
        <f t="shared" si="42"/>
        <v>52.777777777777779</v>
      </c>
      <c r="BU44" s="67">
        <f t="shared" si="43"/>
        <v>38.888888888888893</v>
      </c>
      <c r="BV44" s="67">
        <f t="shared" si="50"/>
        <v>33.333333333333336</v>
      </c>
      <c r="BW44" s="67">
        <f t="shared" si="52"/>
        <v>19.444444444444446</v>
      </c>
      <c r="BX44" s="67">
        <f t="shared" si="53"/>
        <v>19.444444444444446</v>
      </c>
      <c r="BY44" s="67">
        <f>AVERAGE(AY44:BA44)</f>
        <v>11.111111111111112</v>
      </c>
      <c r="BZ44" s="69">
        <f t="shared" si="56"/>
        <v>0</v>
      </c>
      <c r="CA44" s="67">
        <f t="shared" si="56"/>
        <v>36.111111111111107</v>
      </c>
      <c r="CB44" s="67">
        <f t="shared" si="56"/>
        <v>47.222222222222221</v>
      </c>
      <c r="CC44" s="67">
        <f t="shared" si="56"/>
        <v>61.111111111111107</v>
      </c>
      <c r="CD44" s="67">
        <f t="shared" si="56"/>
        <v>66.666666666666657</v>
      </c>
      <c r="CE44" s="67">
        <f t="shared" si="56"/>
        <v>80.555555555555557</v>
      </c>
      <c r="CF44" s="67">
        <f t="shared" si="56"/>
        <v>80.555555555555557</v>
      </c>
      <c r="CG44" s="116">
        <f t="shared" si="55"/>
        <v>88.888888888888886</v>
      </c>
    </row>
    <row r="45" spans="2:85" x14ac:dyDescent="0.3">
      <c r="B45" s="410"/>
      <c r="C45" s="413"/>
      <c r="D45" s="70" t="s">
        <v>805</v>
      </c>
      <c r="E45" s="71">
        <v>12</v>
      </c>
      <c r="F45" s="71">
        <v>12</v>
      </c>
      <c r="G45" s="72">
        <v>12</v>
      </c>
      <c r="H45" s="71">
        <f t="shared" si="0"/>
        <v>36</v>
      </c>
      <c r="I45" s="73">
        <v>9</v>
      </c>
      <c r="J45" s="73">
        <v>6</v>
      </c>
      <c r="K45" s="72">
        <v>8</v>
      </c>
      <c r="L45" s="73">
        <v>5</v>
      </c>
      <c r="M45" s="73">
        <v>4</v>
      </c>
      <c r="N45" s="72">
        <v>6</v>
      </c>
      <c r="O45" s="73">
        <v>4</v>
      </c>
      <c r="P45" s="73">
        <v>4</v>
      </c>
      <c r="Q45" s="72">
        <v>4</v>
      </c>
      <c r="R45" s="73">
        <v>2</v>
      </c>
      <c r="S45" s="73">
        <v>2</v>
      </c>
      <c r="T45" s="72">
        <v>2</v>
      </c>
      <c r="U45" s="73">
        <v>2</v>
      </c>
      <c r="V45" s="73">
        <v>2</v>
      </c>
      <c r="W45" s="72">
        <v>2</v>
      </c>
      <c r="X45" s="73">
        <v>2</v>
      </c>
      <c r="Y45" s="73">
        <v>2</v>
      </c>
      <c r="Z45" s="72">
        <v>2</v>
      </c>
      <c r="AA45" s="73">
        <v>2</v>
      </c>
      <c r="AB45" s="73">
        <v>1</v>
      </c>
      <c r="AC45" s="72">
        <v>1</v>
      </c>
      <c r="AD45" s="71">
        <f t="shared" si="1"/>
        <v>100</v>
      </c>
      <c r="AE45" s="71">
        <f t="shared" si="2"/>
        <v>100</v>
      </c>
      <c r="AF45" s="72">
        <f t="shared" si="3"/>
        <v>100</v>
      </c>
      <c r="AG45" s="71">
        <f t="shared" si="4"/>
        <v>75</v>
      </c>
      <c r="AH45" s="71">
        <f t="shared" si="5"/>
        <v>50</v>
      </c>
      <c r="AI45" s="72">
        <f t="shared" si="6"/>
        <v>66.666666666666671</v>
      </c>
      <c r="AJ45" s="71">
        <f t="shared" si="7"/>
        <v>41.666666666666671</v>
      </c>
      <c r="AK45" s="71">
        <f t="shared" si="8"/>
        <v>33.333333333333336</v>
      </c>
      <c r="AL45" s="72">
        <f t="shared" si="9"/>
        <v>50</v>
      </c>
      <c r="AM45" s="71">
        <f t="shared" si="10"/>
        <v>33.333333333333336</v>
      </c>
      <c r="AN45" s="71">
        <f t="shared" si="11"/>
        <v>33.333333333333336</v>
      </c>
      <c r="AO45" s="72">
        <f t="shared" si="12"/>
        <v>33.333333333333336</v>
      </c>
      <c r="AP45" s="71">
        <f t="shared" si="13"/>
        <v>16.666666666666668</v>
      </c>
      <c r="AQ45" s="71">
        <f t="shared" si="14"/>
        <v>16.666666666666668</v>
      </c>
      <c r="AR45" s="72">
        <f t="shared" si="15"/>
        <v>16.666666666666668</v>
      </c>
      <c r="AS45" s="71">
        <f t="shared" si="16"/>
        <v>16.666666666666668</v>
      </c>
      <c r="AT45" s="71">
        <f t="shared" si="17"/>
        <v>16.666666666666668</v>
      </c>
      <c r="AU45" s="72">
        <f t="shared" si="18"/>
        <v>16.666666666666668</v>
      </c>
      <c r="AV45" s="71">
        <f t="shared" si="19"/>
        <v>16.666666666666668</v>
      </c>
      <c r="AW45" s="71">
        <f t="shared" si="20"/>
        <v>16.666666666666668</v>
      </c>
      <c r="AX45" s="72">
        <f t="shared" si="21"/>
        <v>16.666666666666668</v>
      </c>
      <c r="AY45" s="71">
        <f t="shared" si="22"/>
        <v>16.666666666666668</v>
      </c>
      <c r="AZ45" s="71">
        <f t="shared" si="23"/>
        <v>8.3333333333333339</v>
      </c>
      <c r="BA45" s="72">
        <f t="shared" si="24"/>
        <v>8.3333333333333339</v>
      </c>
      <c r="BB45" s="74">
        <f t="shared" si="25"/>
        <v>0</v>
      </c>
      <c r="BC45" s="71">
        <f t="shared" si="26"/>
        <v>12.729376930432867</v>
      </c>
      <c r="BD45" s="71">
        <f t="shared" si="27"/>
        <v>8.3333333333333552</v>
      </c>
      <c r="BE45" s="71">
        <f t="shared" si="28"/>
        <v>0</v>
      </c>
      <c r="BF45" s="71">
        <f t="shared" si="29"/>
        <v>0</v>
      </c>
      <c r="BG45" s="71">
        <f t="shared" si="30"/>
        <v>0</v>
      </c>
      <c r="BH45" s="71">
        <f t="shared" si="31"/>
        <v>0</v>
      </c>
      <c r="BI45" s="71">
        <f t="shared" si="32"/>
        <v>4.8112522432468818</v>
      </c>
      <c r="BJ45" s="74">
        <f t="shared" si="47"/>
        <v>0</v>
      </c>
      <c r="BK45" s="71">
        <f t="shared" si="33"/>
        <v>2.1215628217388112</v>
      </c>
      <c r="BL45" s="71">
        <f t="shared" si="34"/>
        <v>1.3888888888888926</v>
      </c>
      <c r="BM45" s="71">
        <f t="shared" si="35"/>
        <v>0</v>
      </c>
      <c r="BN45" s="71">
        <f t="shared" si="36"/>
        <v>0</v>
      </c>
      <c r="BO45" s="71">
        <f t="shared" si="37"/>
        <v>0</v>
      </c>
      <c r="BP45" s="71">
        <f t="shared" si="38"/>
        <v>0</v>
      </c>
      <c r="BQ45" s="91">
        <f t="shared" si="39"/>
        <v>0.80187537387448027</v>
      </c>
      <c r="BR45" s="75">
        <f t="shared" si="40"/>
        <v>100</v>
      </c>
      <c r="BS45" s="73">
        <f t="shared" si="41"/>
        <v>63.888888888888893</v>
      </c>
      <c r="BT45" s="73">
        <f t="shared" si="42"/>
        <v>41.666666666666664</v>
      </c>
      <c r="BU45" s="73">
        <f t="shared" si="43"/>
        <v>33.333333333333336</v>
      </c>
      <c r="BV45" s="73">
        <f t="shared" si="50"/>
        <v>16.666666666666668</v>
      </c>
      <c r="BW45" s="73">
        <f t="shared" si="52"/>
        <v>16.666666666666668</v>
      </c>
      <c r="BX45" s="73">
        <f t="shared" si="53"/>
        <v>16.666666666666668</v>
      </c>
      <c r="BY45" s="73">
        <f>AVERAGE(AY45:BA45)</f>
        <v>11.111111111111112</v>
      </c>
      <c r="BZ45" s="75">
        <f t="shared" si="56"/>
        <v>0</v>
      </c>
      <c r="CA45" s="73">
        <f t="shared" si="56"/>
        <v>36.111111111111107</v>
      </c>
      <c r="CB45" s="73">
        <f t="shared" si="56"/>
        <v>58.333333333333336</v>
      </c>
      <c r="CC45" s="73">
        <f t="shared" si="56"/>
        <v>66.666666666666657</v>
      </c>
      <c r="CD45" s="73">
        <f t="shared" si="56"/>
        <v>83.333333333333329</v>
      </c>
      <c r="CE45" s="73">
        <f t="shared" si="56"/>
        <v>83.333333333333329</v>
      </c>
      <c r="CF45" s="73">
        <f t="shared" si="56"/>
        <v>83.333333333333329</v>
      </c>
      <c r="CG45" s="265">
        <f t="shared" si="55"/>
        <v>88.888888888888886</v>
      </c>
    </row>
    <row r="46" spans="2:85" ht="15" customHeight="1" x14ac:dyDescent="0.3">
      <c r="B46" s="408">
        <v>11</v>
      </c>
      <c r="C46" s="411" t="s">
        <v>169</v>
      </c>
      <c r="D46" s="76" t="s">
        <v>802</v>
      </c>
      <c r="E46" s="77">
        <v>12</v>
      </c>
      <c r="F46" s="77">
        <v>12</v>
      </c>
      <c r="G46" s="78">
        <v>12</v>
      </c>
      <c r="H46" s="77">
        <f t="shared" si="0"/>
        <v>36</v>
      </c>
      <c r="I46" s="79">
        <v>11</v>
      </c>
      <c r="J46" s="79">
        <v>11</v>
      </c>
      <c r="K46" s="78">
        <v>10</v>
      </c>
      <c r="L46" s="79">
        <v>8</v>
      </c>
      <c r="M46" s="79">
        <v>8</v>
      </c>
      <c r="N46" s="78">
        <v>7</v>
      </c>
      <c r="O46" s="79">
        <v>5</v>
      </c>
      <c r="P46" s="79">
        <v>5</v>
      </c>
      <c r="Q46" s="78">
        <v>6</v>
      </c>
      <c r="R46" s="79">
        <v>2</v>
      </c>
      <c r="S46" s="79">
        <v>1</v>
      </c>
      <c r="T46" s="78">
        <v>2</v>
      </c>
      <c r="U46" s="79">
        <v>0</v>
      </c>
      <c r="V46" s="79">
        <v>0</v>
      </c>
      <c r="W46" s="78">
        <v>0</v>
      </c>
      <c r="X46" s="79">
        <v>0</v>
      </c>
      <c r="Y46" s="79">
        <v>0</v>
      </c>
      <c r="Z46" s="78">
        <v>0</v>
      </c>
      <c r="AA46" s="79">
        <v>0</v>
      </c>
      <c r="AB46" s="79">
        <v>0</v>
      </c>
      <c r="AC46" s="78">
        <v>0</v>
      </c>
      <c r="AD46" s="77">
        <f t="shared" si="1"/>
        <v>100</v>
      </c>
      <c r="AE46" s="77">
        <f t="shared" si="2"/>
        <v>100</v>
      </c>
      <c r="AF46" s="78">
        <f t="shared" si="3"/>
        <v>100</v>
      </c>
      <c r="AG46" s="77">
        <f t="shared" si="4"/>
        <v>91.666666666666671</v>
      </c>
      <c r="AH46" s="77">
        <f t="shared" si="5"/>
        <v>91.666666666666671</v>
      </c>
      <c r="AI46" s="78">
        <f t="shared" si="6"/>
        <v>83.333333333333343</v>
      </c>
      <c r="AJ46" s="77">
        <f t="shared" si="7"/>
        <v>66.666666666666671</v>
      </c>
      <c r="AK46" s="77">
        <f t="shared" si="8"/>
        <v>66.666666666666671</v>
      </c>
      <c r="AL46" s="78">
        <f t="shared" si="9"/>
        <v>58.333333333333336</v>
      </c>
      <c r="AM46" s="77">
        <f t="shared" si="10"/>
        <v>41.666666666666671</v>
      </c>
      <c r="AN46" s="77">
        <f t="shared" si="11"/>
        <v>41.666666666666671</v>
      </c>
      <c r="AO46" s="78">
        <f t="shared" si="12"/>
        <v>50</v>
      </c>
      <c r="AP46" s="77">
        <f t="shared" si="13"/>
        <v>16.666666666666668</v>
      </c>
      <c r="AQ46" s="77">
        <f t="shared" si="14"/>
        <v>8.3333333333333339</v>
      </c>
      <c r="AR46" s="78">
        <f t="shared" si="15"/>
        <v>16.666666666666668</v>
      </c>
      <c r="AS46" s="77">
        <f t="shared" si="16"/>
        <v>0</v>
      </c>
      <c r="AT46" s="77">
        <f t="shared" si="17"/>
        <v>0</v>
      </c>
      <c r="AU46" s="78">
        <f t="shared" si="18"/>
        <v>0</v>
      </c>
      <c r="AV46" s="77">
        <f t="shared" si="19"/>
        <v>0</v>
      </c>
      <c r="AW46" s="77">
        <f t="shared" si="20"/>
        <v>0</v>
      </c>
      <c r="AX46" s="78">
        <f t="shared" si="21"/>
        <v>0</v>
      </c>
      <c r="AY46" s="77">
        <f t="shared" si="22"/>
        <v>0</v>
      </c>
      <c r="AZ46" s="77">
        <f t="shared" si="23"/>
        <v>0</v>
      </c>
      <c r="BA46" s="78">
        <f t="shared" si="24"/>
        <v>0</v>
      </c>
      <c r="BB46" s="80">
        <f t="shared" si="25"/>
        <v>0</v>
      </c>
      <c r="BC46" s="77">
        <f t="shared" si="26"/>
        <v>4.8112522432468783</v>
      </c>
      <c r="BD46" s="77">
        <f t="shared" si="27"/>
        <v>4.8112522432468827</v>
      </c>
      <c r="BE46" s="77">
        <f t="shared" si="28"/>
        <v>4.8112522432468783</v>
      </c>
      <c r="BF46" s="77">
        <f t="shared" si="29"/>
        <v>4.8112522432468818</v>
      </c>
      <c r="BG46" s="77">
        <f t="shared" si="30"/>
        <v>0</v>
      </c>
      <c r="BH46" s="77">
        <f t="shared" si="31"/>
        <v>0</v>
      </c>
      <c r="BI46" s="77">
        <f t="shared" si="32"/>
        <v>0</v>
      </c>
      <c r="BJ46" s="80">
        <f t="shared" si="47"/>
        <v>0</v>
      </c>
      <c r="BK46" s="77">
        <f t="shared" si="33"/>
        <v>0.80187537387447971</v>
      </c>
      <c r="BL46" s="77">
        <f t="shared" si="34"/>
        <v>0.80187537387448049</v>
      </c>
      <c r="BM46" s="77">
        <f t="shared" si="35"/>
        <v>0.80187537387447971</v>
      </c>
      <c r="BN46" s="77">
        <f t="shared" si="36"/>
        <v>0.80187537387448027</v>
      </c>
      <c r="BO46" s="77">
        <f t="shared" si="37"/>
        <v>0</v>
      </c>
      <c r="BP46" s="77">
        <f t="shared" si="38"/>
        <v>0</v>
      </c>
      <c r="BQ46" s="92">
        <f t="shared" si="39"/>
        <v>0</v>
      </c>
      <c r="BR46" s="81">
        <f t="shared" si="40"/>
        <v>100</v>
      </c>
      <c r="BS46" s="79">
        <f t="shared" si="41"/>
        <v>88.8888888888889</v>
      </c>
      <c r="BT46" s="79">
        <f t="shared" si="42"/>
        <v>63.888888888888893</v>
      </c>
      <c r="BU46" s="79">
        <f t="shared" si="43"/>
        <v>44.44444444444445</v>
      </c>
      <c r="BV46" s="79">
        <f t="shared" si="50"/>
        <v>13.888888888888891</v>
      </c>
      <c r="BW46" s="79">
        <f t="shared" si="52"/>
        <v>0</v>
      </c>
      <c r="BX46" s="79">
        <f>AVERAGE(AT46:AV46)</f>
        <v>0</v>
      </c>
      <c r="BY46" s="79">
        <f>AVERAGE(AU46:AW46)</f>
        <v>0</v>
      </c>
      <c r="BZ46" s="81">
        <f t="shared" si="56"/>
        <v>0</v>
      </c>
      <c r="CA46" s="79">
        <f t="shared" si="56"/>
        <v>11.1111111111111</v>
      </c>
      <c r="CB46" s="79">
        <f t="shared" si="56"/>
        <v>36.111111111111107</v>
      </c>
      <c r="CC46" s="79">
        <f t="shared" si="56"/>
        <v>55.55555555555555</v>
      </c>
      <c r="CD46" s="79">
        <f t="shared" si="56"/>
        <v>86.111111111111114</v>
      </c>
      <c r="CE46" s="79">
        <f t="shared" si="56"/>
        <v>100</v>
      </c>
      <c r="CF46" s="79">
        <f t="shared" si="56"/>
        <v>100</v>
      </c>
      <c r="CG46" s="264">
        <f t="shared" si="55"/>
        <v>100</v>
      </c>
    </row>
    <row r="47" spans="2:85" x14ac:dyDescent="0.3">
      <c r="B47" s="409"/>
      <c r="C47" s="412"/>
      <c r="D47" s="70" t="s">
        <v>803</v>
      </c>
      <c r="E47" s="65">
        <v>12</v>
      </c>
      <c r="F47" s="65">
        <v>12</v>
      </c>
      <c r="G47" s="66">
        <v>12</v>
      </c>
      <c r="H47" s="65">
        <f t="shared" si="0"/>
        <v>36</v>
      </c>
      <c r="I47" s="67">
        <v>10</v>
      </c>
      <c r="J47" s="67">
        <v>10</v>
      </c>
      <c r="K47" s="66">
        <v>11</v>
      </c>
      <c r="L47" s="67">
        <v>7</v>
      </c>
      <c r="M47" s="67">
        <v>8</v>
      </c>
      <c r="N47" s="66">
        <v>9</v>
      </c>
      <c r="O47" s="67">
        <v>3</v>
      </c>
      <c r="P47" s="67">
        <v>4</v>
      </c>
      <c r="Q47" s="66">
        <v>6</v>
      </c>
      <c r="R47" s="67">
        <v>1</v>
      </c>
      <c r="S47" s="67">
        <v>2</v>
      </c>
      <c r="T47" s="66">
        <v>3</v>
      </c>
      <c r="U47" s="67">
        <v>0</v>
      </c>
      <c r="V47" s="67">
        <v>0</v>
      </c>
      <c r="W47" s="66">
        <v>0</v>
      </c>
      <c r="X47" s="67">
        <v>0</v>
      </c>
      <c r="Y47" s="67">
        <v>0</v>
      </c>
      <c r="Z47" s="66">
        <v>0</v>
      </c>
      <c r="AA47" s="67">
        <v>0</v>
      </c>
      <c r="AB47" s="67">
        <v>0</v>
      </c>
      <c r="AC47" s="66">
        <v>0</v>
      </c>
      <c r="AD47" s="65">
        <f t="shared" si="1"/>
        <v>100</v>
      </c>
      <c r="AE47" s="65">
        <f t="shared" si="2"/>
        <v>100</v>
      </c>
      <c r="AF47" s="66">
        <f t="shared" si="3"/>
        <v>100</v>
      </c>
      <c r="AG47" s="65">
        <f t="shared" si="4"/>
        <v>83.333333333333343</v>
      </c>
      <c r="AH47" s="65">
        <f t="shared" si="5"/>
        <v>83.333333333333343</v>
      </c>
      <c r="AI47" s="66">
        <f t="shared" si="6"/>
        <v>91.666666666666671</v>
      </c>
      <c r="AJ47" s="65">
        <f t="shared" si="7"/>
        <v>58.333333333333336</v>
      </c>
      <c r="AK47" s="65">
        <f t="shared" si="8"/>
        <v>66.666666666666671</v>
      </c>
      <c r="AL47" s="66">
        <f t="shared" si="9"/>
        <v>75</v>
      </c>
      <c r="AM47" s="65">
        <f t="shared" si="10"/>
        <v>25</v>
      </c>
      <c r="AN47" s="65">
        <f t="shared" si="11"/>
        <v>33.333333333333336</v>
      </c>
      <c r="AO47" s="66">
        <f t="shared" si="12"/>
        <v>50</v>
      </c>
      <c r="AP47" s="65">
        <f t="shared" si="13"/>
        <v>8.3333333333333339</v>
      </c>
      <c r="AQ47" s="65">
        <f t="shared" si="14"/>
        <v>16.666666666666668</v>
      </c>
      <c r="AR47" s="66">
        <f t="shared" si="15"/>
        <v>25</v>
      </c>
      <c r="AS47" s="65">
        <f t="shared" si="16"/>
        <v>0</v>
      </c>
      <c r="AT47" s="65">
        <f t="shared" si="17"/>
        <v>0</v>
      </c>
      <c r="AU47" s="66">
        <f t="shared" si="18"/>
        <v>0</v>
      </c>
      <c r="AV47" s="65">
        <f t="shared" si="19"/>
        <v>0</v>
      </c>
      <c r="AW47" s="65">
        <f t="shared" si="20"/>
        <v>0</v>
      </c>
      <c r="AX47" s="66">
        <f t="shared" si="21"/>
        <v>0</v>
      </c>
      <c r="AY47" s="65">
        <f t="shared" si="22"/>
        <v>0</v>
      </c>
      <c r="AZ47" s="65">
        <f t="shared" si="23"/>
        <v>0</v>
      </c>
      <c r="BA47" s="66">
        <f t="shared" si="24"/>
        <v>0</v>
      </c>
      <c r="BB47" s="68">
        <f t="shared" si="25"/>
        <v>0</v>
      </c>
      <c r="BC47" s="65">
        <f t="shared" si="26"/>
        <v>4.8112522432468792</v>
      </c>
      <c r="BD47" s="65">
        <f t="shared" si="27"/>
        <v>8.3333333333333268</v>
      </c>
      <c r="BE47" s="65">
        <f t="shared" si="28"/>
        <v>12.729376930432876</v>
      </c>
      <c r="BF47" s="65">
        <f t="shared" si="29"/>
        <v>8.3333333333333339</v>
      </c>
      <c r="BG47" s="65">
        <f t="shared" si="30"/>
        <v>0</v>
      </c>
      <c r="BH47" s="65">
        <f t="shared" si="31"/>
        <v>0</v>
      </c>
      <c r="BI47" s="65">
        <f t="shared" si="32"/>
        <v>0</v>
      </c>
      <c r="BJ47" s="68">
        <f t="shared" si="47"/>
        <v>0</v>
      </c>
      <c r="BK47" s="65">
        <f t="shared" si="33"/>
        <v>0.80187537387447982</v>
      </c>
      <c r="BL47" s="65">
        <f t="shared" si="34"/>
        <v>1.3888888888888877</v>
      </c>
      <c r="BM47" s="65">
        <f t="shared" si="35"/>
        <v>2.1215628217388125</v>
      </c>
      <c r="BN47" s="65">
        <f t="shared" si="36"/>
        <v>1.3888888888888891</v>
      </c>
      <c r="BO47" s="65">
        <f t="shared" si="37"/>
        <v>0</v>
      </c>
      <c r="BP47" s="65">
        <f t="shared" si="38"/>
        <v>0</v>
      </c>
      <c r="BQ47" s="90">
        <f t="shared" si="39"/>
        <v>0</v>
      </c>
      <c r="BR47" s="69">
        <f t="shared" si="40"/>
        <v>100</v>
      </c>
      <c r="BS47" s="67">
        <f t="shared" si="41"/>
        <v>86.111111111111128</v>
      </c>
      <c r="BT47" s="67">
        <f t="shared" si="42"/>
        <v>66.666666666666671</v>
      </c>
      <c r="BU47" s="67">
        <f t="shared" si="43"/>
        <v>36.111111111111114</v>
      </c>
      <c r="BV47" s="67">
        <f t="shared" ref="BV47:BV78" si="57">AVERAGE(AP47:AR47)</f>
        <v>16.666666666666668</v>
      </c>
      <c r="BW47" s="67">
        <f t="shared" si="52"/>
        <v>0</v>
      </c>
      <c r="BX47" s="67">
        <f>AVERAGE(AT47:AV47)</f>
        <v>0</v>
      </c>
      <c r="BY47" s="67">
        <f>AVERAGE(AU47:AW47)</f>
        <v>0</v>
      </c>
      <c r="BZ47" s="69">
        <f t="shared" si="56"/>
        <v>0</v>
      </c>
      <c r="CA47" s="67">
        <f t="shared" si="56"/>
        <v>13.888888888888872</v>
      </c>
      <c r="CB47" s="67">
        <f t="shared" si="56"/>
        <v>33.333333333333329</v>
      </c>
      <c r="CC47" s="67">
        <f t="shared" si="56"/>
        <v>63.888888888888886</v>
      </c>
      <c r="CD47" s="67">
        <f t="shared" si="56"/>
        <v>83.333333333333329</v>
      </c>
      <c r="CE47" s="67">
        <f t="shared" si="56"/>
        <v>100</v>
      </c>
      <c r="CF47" s="67">
        <f t="shared" si="56"/>
        <v>100</v>
      </c>
      <c r="CG47" s="116">
        <f t="shared" si="55"/>
        <v>100</v>
      </c>
    </row>
    <row r="48" spans="2:85" x14ac:dyDescent="0.3">
      <c r="B48" s="409"/>
      <c r="C48" s="412"/>
      <c r="D48" s="70" t="s">
        <v>804</v>
      </c>
      <c r="E48" s="65">
        <v>12</v>
      </c>
      <c r="F48" s="65">
        <v>12</v>
      </c>
      <c r="G48" s="66">
        <v>12</v>
      </c>
      <c r="H48" s="65">
        <f t="shared" si="0"/>
        <v>36</v>
      </c>
      <c r="I48" s="67">
        <v>12</v>
      </c>
      <c r="J48" s="67">
        <v>11</v>
      </c>
      <c r="K48" s="66">
        <v>11</v>
      </c>
      <c r="L48" s="67">
        <v>9</v>
      </c>
      <c r="M48" s="67">
        <v>11</v>
      </c>
      <c r="N48" s="66">
        <v>10</v>
      </c>
      <c r="O48" s="67">
        <v>5</v>
      </c>
      <c r="P48" s="67">
        <v>10</v>
      </c>
      <c r="Q48" s="66">
        <v>6</v>
      </c>
      <c r="R48" s="67">
        <v>3</v>
      </c>
      <c r="S48" s="67">
        <v>7</v>
      </c>
      <c r="T48" s="66">
        <v>4</v>
      </c>
      <c r="U48" s="67">
        <v>3</v>
      </c>
      <c r="V48" s="67">
        <v>6</v>
      </c>
      <c r="W48" s="66">
        <v>3</v>
      </c>
      <c r="X48" s="67">
        <v>3</v>
      </c>
      <c r="Y48" s="67">
        <v>2</v>
      </c>
      <c r="Z48" s="66">
        <v>0</v>
      </c>
      <c r="AA48" s="67">
        <v>1</v>
      </c>
      <c r="AB48" s="67">
        <v>2</v>
      </c>
      <c r="AC48" s="66">
        <v>0</v>
      </c>
      <c r="AD48" s="65">
        <f t="shared" si="1"/>
        <v>100</v>
      </c>
      <c r="AE48" s="65">
        <f t="shared" si="2"/>
        <v>100</v>
      </c>
      <c r="AF48" s="66">
        <f t="shared" si="3"/>
        <v>100</v>
      </c>
      <c r="AG48" s="65">
        <f t="shared" si="4"/>
        <v>100</v>
      </c>
      <c r="AH48" s="65">
        <f t="shared" si="5"/>
        <v>91.666666666666671</v>
      </c>
      <c r="AI48" s="66">
        <f t="shared" si="6"/>
        <v>91.666666666666671</v>
      </c>
      <c r="AJ48" s="65">
        <f t="shared" si="7"/>
        <v>75</v>
      </c>
      <c r="AK48" s="65">
        <f t="shared" si="8"/>
        <v>91.666666666666671</v>
      </c>
      <c r="AL48" s="66">
        <f t="shared" si="9"/>
        <v>83.333333333333343</v>
      </c>
      <c r="AM48" s="65">
        <f t="shared" si="10"/>
        <v>41.666666666666671</v>
      </c>
      <c r="AN48" s="65">
        <f t="shared" si="11"/>
        <v>83.333333333333343</v>
      </c>
      <c r="AO48" s="66">
        <f t="shared" si="12"/>
        <v>50</v>
      </c>
      <c r="AP48" s="65">
        <f t="shared" si="13"/>
        <v>25</v>
      </c>
      <c r="AQ48" s="65">
        <f t="shared" si="14"/>
        <v>58.333333333333336</v>
      </c>
      <c r="AR48" s="66">
        <f t="shared" si="15"/>
        <v>33.333333333333336</v>
      </c>
      <c r="AS48" s="65">
        <f t="shared" si="16"/>
        <v>25</v>
      </c>
      <c r="AT48" s="65">
        <f t="shared" si="17"/>
        <v>50</v>
      </c>
      <c r="AU48" s="66">
        <f t="shared" si="18"/>
        <v>25</v>
      </c>
      <c r="AV48" s="65">
        <f t="shared" si="19"/>
        <v>25</v>
      </c>
      <c r="AW48" s="65">
        <f t="shared" si="20"/>
        <v>16.666666666666668</v>
      </c>
      <c r="AX48" s="66">
        <f t="shared" si="21"/>
        <v>0</v>
      </c>
      <c r="AY48" s="65">
        <f t="shared" si="22"/>
        <v>8.3333333333333339</v>
      </c>
      <c r="AZ48" s="65">
        <f t="shared" si="23"/>
        <v>16.666666666666668</v>
      </c>
      <c r="BA48" s="66">
        <f t="shared" si="24"/>
        <v>0</v>
      </c>
      <c r="BB48" s="68">
        <f t="shared" si="25"/>
        <v>0</v>
      </c>
      <c r="BC48" s="65">
        <f t="shared" si="26"/>
        <v>4.8112522432468792</v>
      </c>
      <c r="BD48" s="65">
        <f t="shared" si="27"/>
        <v>8.3333333333333357</v>
      </c>
      <c r="BE48" s="65">
        <f t="shared" si="28"/>
        <v>22.047927592204946</v>
      </c>
      <c r="BF48" s="65">
        <f t="shared" si="29"/>
        <v>17.34721666221775</v>
      </c>
      <c r="BG48" s="65">
        <f t="shared" si="30"/>
        <v>14.433756729740642</v>
      </c>
      <c r="BH48" s="65">
        <f t="shared" si="31"/>
        <v>12.729376930432888</v>
      </c>
      <c r="BI48" s="65">
        <f t="shared" si="32"/>
        <v>8.3333333333333357</v>
      </c>
      <c r="BJ48" s="68">
        <f t="shared" si="47"/>
        <v>0</v>
      </c>
      <c r="BK48" s="65">
        <f t="shared" si="33"/>
        <v>0.80187537387447982</v>
      </c>
      <c r="BL48" s="65">
        <f t="shared" si="34"/>
        <v>1.3888888888888893</v>
      </c>
      <c r="BM48" s="65">
        <f t="shared" si="35"/>
        <v>3.6746545987008243</v>
      </c>
      <c r="BN48" s="65">
        <f t="shared" si="36"/>
        <v>2.8912027770362916</v>
      </c>
      <c r="BO48" s="65">
        <f t="shared" si="37"/>
        <v>2.4056261216234405</v>
      </c>
      <c r="BP48" s="65">
        <f t="shared" si="38"/>
        <v>2.1215628217388147</v>
      </c>
      <c r="BQ48" s="90">
        <f t="shared" si="39"/>
        <v>1.3888888888888893</v>
      </c>
      <c r="BR48" s="69">
        <f t="shared" si="40"/>
        <v>100</v>
      </c>
      <c r="BS48" s="67">
        <f t="shared" si="41"/>
        <v>94.444444444444457</v>
      </c>
      <c r="BT48" s="67">
        <f t="shared" si="42"/>
        <v>83.333333333333343</v>
      </c>
      <c r="BU48" s="67">
        <f t="shared" si="43"/>
        <v>58.333333333333336</v>
      </c>
      <c r="BV48" s="67">
        <f t="shared" si="57"/>
        <v>38.888888888888893</v>
      </c>
      <c r="BW48" s="67">
        <f t="shared" si="52"/>
        <v>33.333333333333336</v>
      </c>
      <c r="BX48" s="67">
        <f t="shared" ref="BX48:BX57" si="58">AVERAGE(AV48:AX48)</f>
        <v>13.888888888888891</v>
      </c>
      <c r="BY48" s="67">
        <f t="shared" ref="BY48:BY57" si="59">AVERAGE(AY48:BA48)</f>
        <v>8.3333333333333339</v>
      </c>
      <c r="BZ48" s="69">
        <f t="shared" si="56"/>
        <v>0</v>
      </c>
      <c r="CA48" s="67">
        <f t="shared" si="56"/>
        <v>5.5555555555555429</v>
      </c>
      <c r="CB48" s="67">
        <f t="shared" si="56"/>
        <v>16.666666666666657</v>
      </c>
      <c r="CC48" s="67">
        <f t="shared" si="56"/>
        <v>41.666666666666664</v>
      </c>
      <c r="CD48" s="67">
        <f t="shared" si="56"/>
        <v>61.111111111111107</v>
      </c>
      <c r="CE48" s="67">
        <f t="shared" si="56"/>
        <v>66.666666666666657</v>
      </c>
      <c r="CF48" s="67">
        <f t="shared" si="56"/>
        <v>86.111111111111114</v>
      </c>
      <c r="CG48" s="116">
        <f t="shared" si="55"/>
        <v>91.666666666666671</v>
      </c>
    </row>
    <row r="49" spans="2:85" x14ac:dyDescent="0.3">
      <c r="B49" s="410"/>
      <c r="C49" s="413"/>
      <c r="D49" s="70" t="s">
        <v>805</v>
      </c>
      <c r="E49" s="71">
        <v>12</v>
      </c>
      <c r="F49" s="71">
        <v>12</v>
      </c>
      <c r="G49" s="72">
        <v>12</v>
      </c>
      <c r="H49" s="71">
        <f t="shared" si="0"/>
        <v>36</v>
      </c>
      <c r="I49" s="73">
        <v>11</v>
      </c>
      <c r="J49" s="73">
        <v>11</v>
      </c>
      <c r="K49" s="72">
        <v>12</v>
      </c>
      <c r="L49" s="73">
        <v>8</v>
      </c>
      <c r="M49" s="73">
        <v>11</v>
      </c>
      <c r="N49" s="72">
        <v>10</v>
      </c>
      <c r="O49" s="73">
        <v>6</v>
      </c>
      <c r="P49" s="73">
        <v>8</v>
      </c>
      <c r="Q49" s="72">
        <v>8</v>
      </c>
      <c r="R49" s="73">
        <v>5</v>
      </c>
      <c r="S49" s="73">
        <v>4</v>
      </c>
      <c r="T49" s="72">
        <v>5</v>
      </c>
      <c r="U49" s="73">
        <v>3</v>
      </c>
      <c r="V49" s="73">
        <v>4</v>
      </c>
      <c r="W49" s="72">
        <v>5</v>
      </c>
      <c r="X49" s="73">
        <v>1</v>
      </c>
      <c r="Y49" s="73">
        <v>2</v>
      </c>
      <c r="Z49" s="72">
        <v>2</v>
      </c>
      <c r="AA49" s="73">
        <v>1</v>
      </c>
      <c r="AB49" s="73">
        <v>2</v>
      </c>
      <c r="AC49" s="72">
        <v>1</v>
      </c>
      <c r="AD49" s="71">
        <f t="shared" si="1"/>
        <v>100</v>
      </c>
      <c r="AE49" s="71">
        <f t="shared" si="2"/>
        <v>100</v>
      </c>
      <c r="AF49" s="72">
        <f t="shared" si="3"/>
        <v>100</v>
      </c>
      <c r="AG49" s="71">
        <f t="shared" si="4"/>
        <v>91.666666666666671</v>
      </c>
      <c r="AH49" s="71">
        <f t="shared" si="5"/>
        <v>91.666666666666671</v>
      </c>
      <c r="AI49" s="72">
        <f t="shared" si="6"/>
        <v>100</v>
      </c>
      <c r="AJ49" s="71">
        <f t="shared" si="7"/>
        <v>66.666666666666671</v>
      </c>
      <c r="AK49" s="71">
        <f t="shared" si="8"/>
        <v>91.666666666666671</v>
      </c>
      <c r="AL49" s="72">
        <f t="shared" si="9"/>
        <v>83.333333333333343</v>
      </c>
      <c r="AM49" s="71">
        <f t="shared" si="10"/>
        <v>50</v>
      </c>
      <c r="AN49" s="71">
        <f t="shared" si="11"/>
        <v>66.666666666666671</v>
      </c>
      <c r="AO49" s="72">
        <f t="shared" si="12"/>
        <v>66.666666666666671</v>
      </c>
      <c r="AP49" s="71">
        <f t="shared" si="13"/>
        <v>41.666666666666671</v>
      </c>
      <c r="AQ49" s="71">
        <f t="shared" si="14"/>
        <v>33.333333333333336</v>
      </c>
      <c r="AR49" s="72">
        <f t="shared" si="15"/>
        <v>41.666666666666671</v>
      </c>
      <c r="AS49" s="71">
        <f t="shared" si="16"/>
        <v>25</v>
      </c>
      <c r="AT49" s="71">
        <f t="shared" si="17"/>
        <v>33.333333333333336</v>
      </c>
      <c r="AU49" s="72">
        <f t="shared" si="18"/>
        <v>41.666666666666671</v>
      </c>
      <c r="AV49" s="71">
        <f t="shared" si="19"/>
        <v>8.3333333333333339</v>
      </c>
      <c r="AW49" s="71">
        <f t="shared" si="20"/>
        <v>16.666666666666668</v>
      </c>
      <c r="AX49" s="72">
        <f t="shared" si="21"/>
        <v>16.666666666666668</v>
      </c>
      <c r="AY49" s="71">
        <f t="shared" si="22"/>
        <v>8.3333333333333339</v>
      </c>
      <c r="AZ49" s="71">
        <f t="shared" si="23"/>
        <v>16.666666666666668</v>
      </c>
      <c r="BA49" s="72">
        <f t="shared" si="24"/>
        <v>8.3333333333333339</v>
      </c>
      <c r="BB49" s="74">
        <f t="shared" si="25"/>
        <v>0</v>
      </c>
      <c r="BC49" s="71">
        <f t="shared" si="26"/>
        <v>4.8112522432468792</v>
      </c>
      <c r="BD49" s="71">
        <f t="shared" si="27"/>
        <v>12.72937693043294</v>
      </c>
      <c r="BE49" s="71">
        <f t="shared" si="28"/>
        <v>9.6225044864937406</v>
      </c>
      <c r="BF49" s="71">
        <f t="shared" si="29"/>
        <v>4.8112522432468934</v>
      </c>
      <c r="BG49" s="71">
        <f t="shared" si="30"/>
        <v>8.333333333333341</v>
      </c>
      <c r="BH49" s="71">
        <f t="shared" si="31"/>
        <v>4.8112522432468818</v>
      </c>
      <c r="BI49" s="71">
        <f t="shared" si="32"/>
        <v>4.8112522432468818</v>
      </c>
      <c r="BJ49" s="74">
        <f t="shared" si="47"/>
        <v>0</v>
      </c>
      <c r="BK49" s="71">
        <f t="shared" si="33"/>
        <v>0.80187537387447982</v>
      </c>
      <c r="BL49" s="71">
        <f t="shared" si="34"/>
        <v>2.1215628217388232</v>
      </c>
      <c r="BM49" s="71">
        <f t="shared" si="35"/>
        <v>1.6037507477489568</v>
      </c>
      <c r="BN49" s="71">
        <f t="shared" si="36"/>
        <v>0.80187537387448227</v>
      </c>
      <c r="BO49" s="71">
        <f t="shared" si="37"/>
        <v>1.3888888888888902</v>
      </c>
      <c r="BP49" s="71">
        <f t="shared" si="38"/>
        <v>0.80187537387448027</v>
      </c>
      <c r="BQ49" s="91">
        <f t="shared" si="39"/>
        <v>0.80187537387448027</v>
      </c>
      <c r="BR49" s="75">
        <f t="shared" si="40"/>
        <v>100</v>
      </c>
      <c r="BS49" s="73">
        <f t="shared" si="41"/>
        <v>94.444444444444457</v>
      </c>
      <c r="BT49" s="73">
        <f t="shared" si="42"/>
        <v>80.555555555555557</v>
      </c>
      <c r="BU49" s="73">
        <f t="shared" si="43"/>
        <v>61.111111111111114</v>
      </c>
      <c r="BV49" s="73">
        <f t="shared" si="57"/>
        <v>38.888888888888893</v>
      </c>
      <c r="BW49" s="73">
        <f t="shared" si="52"/>
        <v>33.333333333333336</v>
      </c>
      <c r="BX49" s="73">
        <f t="shared" si="58"/>
        <v>13.888888888888891</v>
      </c>
      <c r="BY49" s="73">
        <f t="shared" si="59"/>
        <v>11.111111111111112</v>
      </c>
      <c r="BZ49" s="75">
        <f t="shared" si="56"/>
        <v>0</v>
      </c>
      <c r="CA49" s="73">
        <f t="shared" si="56"/>
        <v>5.5555555555555429</v>
      </c>
      <c r="CB49" s="73">
        <f t="shared" si="56"/>
        <v>19.444444444444443</v>
      </c>
      <c r="CC49" s="73">
        <f t="shared" si="56"/>
        <v>38.888888888888886</v>
      </c>
      <c r="CD49" s="73">
        <f t="shared" si="56"/>
        <v>61.111111111111107</v>
      </c>
      <c r="CE49" s="73">
        <f t="shared" si="56"/>
        <v>66.666666666666657</v>
      </c>
      <c r="CF49" s="73">
        <f t="shared" si="56"/>
        <v>86.111111111111114</v>
      </c>
      <c r="CG49" s="265">
        <f t="shared" si="55"/>
        <v>88.888888888888886</v>
      </c>
    </row>
    <row r="50" spans="2:85" ht="15" customHeight="1" x14ac:dyDescent="0.3">
      <c r="B50" s="408">
        <v>12</v>
      </c>
      <c r="C50" s="411" t="s">
        <v>177</v>
      </c>
      <c r="D50" s="76" t="s">
        <v>802</v>
      </c>
      <c r="E50" s="77">
        <v>12</v>
      </c>
      <c r="F50" s="77">
        <v>12</v>
      </c>
      <c r="G50" s="78">
        <v>12</v>
      </c>
      <c r="H50" s="77">
        <f t="shared" si="0"/>
        <v>36</v>
      </c>
      <c r="I50" s="79">
        <v>9</v>
      </c>
      <c r="J50" s="79">
        <v>10</v>
      </c>
      <c r="K50" s="78">
        <v>10</v>
      </c>
      <c r="L50" s="79">
        <v>7</v>
      </c>
      <c r="M50" s="79">
        <v>8</v>
      </c>
      <c r="N50" s="78">
        <v>7</v>
      </c>
      <c r="O50" s="79">
        <v>7</v>
      </c>
      <c r="P50" s="79">
        <v>7</v>
      </c>
      <c r="Q50" s="78">
        <v>6</v>
      </c>
      <c r="R50" s="79">
        <v>5</v>
      </c>
      <c r="S50" s="79">
        <v>7</v>
      </c>
      <c r="T50" s="78">
        <v>6</v>
      </c>
      <c r="U50" s="79">
        <v>5</v>
      </c>
      <c r="V50" s="79">
        <v>7</v>
      </c>
      <c r="W50" s="78">
        <v>6</v>
      </c>
      <c r="X50" s="79">
        <v>2</v>
      </c>
      <c r="Y50" s="79">
        <v>5</v>
      </c>
      <c r="Z50" s="78">
        <v>5</v>
      </c>
      <c r="AA50" s="79">
        <v>2</v>
      </c>
      <c r="AB50" s="79">
        <v>4</v>
      </c>
      <c r="AC50" s="78">
        <v>5</v>
      </c>
      <c r="AD50" s="77">
        <f t="shared" si="1"/>
        <v>100</v>
      </c>
      <c r="AE50" s="77">
        <f t="shared" si="2"/>
        <v>100</v>
      </c>
      <c r="AF50" s="78">
        <f t="shared" si="3"/>
        <v>100</v>
      </c>
      <c r="AG50" s="77">
        <f t="shared" si="4"/>
        <v>75</v>
      </c>
      <c r="AH50" s="77">
        <f t="shared" si="5"/>
        <v>83.333333333333343</v>
      </c>
      <c r="AI50" s="78">
        <f t="shared" si="6"/>
        <v>83.333333333333343</v>
      </c>
      <c r="AJ50" s="77">
        <f t="shared" si="7"/>
        <v>58.333333333333336</v>
      </c>
      <c r="AK50" s="77">
        <f t="shared" si="8"/>
        <v>66.666666666666671</v>
      </c>
      <c r="AL50" s="78">
        <f t="shared" si="9"/>
        <v>58.333333333333336</v>
      </c>
      <c r="AM50" s="77">
        <f t="shared" si="10"/>
        <v>58.333333333333336</v>
      </c>
      <c r="AN50" s="77">
        <f t="shared" si="11"/>
        <v>58.333333333333336</v>
      </c>
      <c r="AO50" s="78">
        <f t="shared" si="12"/>
        <v>50</v>
      </c>
      <c r="AP50" s="77">
        <f t="shared" si="13"/>
        <v>41.666666666666671</v>
      </c>
      <c r="AQ50" s="77">
        <f t="shared" si="14"/>
        <v>58.333333333333336</v>
      </c>
      <c r="AR50" s="78">
        <f t="shared" si="15"/>
        <v>50</v>
      </c>
      <c r="AS50" s="77">
        <f t="shared" si="16"/>
        <v>41.666666666666671</v>
      </c>
      <c r="AT50" s="77">
        <f t="shared" si="17"/>
        <v>58.333333333333336</v>
      </c>
      <c r="AU50" s="78">
        <f t="shared" si="18"/>
        <v>50</v>
      </c>
      <c r="AV50" s="77">
        <f t="shared" si="19"/>
        <v>16.666666666666668</v>
      </c>
      <c r="AW50" s="77">
        <f t="shared" si="20"/>
        <v>41.666666666666671</v>
      </c>
      <c r="AX50" s="78">
        <f t="shared" si="21"/>
        <v>41.666666666666671</v>
      </c>
      <c r="AY50" s="77">
        <f t="shared" si="22"/>
        <v>16.666666666666668</v>
      </c>
      <c r="AZ50" s="77">
        <f t="shared" si="23"/>
        <v>33.333333333333336</v>
      </c>
      <c r="BA50" s="78">
        <f t="shared" si="24"/>
        <v>41.666666666666671</v>
      </c>
      <c r="BB50" s="80">
        <f t="shared" si="25"/>
        <v>0</v>
      </c>
      <c r="BC50" s="77">
        <f t="shared" si="26"/>
        <v>4.8112522432468872</v>
      </c>
      <c r="BD50" s="77">
        <f t="shared" si="27"/>
        <v>4.8112522432468827</v>
      </c>
      <c r="BE50" s="77">
        <f t="shared" si="28"/>
        <v>4.8112522432468827</v>
      </c>
      <c r="BF50" s="77">
        <f t="shared" si="29"/>
        <v>8.3333333333333552</v>
      </c>
      <c r="BG50" s="77">
        <f t="shared" si="30"/>
        <v>8.3333333333333552</v>
      </c>
      <c r="BH50" s="77">
        <f t="shared" si="31"/>
        <v>14.433756729740642</v>
      </c>
      <c r="BI50" s="77">
        <f t="shared" si="32"/>
        <v>12.729376930432894</v>
      </c>
      <c r="BJ50" s="80">
        <f t="shared" si="47"/>
        <v>0</v>
      </c>
      <c r="BK50" s="77">
        <f t="shared" si="33"/>
        <v>0.80187537387448116</v>
      </c>
      <c r="BL50" s="77">
        <f t="shared" si="34"/>
        <v>0.80187537387448049</v>
      </c>
      <c r="BM50" s="77">
        <f t="shared" si="35"/>
        <v>0.80187537387448049</v>
      </c>
      <c r="BN50" s="77">
        <f t="shared" si="36"/>
        <v>1.3888888888888926</v>
      </c>
      <c r="BO50" s="77">
        <f t="shared" si="37"/>
        <v>1.3888888888888926</v>
      </c>
      <c r="BP50" s="77">
        <f t="shared" si="38"/>
        <v>2.4056261216234405</v>
      </c>
      <c r="BQ50" s="92">
        <f t="shared" si="39"/>
        <v>2.1215628217388156</v>
      </c>
      <c r="BR50" s="81">
        <f t="shared" si="40"/>
        <v>100</v>
      </c>
      <c r="BS50" s="79">
        <f t="shared" si="41"/>
        <v>80.555555555555557</v>
      </c>
      <c r="BT50" s="79">
        <f t="shared" si="42"/>
        <v>61.111111111111114</v>
      </c>
      <c r="BU50" s="79">
        <f t="shared" si="43"/>
        <v>55.555555555555564</v>
      </c>
      <c r="BV50" s="79">
        <f t="shared" si="57"/>
        <v>50</v>
      </c>
      <c r="BW50" s="79">
        <f t="shared" si="52"/>
        <v>50</v>
      </c>
      <c r="BX50" s="79">
        <f t="shared" si="58"/>
        <v>33.333333333333336</v>
      </c>
      <c r="BY50" s="79">
        <f t="shared" si="59"/>
        <v>30.555555555555557</v>
      </c>
      <c r="BZ50" s="81">
        <f t="shared" si="56"/>
        <v>0</v>
      </c>
      <c r="CA50" s="79">
        <f t="shared" si="56"/>
        <v>19.444444444444443</v>
      </c>
      <c r="CB50" s="79">
        <f t="shared" si="56"/>
        <v>38.888888888888886</v>
      </c>
      <c r="CC50" s="79">
        <f t="shared" si="56"/>
        <v>44.444444444444436</v>
      </c>
      <c r="CD50" s="79">
        <f t="shared" si="56"/>
        <v>50</v>
      </c>
      <c r="CE50" s="79">
        <f t="shared" si="56"/>
        <v>50</v>
      </c>
      <c r="CF50" s="79">
        <f t="shared" si="56"/>
        <v>66.666666666666657</v>
      </c>
      <c r="CG50" s="264">
        <f t="shared" si="55"/>
        <v>69.444444444444443</v>
      </c>
    </row>
    <row r="51" spans="2:85" x14ac:dyDescent="0.3">
      <c r="B51" s="409"/>
      <c r="C51" s="412"/>
      <c r="D51" s="70" t="s">
        <v>803</v>
      </c>
      <c r="E51" s="65">
        <v>12</v>
      </c>
      <c r="F51" s="65">
        <v>12</v>
      </c>
      <c r="G51" s="66">
        <v>12</v>
      </c>
      <c r="H51" s="65">
        <f t="shared" si="0"/>
        <v>36</v>
      </c>
      <c r="I51" s="67">
        <v>8</v>
      </c>
      <c r="J51" s="67">
        <v>8</v>
      </c>
      <c r="K51" s="66">
        <v>8</v>
      </c>
      <c r="L51" s="67">
        <v>7</v>
      </c>
      <c r="M51" s="67">
        <v>8</v>
      </c>
      <c r="N51" s="66">
        <v>7</v>
      </c>
      <c r="O51" s="67">
        <v>6</v>
      </c>
      <c r="P51" s="67">
        <v>7</v>
      </c>
      <c r="Q51" s="66">
        <v>5</v>
      </c>
      <c r="R51" s="67">
        <v>6</v>
      </c>
      <c r="S51" s="67">
        <v>4</v>
      </c>
      <c r="T51" s="66">
        <v>5</v>
      </c>
      <c r="U51" s="67">
        <v>5</v>
      </c>
      <c r="V51" s="67">
        <v>4</v>
      </c>
      <c r="W51" s="66">
        <v>5</v>
      </c>
      <c r="X51" s="67">
        <v>5</v>
      </c>
      <c r="Y51" s="67">
        <v>3</v>
      </c>
      <c r="Z51" s="66">
        <v>4</v>
      </c>
      <c r="AA51" s="67">
        <v>5</v>
      </c>
      <c r="AB51" s="67">
        <v>3</v>
      </c>
      <c r="AC51" s="66">
        <v>3</v>
      </c>
      <c r="AD51" s="65">
        <f t="shared" si="1"/>
        <v>100</v>
      </c>
      <c r="AE51" s="65">
        <f t="shared" si="2"/>
        <v>100</v>
      </c>
      <c r="AF51" s="66">
        <f t="shared" si="3"/>
        <v>100</v>
      </c>
      <c r="AG51" s="65">
        <f t="shared" si="4"/>
        <v>66.666666666666671</v>
      </c>
      <c r="AH51" s="65">
        <f t="shared" si="5"/>
        <v>66.666666666666671</v>
      </c>
      <c r="AI51" s="66">
        <f t="shared" si="6"/>
        <v>66.666666666666671</v>
      </c>
      <c r="AJ51" s="65">
        <f t="shared" si="7"/>
        <v>58.333333333333336</v>
      </c>
      <c r="AK51" s="65">
        <f t="shared" si="8"/>
        <v>66.666666666666671</v>
      </c>
      <c r="AL51" s="66">
        <f t="shared" si="9"/>
        <v>58.333333333333336</v>
      </c>
      <c r="AM51" s="65">
        <f t="shared" si="10"/>
        <v>50</v>
      </c>
      <c r="AN51" s="65">
        <f t="shared" si="11"/>
        <v>58.333333333333336</v>
      </c>
      <c r="AO51" s="66">
        <f t="shared" si="12"/>
        <v>41.666666666666671</v>
      </c>
      <c r="AP51" s="65">
        <f t="shared" si="13"/>
        <v>50</v>
      </c>
      <c r="AQ51" s="65">
        <f t="shared" si="14"/>
        <v>33.333333333333336</v>
      </c>
      <c r="AR51" s="66">
        <f t="shared" si="15"/>
        <v>41.666666666666671</v>
      </c>
      <c r="AS51" s="65">
        <f t="shared" si="16"/>
        <v>41.666666666666671</v>
      </c>
      <c r="AT51" s="65">
        <f t="shared" si="17"/>
        <v>33.333333333333336</v>
      </c>
      <c r="AU51" s="66">
        <f t="shared" si="18"/>
        <v>41.666666666666671</v>
      </c>
      <c r="AV51" s="65">
        <f t="shared" si="19"/>
        <v>41.666666666666671</v>
      </c>
      <c r="AW51" s="65">
        <f t="shared" si="20"/>
        <v>25</v>
      </c>
      <c r="AX51" s="66">
        <f t="shared" si="21"/>
        <v>33.333333333333336</v>
      </c>
      <c r="AY51" s="65">
        <f t="shared" si="22"/>
        <v>41.666666666666671</v>
      </c>
      <c r="AZ51" s="65">
        <f t="shared" si="23"/>
        <v>25</v>
      </c>
      <c r="BA51" s="66">
        <f t="shared" si="24"/>
        <v>25</v>
      </c>
      <c r="BB51" s="68">
        <f t="shared" si="25"/>
        <v>0</v>
      </c>
      <c r="BC51" s="65">
        <f t="shared" si="26"/>
        <v>0</v>
      </c>
      <c r="BD51" s="65">
        <f t="shared" si="27"/>
        <v>4.8112522432468827</v>
      </c>
      <c r="BE51" s="65">
        <f t="shared" si="28"/>
        <v>8.3333333333333268</v>
      </c>
      <c r="BF51" s="65">
        <f t="shared" si="29"/>
        <v>8.3333333333333002</v>
      </c>
      <c r="BG51" s="65">
        <f t="shared" si="30"/>
        <v>4.8112522432468934</v>
      </c>
      <c r="BH51" s="65">
        <f t="shared" si="31"/>
        <v>8.333333333333341</v>
      </c>
      <c r="BI51" s="65">
        <f t="shared" si="32"/>
        <v>9.6225044864937512</v>
      </c>
      <c r="BJ51" s="68">
        <f t="shared" si="47"/>
        <v>0</v>
      </c>
      <c r="BK51" s="65">
        <f t="shared" si="33"/>
        <v>0</v>
      </c>
      <c r="BL51" s="65">
        <f t="shared" si="34"/>
        <v>0.80187537387448049</v>
      </c>
      <c r="BM51" s="65">
        <f t="shared" si="35"/>
        <v>1.3888888888888877</v>
      </c>
      <c r="BN51" s="65">
        <f t="shared" si="36"/>
        <v>1.3888888888888833</v>
      </c>
      <c r="BO51" s="65">
        <f t="shared" si="37"/>
        <v>0.80187537387448227</v>
      </c>
      <c r="BP51" s="65">
        <f t="shared" si="38"/>
        <v>1.3888888888888902</v>
      </c>
      <c r="BQ51" s="90">
        <f t="shared" si="39"/>
        <v>1.6037507477489585</v>
      </c>
      <c r="BR51" s="69">
        <f t="shared" si="40"/>
        <v>100</v>
      </c>
      <c r="BS51" s="67">
        <f t="shared" si="41"/>
        <v>66.666666666666671</v>
      </c>
      <c r="BT51" s="67">
        <f t="shared" si="42"/>
        <v>61.111111111111114</v>
      </c>
      <c r="BU51" s="67">
        <f t="shared" si="43"/>
        <v>50</v>
      </c>
      <c r="BV51" s="67">
        <f t="shared" si="57"/>
        <v>41.666666666666671</v>
      </c>
      <c r="BW51" s="67">
        <f t="shared" si="52"/>
        <v>38.888888888888893</v>
      </c>
      <c r="BX51" s="67">
        <f t="shared" si="58"/>
        <v>33.333333333333336</v>
      </c>
      <c r="BY51" s="67">
        <f t="shared" si="59"/>
        <v>30.555555555555557</v>
      </c>
      <c r="BZ51" s="69">
        <f t="shared" si="56"/>
        <v>0</v>
      </c>
      <c r="CA51" s="67">
        <f t="shared" si="56"/>
        <v>33.333333333333329</v>
      </c>
      <c r="CB51" s="67">
        <f t="shared" si="56"/>
        <v>38.888888888888886</v>
      </c>
      <c r="CC51" s="67">
        <f t="shared" si="56"/>
        <v>50</v>
      </c>
      <c r="CD51" s="67">
        <f t="shared" si="56"/>
        <v>58.333333333333329</v>
      </c>
      <c r="CE51" s="67">
        <f t="shared" si="56"/>
        <v>61.111111111111107</v>
      </c>
      <c r="CF51" s="67">
        <f t="shared" si="56"/>
        <v>66.666666666666657</v>
      </c>
      <c r="CG51" s="116">
        <f t="shared" si="55"/>
        <v>69.444444444444443</v>
      </c>
    </row>
    <row r="52" spans="2:85" x14ac:dyDescent="0.3">
      <c r="B52" s="409"/>
      <c r="C52" s="412"/>
      <c r="D52" s="70" t="s">
        <v>804</v>
      </c>
      <c r="E52" s="65">
        <v>12</v>
      </c>
      <c r="F52" s="65">
        <v>12</v>
      </c>
      <c r="G52" s="66">
        <v>12</v>
      </c>
      <c r="H52" s="65">
        <f t="shared" si="0"/>
        <v>36</v>
      </c>
      <c r="I52" s="67">
        <v>9</v>
      </c>
      <c r="J52" s="67">
        <v>9</v>
      </c>
      <c r="K52" s="66">
        <v>11</v>
      </c>
      <c r="L52" s="67">
        <v>9</v>
      </c>
      <c r="M52" s="67">
        <v>6</v>
      </c>
      <c r="N52" s="66">
        <v>9</v>
      </c>
      <c r="O52" s="67">
        <v>8</v>
      </c>
      <c r="P52" s="67">
        <v>6</v>
      </c>
      <c r="Q52" s="66">
        <v>8</v>
      </c>
      <c r="R52" s="67">
        <v>6</v>
      </c>
      <c r="S52" s="67">
        <v>6</v>
      </c>
      <c r="T52" s="66">
        <v>8</v>
      </c>
      <c r="U52" s="67">
        <v>5</v>
      </c>
      <c r="V52" s="67">
        <v>6</v>
      </c>
      <c r="W52" s="66">
        <v>6</v>
      </c>
      <c r="X52" s="67">
        <v>5</v>
      </c>
      <c r="Y52" s="67">
        <v>6</v>
      </c>
      <c r="Z52" s="66">
        <v>6</v>
      </c>
      <c r="AA52" s="67">
        <v>5</v>
      </c>
      <c r="AB52" s="67">
        <v>5</v>
      </c>
      <c r="AC52" s="66">
        <v>5</v>
      </c>
      <c r="AD52" s="65">
        <f t="shared" si="1"/>
        <v>100</v>
      </c>
      <c r="AE52" s="65">
        <f t="shared" si="2"/>
        <v>100</v>
      </c>
      <c r="AF52" s="66">
        <f t="shared" si="3"/>
        <v>100</v>
      </c>
      <c r="AG52" s="65">
        <f t="shared" si="4"/>
        <v>75</v>
      </c>
      <c r="AH52" s="65">
        <f t="shared" si="5"/>
        <v>75</v>
      </c>
      <c r="AI52" s="66">
        <f t="shared" si="6"/>
        <v>91.666666666666671</v>
      </c>
      <c r="AJ52" s="65">
        <f t="shared" si="7"/>
        <v>75</v>
      </c>
      <c r="AK52" s="65">
        <f t="shared" si="8"/>
        <v>50</v>
      </c>
      <c r="AL52" s="66">
        <f t="shared" si="9"/>
        <v>75</v>
      </c>
      <c r="AM52" s="65">
        <f t="shared" si="10"/>
        <v>66.666666666666671</v>
      </c>
      <c r="AN52" s="65">
        <f t="shared" si="11"/>
        <v>50</v>
      </c>
      <c r="AO52" s="66">
        <f t="shared" si="12"/>
        <v>66.666666666666671</v>
      </c>
      <c r="AP52" s="65">
        <f t="shared" si="13"/>
        <v>50</v>
      </c>
      <c r="AQ52" s="65">
        <f t="shared" si="14"/>
        <v>50</v>
      </c>
      <c r="AR52" s="66">
        <f t="shared" si="15"/>
        <v>66.666666666666671</v>
      </c>
      <c r="AS52" s="65">
        <f t="shared" si="16"/>
        <v>41.666666666666671</v>
      </c>
      <c r="AT52" s="65">
        <f t="shared" si="17"/>
        <v>50</v>
      </c>
      <c r="AU52" s="66">
        <f t="shared" si="18"/>
        <v>50</v>
      </c>
      <c r="AV52" s="65">
        <f t="shared" si="19"/>
        <v>41.666666666666671</v>
      </c>
      <c r="AW52" s="65">
        <f t="shared" si="20"/>
        <v>50</v>
      </c>
      <c r="AX52" s="66">
        <f t="shared" si="21"/>
        <v>50</v>
      </c>
      <c r="AY52" s="65">
        <f t="shared" si="22"/>
        <v>41.666666666666671</v>
      </c>
      <c r="AZ52" s="65">
        <f t="shared" si="23"/>
        <v>41.666666666666671</v>
      </c>
      <c r="BA52" s="66">
        <f t="shared" si="24"/>
        <v>41.666666666666671</v>
      </c>
      <c r="BB52" s="68">
        <f t="shared" si="25"/>
        <v>0</v>
      </c>
      <c r="BC52" s="65">
        <f t="shared" si="26"/>
        <v>9.6225044864937654</v>
      </c>
      <c r="BD52" s="65">
        <f t="shared" si="27"/>
        <v>14.433756729740633</v>
      </c>
      <c r="BE52" s="65">
        <f t="shared" si="28"/>
        <v>9.6225044864937406</v>
      </c>
      <c r="BF52" s="65">
        <f t="shared" si="29"/>
        <v>9.6225044864937406</v>
      </c>
      <c r="BG52" s="65">
        <f t="shared" si="30"/>
        <v>4.8112522432468783</v>
      </c>
      <c r="BH52" s="65">
        <f t="shared" si="31"/>
        <v>4.8112522432468783</v>
      </c>
      <c r="BI52" s="65">
        <f t="shared" si="32"/>
        <v>0</v>
      </c>
      <c r="BJ52" s="68">
        <f t="shared" si="47"/>
        <v>0</v>
      </c>
      <c r="BK52" s="65">
        <f t="shared" si="33"/>
        <v>1.603750747748961</v>
      </c>
      <c r="BL52" s="65">
        <f t="shared" si="34"/>
        <v>2.4056261216234387</v>
      </c>
      <c r="BM52" s="65">
        <f t="shared" si="35"/>
        <v>1.6037507477489568</v>
      </c>
      <c r="BN52" s="65">
        <f t="shared" si="36"/>
        <v>1.6037507477489568</v>
      </c>
      <c r="BO52" s="65">
        <f t="shared" si="37"/>
        <v>0.80187537387447971</v>
      </c>
      <c r="BP52" s="65">
        <f t="shared" si="38"/>
        <v>0.80187537387447971</v>
      </c>
      <c r="BQ52" s="90">
        <f t="shared" si="39"/>
        <v>0</v>
      </c>
      <c r="BR52" s="69">
        <f t="shared" si="40"/>
        <v>100</v>
      </c>
      <c r="BS52" s="67">
        <f t="shared" si="41"/>
        <v>80.555555555555557</v>
      </c>
      <c r="BT52" s="67">
        <f t="shared" si="42"/>
        <v>66.666666666666671</v>
      </c>
      <c r="BU52" s="67">
        <f t="shared" si="43"/>
        <v>61.111111111111114</v>
      </c>
      <c r="BV52" s="67">
        <f t="shared" si="57"/>
        <v>55.555555555555564</v>
      </c>
      <c r="BW52" s="67">
        <f t="shared" si="52"/>
        <v>47.222222222222229</v>
      </c>
      <c r="BX52" s="67">
        <f t="shared" si="58"/>
        <v>47.222222222222229</v>
      </c>
      <c r="BY52" s="67">
        <f t="shared" si="59"/>
        <v>41.666666666666671</v>
      </c>
      <c r="BZ52" s="69">
        <f t="shared" si="56"/>
        <v>0</v>
      </c>
      <c r="CA52" s="67">
        <f t="shared" si="56"/>
        <v>19.444444444444443</v>
      </c>
      <c r="CB52" s="67">
        <f t="shared" si="56"/>
        <v>33.333333333333329</v>
      </c>
      <c r="CC52" s="67">
        <f t="shared" si="56"/>
        <v>38.888888888888886</v>
      </c>
      <c r="CD52" s="67">
        <f t="shared" si="56"/>
        <v>44.444444444444436</v>
      </c>
      <c r="CE52" s="67">
        <f t="shared" si="56"/>
        <v>52.777777777777771</v>
      </c>
      <c r="CF52" s="67">
        <f t="shared" si="56"/>
        <v>52.777777777777771</v>
      </c>
      <c r="CG52" s="116">
        <f t="shared" si="55"/>
        <v>58.333333333333329</v>
      </c>
    </row>
    <row r="53" spans="2:85" x14ac:dyDescent="0.3">
      <c r="B53" s="410"/>
      <c r="C53" s="413"/>
      <c r="D53" s="70" t="s">
        <v>805</v>
      </c>
      <c r="E53" s="71">
        <v>12</v>
      </c>
      <c r="F53" s="71">
        <v>12</v>
      </c>
      <c r="G53" s="72">
        <v>12</v>
      </c>
      <c r="H53" s="71">
        <f t="shared" si="0"/>
        <v>36</v>
      </c>
      <c r="I53" s="73">
        <v>9</v>
      </c>
      <c r="J53" s="73">
        <v>9</v>
      </c>
      <c r="K53" s="72">
        <v>9</v>
      </c>
      <c r="L53" s="73">
        <v>8</v>
      </c>
      <c r="M53" s="73">
        <v>8</v>
      </c>
      <c r="N53" s="72">
        <v>9</v>
      </c>
      <c r="O53" s="73">
        <v>7</v>
      </c>
      <c r="P53" s="73">
        <v>7</v>
      </c>
      <c r="Q53" s="72">
        <v>7</v>
      </c>
      <c r="R53" s="73">
        <v>7</v>
      </c>
      <c r="S53" s="73">
        <v>6</v>
      </c>
      <c r="T53" s="72">
        <v>6</v>
      </c>
      <c r="U53" s="73">
        <v>5</v>
      </c>
      <c r="V53" s="73">
        <v>6</v>
      </c>
      <c r="W53" s="72">
        <v>6</v>
      </c>
      <c r="X53" s="73">
        <v>5</v>
      </c>
      <c r="Y53" s="73">
        <v>6</v>
      </c>
      <c r="Z53" s="72">
        <v>6</v>
      </c>
      <c r="AA53" s="73">
        <v>4</v>
      </c>
      <c r="AB53" s="73">
        <v>4</v>
      </c>
      <c r="AC53" s="72">
        <v>5</v>
      </c>
      <c r="AD53" s="71">
        <f t="shared" si="1"/>
        <v>100</v>
      </c>
      <c r="AE53" s="71">
        <f t="shared" si="2"/>
        <v>100</v>
      </c>
      <c r="AF53" s="72">
        <f t="shared" si="3"/>
        <v>100</v>
      </c>
      <c r="AG53" s="71">
        <f t="shared" si="4"/>
        <v>75</v>
      </c>
      <c r="AH53" s="71">
        <f t="shared" si="5"/>
        <v>75</v>
      </c>
      <c r="AI53" s="72">
        <f t="shared" si="6"/>
        <v>75</v>
      </c>
      <c r="AJ53" s="71">
        <f t="shared" si="7"/>
        <v>66.666666666666671</v>
      </c>
      <c r="AK53" s="71">
        <f t="shared" si="8"/>
        <v>66.666666666666671</v>
      </c>
      <c r="AL53" s="72">
        <f t="shared" si="9"/>
        <v>75</v>
      </c>
      <c r="AM53" s="71">
        <f t="shared" si="10"/>
        <v>58.333333333333336</v>
      </c>
      <c r="AN53" s="71">
        <f t="shared" si="11"/>
        <v>58.333333333333336</v>
      </c>
      <c r="AO53" s="72">
        <f t="shared" si="12"/>
        <v>58.333333333333336</v>
      </c>
      <c r="AP53" s="71">
        <f t="shared" si="13"/>
        <v>58.333333333333336</v>
      </c>
      <c r="AQ53" s="71">
        <f t="shared" si="14"/>
        <v>50</v>
      </c>
      <c r="AR53" s="72">
        <f t="shared" si="15"/>
        <v>50</v>
      </c>
      <c r="AS53" s="71">
        <f t="shared" si="16"/>
        <v>41.666666666666671</v>
      </c>
      <c r="AT53" s="71">
        <f t="shared" si="17"/>
        <v>50</v>
      </c>
      <c r="AU53" s="72">
        <f t="shared" si="18"/>
        <v>50</v>
      </c>
      <c r="AV53" s="71">
        <f t="shared" si="19"/>
        <v>41.666666666666671</v>
      </c>
      <c r="AW53" s="71">
        <f t="shared" si="20"/>
        <v>50</v>
      </c>
      <c r="AX53" s="72">
        <f t="shared" si="21"/>
        <v>50</v>
      </c>
      <c r="AY53" s="71">
        <f t="shared" si="22"/>
        <v>33.333333333333336</v>
      </c>
      <c r="AZ53" s="71">
        <f t="shared" si="23"/>
        <v>33.333333333333336</v>
      </c>
      <c r="BA53" s="72">
        <f t="shared" si="24"/>
        <v>41.666666666666671</v>
      </c>
      <c r="BB53" s="74">
        <f t="shared" si="25"/>
        <v>0</v>
      </c>
      <c r="BC53" s="71">
        <f t="shared" si="26"/>
        <v>0</v>
      </c>
      <c r="BD53" s="71">
        <f t="shared" si="27"/>
        <v>4.8112522432468783</v>
      </c>
      <c r="BE53" s="71">
        <f t="shared" si="28"/>
        <v>0</v>
      </c>
      <c r="BF53" s="71">
        <f t="shared" si="29"/>
        <v>4.8112522432468827</v>
      </c>
      <c r="BG53" s="71">
        <f t="shared" si="30"/>
        <v>4.8112522432468783</v>
      </c>
      <c r="BH53" s="71">
        <f t="shared" si="31"/>
        <v>4.8112522432468783</v>
      </c>
      <c r="BI53" s="71">
        <f t="shared" si="32"/>
        <v>4.8112522432468703</v>
      </c>
      <c r="BJ53" s="74">
        <f t="shared" si="47"/>
        <v>0</v>
      </c>
      <c r="BK53" s="71">
        <f t="shared" si="33"/>
        <v>0</v>
      </c>
      <c r="BL53" s="71">
        <f t="shared" si="34"/>
        <v>0.80187537387447971</v>
      </c>
      <c r="BM53" s="71">
        <f t="shared" si="35"/>
        <v>0</v>
      </c>
      <c r="BN53" s="71">
        <f t="shared" si="36"/>
        <v>0.80187537387448049</v>
      </c>
      <c r="BO53" s="71">
        <f t="shared" si="37"/>
        <v>0.80187537387447971</v>
      </c>
      <c r="BP53" s="71">
        <f t="shared" si="38"/>
        <v>0.80187537387447971</v>
      </c>
      <c r="BQ53" s="91">
        <f t="shared" si="39"/>
        <v>0.80187537387447838</v>
      </c>
      <c r="BR53" s="75">
        <f t="shared" si="40"/>
        <v>100</v>
      </c>
      <c r="BS53" s="73">
        <f t="shared" si="41"/>
        <v>75</v>
      </c>
      <c r="BT53" s="73">
        <f t="shared" si="42"/>
        <v>69.444444444444443</v>
      </c>
      <c r="BU53" s="73">
        <f t="shared" si="43"/>
        <v>58.333333333333336</v>
      </c>
      <c r="BV53" s="73">
        <f t="shared" si="57"/>
        <v>52.777777777777779</v>
      </c>
      <c r="BW53" s="73">
        <f t="shared" si="52"/>
        <v>47.222222222222229</v>
      </c>
      <c r="BX53" s="73">
        <f t="shared" si="58"/>
        <v>47.222222222222229</v>
      </c>
      <c r="BY53" s="73">
        <f t="shared" si="59"/>
        <v>36.111111111111114</v>
      </c>
      <c r="BZ53" s="75">
        <f t="shared" si="56"/>
        <v>0</v>
      </c>
      <c r="CA53" s="73">
        <f t="shared" si="56"/>
        <v>25</v>
      </c>
      <c r="CB53" s="73">
        <f t="shared" si="56"/>
        <v>30.555555555555557</v>
      </c>
      <c r="CC53" s="73">
        <f t="shared" si="56"/>
        <v>41.666666666666664</v>
      </c>
      <c r="CD53" s="73">
        <f t="shared" si="56"/>
        <v>47.222222222222221</v>
      </c>
      <c r="CE53" s="73">
        <f t="shared" si="56"/>
        <v>52.777777777777771</v>
      </c>
      <c r="CF53" s="73">
        <f t="shared" si="56"/>
        <v>52.777777777777771</v>
      </c>
      <c r="CG53" s="265">
        <f t="shared" si="55"/>
        <v>63.888888888888886</v>
      </c>
    </row>
    <row r="54" spans="2:85" ht="15" customHeight="1" x14ac:dyDescent="0.3">
      <c r="B54" s="408">
        <v>13</v>
      </c>
      <c r="C54" s="411" t="s">
        <v>188</v>
      </c>
      <c r="D54" s="76" t="s">
        <v>802</v>
      </c>
      <c r="E54" s="77">
        <v>12</v>
      </c>
      <c r="F54" s="77">
        <v>12</v>
      </c>
      <c r="G54" s="78">
        <v>12</v>
      </c>
      <c r="H54" s="77">
        <f t="shared" si="0"/>
        <v>36</v>
      </c>
      <c r="I54" s="79">
        <v>11</v>
      </c>
      <c r="J54" s="79">
        <v>9</v>
      </c>
      <c r="K54" s="78">
        <v>10</v>
      </c>
      <c r="L54" s="79">
        <v>6</v>
      </c>
      <c r="M54" s="79">
        <v>7</v>
      </c>
      <c r="N54" s="78">
        <v>6</v>
      </c>
      <c r="O54" s="79">
        <v>3</v>
      </c>
      <c r="P54" s="79">
        <v>4</v>
      </c>
      <c r="Q54" s="78">
        <v>4</v>
      </c>
      <c r="R54" s="79">
        <v>3</v>
      </c>
      <c r="S54" s="79">
        <v>3</v>
      </c>
      <c r="T54" s="78">
        <v>3</v>
      </c>
      <c r="U54" s="79">
        <v>2</v>
      </c>
      <c r="V54" s="79">
        <v>3</v>
      </c>
      <c r="W54" s="78">
        <v>2</v>
      </c>
      <c r="X54" s="79">
        <v>2</v>
      </c>
      <c r="Y54" s="79">
        <v>2</v>
      </c>
      <c r="Z54" s="78">
        <v>2</v>
      </c>
      <c r="AA54" s="79">
        <v>1</v>
      </c>
      <c r="AB54" s="79">
        <v>2</v>
      </c>
      <c r="AC54" s="78">
        <v>2</v>
      </c>
      <c r="AD54" s="77">
        <f t="shared" si="1"/>
        <v>100</v>
      </c>
      <c r="AE54" s="77">
        <f t="shared" si="2"/>
        <v>100</v>
      </c>
      <c r="AF54" s="78">
        <f t="shared" si="3"/>
        <v>100</v>
      </c>
      <c r="AG54" s="77">
        <f t="shared" si="4"/>
        <v>91.666666666666671</v>
      </c>
      <c r="AH54" s="77">
        <f t="shared" si="5"/>
        <v>75</v>
      </c>
      <c r="AI54" s="78">
        <f t="shared" si="6"/>
        <v>83.333333333333343</v>
      </c>
      <c r="AJ54" s="77">
        <f t="shared" si="7"/>
        <v>50</v>
      </c>
      <c r="AK54" s="77">
        <f t="shared" si="8"/>
        <v>58.333333333333336</v>
      </c>
      <c r="AL54" s="78">
        <f t="shared" si="9"/>
        <v>50</v>
      </c>
      <c r="AM54" s="77">
        <f t="shared" si="10"/>
        <v>25</v>
      </c>
      <c r="AN54" s="77">
        <f t="shared" si="11"/>
        <v>33.333333333333336</v>
      </c>
      <c r="AO54" s="78">
        <f t="shared" si="12"/>
        <v>33.333333333333336</v>
      </c>
      <c r="AP54" s="77">
        <f t="shared" si="13"/>
        <v>25</v>
      </c>
      <c r="AQ54" s="77">
        <f t="shared" si="14"/>
        <v>25</v>
      </c>
      <c r="AR54" s="78">
        <f t="shared" si="15"/>
        <v>25</v>
      </c>
      <c r="AS54" s="77">
        <f t="shared" si="16"/>
        <v>16.666666666666668</v>
      </c>
      <c r="AT54" s="77">
        <f t="shared" si="17"/>
        <v>25</v>
      </c>
      <c r="AU54" s="78">
        <f t="shared" si="18"/>
        <v>16.666666666666668</v>
      </c>
      <c r="AV54" s="77">
        <f t="shared" si="19"/>
        <v>16.666666666666668</v>
      </c>
      <c r="AW54" s="77">
        <f t="shared" si="20"/>
        <v>16.666666666666668</v>
      </c>
      <c r="AX54" s="78">
        <f t="shared" si="21"/>
        <v>16.666666666666668</v>
      </c>
      <c r="AY54" s="77">
        <f t="shared" si="22"/>
        <v>8.3333333333333339</v>
      </c>
      <c r="AZ54" s="77">
        <f t="shared" si="23"/>
        <v>16.666666666666668</v>
      </c>
      <c r="BA54" s="78">
        <f t="shared" si="24"/>
        <v>16.666666666666668</v>
      </c>
      <c r="BB54" s="80">
        <f t="shared" si="25"/>
        <v>0</v>
      </c>
      <c r="BC54" s="77">
        <f t="shared" si="26"/>
        <v>8.3333333333333357</v>
      </c>
      <c r="BD54" s="77">
        <f t="shared" si="27"/>
        <v>4.8112522432468827</v>
      </c>
      <c r="BE54" s="77">
        <f t="shared" si="28"/>
        <v>4.8112522432468703</v>
      </c>
      <c r="BF54" s="77">
        <f t="shared" si="29"/>
        <v>0</v>
      </c>
      <c r="BG54" s="77">
        <f t="shared" si="30"/>
        <v>4.8112522432468703</v>
      </c>
      <c r="BH54" s="77">
        <f t="shared" si="31"/>
        <v>0</v>
      </c>
      <c r="BI54" s="77">
        <f t="shared" si="32"/>
        <v>4.8112522432468818</v>
      </c>
      <c r="BJ54" s="80">
        <f t="shared" si="47"/>
        <v>0</v>
      </c>
      <c r="BK54" s="77">
        <f t="shared" si="33"/>
        <v>1.3888888888888893</v>
      </c>
      <c r="BL54" s="77">
        <f t="shared" si="34"/>
        <v>0.80187537387448049</v>
      </c>
      <c r="BM54" s="77">
        <f t="shared" si="35"/>
        <v>0.80187537387447838</v>
      </c>
      <c r="BN54" s="77">
        <f t="shared" si="36"/>
        <v>0</v>
      </c>
      <c r="BO54" s="77">
        <f t="shared" si="37"/>
        <v>0.80187537387447838</v>
      </c>
      <c r="BP54" s="77">
        <f t="shared" si="38"/>
        <v>0</v>
      </c>
      <c r="BQ54" s="92">
        <f t="shared" si="39"/>
        <v>0.80187537387448027</v>
      </c>
      <c r="BR54" s="81">
        <f t="shared" si="40"/>
        <v>100</v>
      </c>
      <c r="BS54" s="79">
        <f t="shared" si="41"/>
        <v>83.333333333333343</v>
      </c>
      <c r="BT54" s="79">
        <f t="shared" si="42"/>
        <v>52.777777777777779</v>
      </c>
      <c r="BU54" s="79">
        <f t="shared" si="43"/>
        <v>30.555555555555557</v>
      </c>
      <c r="BV54" s="79">
        <f t="shared" si="57"/>
        <v>25</v>
      </c>
      <c r="BW54" s="79">
        <f t="shared" si="52"/>
        <v>19.444444444444446</v>
      </c>
      <c r="BX54" s="79">
        <f t="shared" si="58"/>
        <v>16.666666666666668</v>
      </c>
      <c r="BY54" s="79">
        <f t="shared" si="59"/>
        <v>13.888888888888891</v>
      </c>
      <c r="BZ54" s="81">
        <f t="shared" si="56"/>
        <v>0</v>
      </c>
      <c r="CA54" s="79">
        <f t="shared" si="56"/>
        <v>16.666666666666657</v>
      </c>
      <c r="CB54" s="79">
        <f t="shared" si="56"/>
        <v>47.222222222222221</v>
      </c>
      <c r="CC54" s="79">
        <f t="shared" si="56"/>
        <v>69.444444444444443</v>
      </c>
      <c r="CD54" s="79">
        <f t="shared" si="56"/>
        <v>75</v>
      </c>
      <c r="CE54" s="79">
        <f t="shared" si="56"/>
        <v>80.555555555555557</v>
      </c>
      <c r="CF54" s="79">
        <f t="shared" si="56"/>
        <v>83.333333333333329</v>
      </c>
      <c r="CG54" s="264">
        <f t="shared" si="55"/>
        <v>86.111111111111114</v>
      </c>
    </row>
    <row r="55" spans="2:85" x14ac:dyDescent="0.3">
      <c r="B55" s="409"/>
      <c r="C55" s="412"/>
      <c r="D55" s="70" t="s">
        <v>803</v>
      </c>
      <c r="E55" s="65">
        <v>12</v>
      </c>
      <c r="F55" s="65">
        <v>12</v>
      </c>
      <c r="G55" s="66">
        <v>12</v>
      </c>
      <c r="H55" s="65">
        <f t="shared" si="0"/>
        <v>36</v>
      </c>
      <c r="I55" s="67">
        <v>11</v>
      </c>
      <c r="J55" s="67">
        <v>11</v>
      </c>
      <c r="K55" s="66">
        <v>10</v>
      </c>
      <c r="L55" s="67">
        <v>8</v>
      </c>
      <c r="M55" s="67">
        <v>7</v>
      </c>
      <c r="N55" s="66">
        <v>7</v>
      </c>
      <c r="O55" s="67">
        <v>6</v>
      </c>
      <c r="P55" s="67">
        <v>7</v>
      </c>
      <c r="Q55" s="66">
        <v>6</v>
      </c>
      <c r="R55" s="67">
        <v>4</v>
      </c>
      <c r="S55" s="67">
        <v>7</v>
      </c>
      <c r="T55" s="66">
        <v>2</v>
      </c>
      <c r="U55" s="67">
        <v>3</v>
      </c>
      <c r="V55" s="67">
        <v>7</v>
      </c>
      <c r="W55" s="66">
        <v>1</v>
      </c>
      <c r="X55" s="67">
        <v>3</v>
      </c>
      <c r="Y55" s="67">
        <v>3</v>
      </c>
      <c r="Z55" s="66">
        <v>1</v>
      </c>
      <c r="AA55" s="67">
        <v>2</v>
      </c>
      <c r="AB55" s="67">
        <v>3</v>
      </c>
      <c r="AC55" s="66">
        <v>0</v>
      </c>
      <c r="AD55" s="65">
        <f t="shared" si="1"/>
        <v>100</v>
      </c>
      <c r="AE55" s="65">
        <f t="shared" si="2"/>
        <v>100</v>
      </c>
      <c r="AF55" s="66">
        <f t="shared" si="3"/>
        <v>100</v>
      </c>
      <c r="AG55" s="65">
        <f t="shared" si="4"/>
        <v>91.666666666666671</v>
      </c>
      <c r="AH55" s="65">
        <f t="shared" si="5"/>
        <v>91.666666666666671</v>
      </c>
      <c r="AI55" s="66">
        <f t="shared" si="6"/>
        <v>83.333333333333343</v>
      </c>
      <c r="AJ55" s="65">
        <f t="shared" si="7"/>
        <v>66.666666666666671</v>
      </c>
      <c r="AK55" s="65">
        <f t="shared" si="8"/>
        <v>58.333333333333336</v>
      </c>
      <c r="AL55" s="66">
        <f t="shared" si="9"/>
        <v>58.333333333333336</v>
      </c>
      <c r="AM55" s="65">
        <f t="shared" si="10"/>
        <v>50</v>
      </c>
      <c r="AN55" s="65">
        <f t="shared" si="11"/>
        <v>58.333333333333336</v>
      </c>
      <c r="AO55" s="66">
        <f t="shared" si="12"/>
        <v>50</v>
      </c>
      <c r="AP55" s="65">
        <f t="shared" si="13"/>
        <v>33.333333333333336</v>
      </c>
      <c r="AQ55" s="65">
        <f t="shared" si="14"/>
        <v>58.333333333333336</v>
      </c>
      <c r="AR55" s="66">
        <f t="shared" si="15"/>
        <v>16.666666666666668</v>
      </c>
      <c r="AS55" s="65">
        <f t="shared" si="16"/>
        <v>25</v>
      </c>
      <c r="AT55" s="65">
        <f t="shared" si="17"/>
        <v>58.333333333333336</v>
      </c>
      <c r="AU55" s="66">
        <f t="shared" si="18"/>
        <v>8.3333333333333339</v>
      </c>
      <c r="AV55" s="65">
        <f t="shared" si="19"/>
        <v>25</v>
      </c>
      <c r="AW55" s="65">
        <f t="shared" si="20"/>
        <v>25</v>
      </c>
      <c r="AX55" s="66">
        <f t="shared" si="21"/>
        <v>8.3333333333333339</v>
      </c>
      <c r="AY55" s="65">
        <f t="shared" si="22"/>
        <v>16.666666666666668</v>
      </c>
      <c r="AZ55" s="65">
        <f t="shared" si="23"/>
        <v>25</v>
      </c>
      <c r="BA55" s="66">
        <f t="shared" si="24"/>
        <v>0</v>
      </c>
      <c r="BB55" s="68">
        <f t="shared" si="25"/>
        <v>0</v>
      </c>
      <c r="BC55" s="65">
        <f t="shared" si="26"/>
        <v>4.8112522432468783</v>
      </c>
      <c r="BD55" s="65">
        <f t="shared" si="27"/>
        <v>4.8112522432468827</v>
      </c>
      <c r="BE55" s="65">
        <f t="shared" si="28"/>
        <v>4.8112522432468827</v>
      </c>
      <c r="BF55" s="65">
        <f t="shared" si="29"/>
        <v>20.971762320196511</v>
      </c>
      <c r="BG55" s="65">
        <f t="shared" si="30"/>
        <v>25.458753860865777</v>
      </c>
      <c r="BH55" s="65">
        <f t="shared" si="31"/>
        <v>9.6225044864937583</v>
      </c>
      <c r="BI55" s="65">
        <f t="shared" si="32"/>
        <v>12.729376930432888</v>
      </c>
      <c r="BJ55" s="68">
        <f t="shared" si="47"/>
        <v>0</v>
      </c>
      <c r="BK55" s="65">
        <f t="shared" si="33"/>
        <v>0.80187537387447971</v>
      </c>
      <c r="BL55" s="65">
        <f t="shared" si="34"/>
        <v>0.80187537387448049</v>
      </c>
      <c r="BM55" s="65">
        <f t="shared" si="35"/>
        <v>0.80187537387448049</v>
      </c>
      <c r="BN55" s="65">
        <f t="shared" si="36"/>
        <v>3.4952937200327518</v>
      </c>
      <c r="BO55" s="65">
        <f t="shared" si="37"/>
        <v>4.2431256434776294</v>
      </c>
      <c r="BP55" s="65">
        <f t="shared" si="38"/>
        <v>1.6037507477489596</v>
      </c>
      <c r="BQ55" s="90">
        <f t="shared" si="39"/>
        <v>2.1215628217388147</v>
      </c>
      <c r="BR55" s="69">
        <f t="shared" si="40"/>
        <v>100</v>
      </c>
      <c r="BS55" s="67">
        <f t="shared" si="41"/>
        <v>88.8888888888889</v>
      </c>
      <c r="BT55" s="67">
        <f t="shared" si="42"/>
        <v>61.111111111111114</v>
      </c>
      <c r="BU55" s="67">
        <f t="shared" si="43"/>
        <v>52.777777777777779</v>
      </c>
      <c r="BV55" s="67">
        <f t="shared" si="57"/>
        <v>36.111111111111114</v>
      </c>
      <c r="BW55" s="67">
        <f t="shared" ref="BW55:BW85" si="60">AVERAGE(AS55:AU55)</f>
        <v>30.555555555555557</v>
      </c>
      <c r="BX55" s="67">
        <f t="shared" si="58"/>
        <v>19.444444444444446</v>
      </c>
      <c r="BY55" s="67">
        <f t="shared" si="59"/>
        <v>13.888888888888891</v>
      </c>
      <c r="BZ55" s="69">
        <f t="shared" si="56"/>
        <v>0</v>
      </c>
      <c r="CA55" s="67">
        <f t="shared" si="56"/>
        <v>11.1111111111111</v>
      </c>
      <c r="CB55" s="67">
        <f t="shared" si="56"/>
        <v>38.888888888888886</v>
      </c>
      <c r="CC55" s="67">
        <f t="shared" si="56"/>
        <v>47.222222222222221</v>
      </c>
      <c r="CD55" s="67">
        <f t="shared" si="56"/>
        <v>63.888888888888886</v>
      </c>
      <c r="CE55" s="67">
        <f t="shared" si="56"/>
        <v>69.444444444444443</v>
      </c>
      <c r="CF55" s="67">
        <f t="shared" si="56"/>
        <v>80.555555555555557</v>
      </c>
      <c r="CG55" s="116">
        <f t="shared" si="55"/>
        <v>86.111111111111114</v>
      </c>
    </row>
    <row r="56" spans="2:85" x14ac:dyDescent="0.3">
      <c r="B56" s="409"/>
      <c r="C56" s="412"/>
      <c r="D56" s="70" t="s">
        <v>804</v>
      </c>
      <c r="E56" s="65">
        <v>12</v>
      </c>
      <c r="F56" s="65">
        <v>12</v>
      </c>
      <c r="G56" s="66">
        <v>12</v>
      </c>
      <c r="H56" s="65">
        <f t="shared" si="0"/>
        <v>36</v>
      </c>
      <c r="I56" s="67">
        <v>10</v>
      </c>
      <c r="J56" s="67">
        <v>10</v>
      </c>
      <c r="K56" s="66">
        <v>11</v>
      </c>
      <c r="L56" s="67">
        <v>9</v>
      </c>
      <c r="M56" s="67">
        <v>9</v>
      </c>
      <c r="N56" s="66">
        <v>8</v>
      </c>
      <c r="O56" s="67">
        <v>8</v>
      </c>
      <c r="P56" s="67">
        <v>8</v>
      </c>
      <c r="Q56" s="66">
        <v>7</v>
      </c>
      <c r="R56" s="67">
        <v>7</v>
      </c>
      <c r="S56" s="67">
        <v>6</v>
      </c>
      <c r="T56" s="66">
        <v>7</v>
      </c>
      <c r="U56" s="67">
        <v>5</v>
      </c>
      <c r="V56" s="67">
        <v>5</v>
      </c>
      <c r="W56" s="66">
        <v>6</v>
      </c>
      <c r="X56" s="67">
        <v>4</v>
      </c>
      <c r="Y56" s="67">
        <v>5</v>
      </c>
      <c r="Z56" s="66">
        <v>6</v>
      </c>
      <c r="AA56" s="67">
        <v>4</v>
      </c>
      <c r="AB56" s="67">
        <v>3</v>
      </c>
      <c r="AC56" s="66">
        <v>4</v>
      </c>
      <c r="AD56" s="65">
        <f t="shared" si="1"/>
        <v>100</v>
      </c>
      <c r="AE56" s="65">
        <f t="shared" si="2"/>
        <v>100</v>
      </c>
      <c r="AF56" s="66">
        <f t="shared" si="3"/>
        <v>100</v>
      </c>
      <c r="AG56" s="65">
        <f t="shared" si="4"/>
        <v>83.333333333333343</v>
      </c>
      <c r="AH56" s="65">
        <f t="shared" si="5"/>
        <v>83.333333333333343</v>
      </c>
      <c r="AI56" s="66">
        <f t="shared" si="6"/>
        <v>91.666666666666671</v>
      </c>
      <c r="AJ56" s="65">
        <f t="shared" si="7"/>
        <v>75</v>
      </c>
      <c r="AK56" s="65">
        <f t="shared" si="8"/>
        <v>75</v>
      </c>
      <c r="AL56" s="66">
        <f t="shared" si="9"/>
        <v>66.666666666666671</v>
      </c>
      <c r="AM56" s="65">
        <f t="shared" si="10"/>
        <v>66.666666666666671</v>
      </c>
      <c r="AN56" s="65">
        <f t="shared" si="11"/>
        <v>66.666666666666671</v>
      </c>
      <c r="AO56" s="66">
        <f t="shared" si="12"/>
        <v>58.333333333333336</v>
      </c>
      <c r="AP56" s="65">
        <f t="shared" si="13"/>
        <v>58.333333333333336</v>
      </c>
      <c r="AQ56" s="65">
        <f t="shared" si="14"/>
        <v>50</v>
      </c>
      <c r="AR56" s="66">
        <f t="shared" si="15"/>
        <v>58.333333333333336</v>
      </c>
      <c r="AS56" s="65">
        <f t="shared" si="16"/>
        <v>41.666666666666671</v>
      </c>
      <c r="AT56" s="65">
        <f t="shared" si="17"/>
        <v>41.666666666666671</v>
      </c>
      <c r="AU56" s="66">
        <f t="shared" si="18"/>
        <v>50</v>
      </c>
      <c r="AV56" s="65">
        <f t="shared" si="19"/>
        <v>33.333333333333336</v>
      </c>
      <c r="AW56" s="65">
        <f t="shared" si="20"/>
        <v>41.666666666666671</v>
      </c>
      <c r="AX56" s="66">
        <f t="shared" si="21"/>
        <v>50</v>
      </c>
      <c r="AY56" s="65">
        <f t="shared" si="22"/>
        <v>33.333333333333336</v>
      </c>
      <c r="AZ56" s="65">
        <f t="shared" si="23"/>
        <v>25</v>
      </c>
      <c r="BA56" s="66">
        <f t="shared" si="24"/>
        <v>33.333333333333336</v>
      </c>
      <c r="BB56" s="68">
        <f t="shared" si="25"/>
        <v>0</v>
      </c>
      <c r="BC56" s="65">
        <f t="shared" si="26"/>
        <v>4.8112522432468792</v>
      </c>
      <c r="BD56" s="65">
        <f t="shared" si="27"/>
        <v>4.8112522432468783</v>
      </c>
      <c r="BE56" s="65">
        <f t="shared" si="28"/>
        <v>4.8112522432468827</v>
      </c>
      <c r="BF56" s="65">
        <f t="shared" si="29"/>
        <v>4.8112522432468827</v>
      </c>
      <c r="BG56" s="65">
        <f t="shared" si="30"/>
        <v>4.8112522432468783</v>
      </c>
      <c r="BH56" s="65">
        <f t="shared" si="31"/>
        <v>8.3333333333333552</v>
      </c>
      <c r="BI56" s="65">
        <f t="shared" si="32"/>
        <v>4.8112522432468703</v>
      </c>
      <c r="BJ56" s="68">
        <f t="shared" si="47"/>
        <v>0</v>
      </c>
      <c r="BK56" s="65">
        <f t="shared" si="33"/>
        <v>0.80187537387447982</v>
      </c>
      <c r="BL56" s="65">
        <f t="shared" si="34"/>
        <v>0.80187537387447971</v>
      </c>
      <c r="BM56" s="65">
        <f t="shared" si="35"/>
        <v>0.80187537387448049</v>
      </c>
      <c r="BN56" s="65">
        <f t="shared" si="36"/>
        <v>0.80187537387448049</v>
      </c>
      <c r="BO56" s="65">
        <f t="shared" si="37"/>
        <v>0.80187537387447971</v>
      </c>
      <c r="BP56" s="65">
        <f t="shared" si="38"/>
        <v>1.3888888888888926</v>
      </c>
      <c r="BQ56" s="90">
        <f t="shared" si="39"/>
        <v>0.80187537387447838</v>
      </c>
      <c r="BR56" s="69">
        <f t="shared" si="40"/>
        <v>100</v>
      </c>
      <c r="BS56" s="67">
        <f t="shared" si="41"/>
        <v>86.111111111111128</v>
      </c>
      <c r="BT56" s="67">
        <f t="shared" si="42"/>
        <v>72.222222222222229</v>
      </c>
      <c r="BU56" s="67">
        <f t="shared" si="43"/>
        <v>63.888888888888893</v>
      </c>
      <c r="BV56" s="67">
        <f t="shared" si="57"/>
        <v>55.555555555555564</v>
      </c>
      <c r="BW56" s="67">
        <f t="shared" si="60"/>
        <v>44.44444444444445</v>
      </c>
      <c r="BX56" s="67">
        <f t="shared" si="58"/>
        <v>41.666666666666664</v>
      </c>
      <c r="BY56" s="67">
        <f t="shared" si="59"/>
        <v>30.555555555555557</v>
      </c>
      <c r="BZ56" s="69">
        <f t="shared" si="56"/>
        <v>0</v>
      </c>
      <c r="CA56" s="67">
        <f t="shared" si="56"/>
        <v>13.888888888888872</v>
      </c>
      <c r="CB56" s="67">
        <f t="shared" si="56"/>
        <v>27.777777777777771</v>
      </c>
      <c r="CC56" s="67">
        <f t="shared" si="56"/>
        <v>36.111111111111107</v>
      </c>
      <c r="CD56" s="67">
        <f t="shared" si="56"/>
        <v>44.444444444444436</v>
      </c>
      <c r="CE56" s="67">
        <f t="shared" si="56"/>
        <v>55.55555555555555</v>
      </c>
      <c r="CF56" s="67">
        <f t="shared" si="56"/>
        <v>58.333333333333336</v>
      </c>
      <c r="CG56" s="116">
        <f t="shared" si="55"/>
        <v>69.444444444444443</v>
      </c>
    </row>
    <row r="57" spans="2:85" x14ac:dyDescent="0.3">
      <c r="B57" s="410"/>
      <c r="C57" s="413"/>
      <c r="D57" s="70" t="s">
        <v>805</v>
      </c>
      <c r="E57" s="71">
        <v>12</v>
      </c>
      <c r="F57" s="71">
        <v>12</v>
      </c>
      <c r="G57" s="72">
        <v>12</v>
      </c>
      <c r="H57" s="71">
        <f t="shared" si="0"/>
        <v>36</v>
      </c>
      <c r="I57" s="73">
        <v>10</v>
      </c>
      <c r="J57" s="73">
        <v>11</v>
      </c>
      <c r="K57" s="72">
        <v>10</v>
      </c>
      <c r="L57" s="73">
        <v>8</v>
      </c>
      <c r="M57" s="73">
        <v>9</v>
      </c>
      <c r="N57" s="72">
        <v>9</v>
      </c>
      <c r="O57" s="73">
        <v>8</v>
      </c>
      <c r="P57" s="73">
        <v>7</v>
      </c>
      <c r="Q57" s="72">
        <v>8</v>
      </c>
      <c r="R57" s="73">
        <v>7</v>
      </c>
      <c r="S57" s="73">
        <v>7</v>
      </c>
      <c r="T57" s="72">
        <v>8</v>
      </c>
      <c r="U57" s="73">
        <v>7</v>
      </c>
      <c r="V57" s="73">
        <v>5</v>
      </c>
      <c r="W57" s="72">
        <v>7</v>
      </c>
      <c r="X57" s="73">
        <v>7</v>
      </c>
      <c r="Y57" s="73">
        <v>5</v>
      </c>
      <c r="Z57" s="72">
        <v>7</v>
      </c>
      <c r="AA57" s="73">
        <v>6</v>
      </c>
      <c r="AB57" s="73">
        <v>5</v>
      </c>
      <c r="AC57" s="72">
        <v>6</v>
      </c>
      <c r="AD57" s="71">
        <f t="shared" si="1"/>
        <v>100</v>
      </c>
      <c r="AE57" s="71">
        <f t="shared" si="2"/>
        <v>100</v>
      </c>
      <c r="AF57" s="72">
        <f t="shared" si="3"/>
        <v>100</v>
      </c>
      <c r="AG57" s="71">
        <f t="shared" si="4"/>
        <v>83.333333333333343</v>
      </c>
      <c r="AH57" s="71">
        <f t="shared" si="5"/>
        <v>91.666666666666671</v>
      </c>
      <c r="AI57" s="72">
        <f t="shared" si="6"/>
        <v>83.333333333333343</v>
      </c>
      <c r="AJ57" s="71">
        <f t="shared" si="7"/>
        <v>66.666666666666671</v>
      </c>
      <c r="AK57" s="71">
        <f t="shared" si="8"/>
        <v>75</v>
      </c>
      <c r="AL57" s="72">
        <f t="shared" si="9"/>
        <v>75</v>
      </c>
      <c r="AM57" s="71">
        <f t="shared" si="10"/>
        <v>66.666666666666671</v>
      </c>
      <c r="AN57" s="71">
        <f t="shared" si="11"/>
        <v>58.333333333333336</v>
      </c>
      <c r="AO57" s="72">
        <f t="shared" si="12"/>
        <v>66.666666666666671</v>
      </c>
      <c r="AP57" s="71">
        <f t="shared" si="13"/>
        <v>58.333333333333336</v>
      </c>
      <c r="AQ57" s="71">
        <f t="shared" si="14"/>
        <v>58.333333333333336</v>
      </c>
      <c r="AR57" s="72">
        <f t="shared" si="15"/>
        <v>66.666666666666671</v>
      </c>
      <c r="AS57" s="71">
        <f t="shared" si="16"/>
        <v>58.333333333333336</v>
      </c>
      <c r="AT57" s="71">
        <f t="shared" si="17"/>
        <v>41.666666666666671</v>
      </c>
      <c r="AU57" s="72">
        <f t="shared" si="18"/>
        <v>58.333333333333336</v>
      </c>
      <c r="AV57" s="71">
        <f t="shared" si="19"/>
        <v>58.333333333333336</v>
      </c>
      <c r="AW57" s="71">
        <f t="shared" si="20"/>
        <v>41.666666666666671</v>
      </c>
      <c r="AX57" s="72">
        <f t="shared" si="21"/>
        <v>58.333333333333336</v>
      </c>
      <c r="AY57" s="71">
        <f t="shared" si="22"/>
        <v>50</v>
      </c>
      <c r="AZ57" s="71">
        <f t="shared" si="23"/>
        <v>41.666666666666671</v>
      </c>
      <c r="BA57" s="72">
        <f t="shared" si="24"/>
        <v>50</v>
      </c>
      <c r="BB57" s="74">
        <f t="shared" si="25"/>
        <v>0</v>
      </c>
      <c r="BC57" s="71">
        <f t="shared" si="26"/>
        <v>4.8112522432468792</v>
      </c>
      <c r="BD57" s="71">
        <f t="shared" si="27"/>
        <v>4.8112522432468783</v>
      </c>
      <c r="BE57" s="71">
        <f t="shared" si="28"/>
        <v>4.8112522432468827</v>
      </c>
      <c r="BF57" s="71">
        <f t="shared" si="29"/>
        <v>4.8112522432468827</v>
      </c>
      <c r="BG57" s="71">
        <f t="shared" si="30"/>
        <v>9.6225044864937406</v>
      </c>
      <c r="BH57" s="71">
        <f t="shared" si="31"/>
        <v>9.6225044864937406</v>
      </c>
      <c r="BI57" s="71">
        <f t="shared" si="32"/>
        <v>4.8112522432468783</v>
      </c>
      <c r="BJ57" s="74">
        <f t="shared" si="47"/>
        <v>0</v>
      </c>
      <c r="BK57" s="71">
        <f t="shared" si="33"/>
        <v>0.80187537387447982</v>
      </c>
      <c r="BL57" s="71">
        <f t="shared" si="34"/>
        <v>0.80187537387447971</v>
      </c>
      <c r="BM57" s="71">
        <f t="shared" si="35"/>
        <v>0.80187537387448049</v>
      </c>
      <c r="BN57" s="71">
        <f t="shared" si="36"/>
        <v>0.80187537387448049</v>
      </c>
      <c r="BO57" s="71">
        <f t="shared" si="37"/>
        <v>1.6037507477489568</v>
      </c>
      <c r="BP57" s="71">
        <f t="shared" si="38"/>
        <v>1.6037507477489568</v>
      </c>
      <c r="BQ57" s="91">
        <f t="shared" si="39"/>
        <v>0.80187537387447971</v>
      </c>
      <c r="BR57" s="75">
        <f t="shared" si="40"/>
        <v>100</v>
      </c>
      <c r="BS57" s="73">
        <f t="shared" si="41"/>
        <v>86.111111111111128</v>
      </c>
      <c r="BT57" s="73">
        <f t="shared" si="42"/>
        <v>72.222222222222229</v>
      </c>
      <c r="BU57" s="73">
        <f t="shared" si="43"/>
        <v>63.888888888888893</v>
      </c>
      <c r="BV57" s="73">
        <f t="shared" si="57"/>
        <v>61.111111111111114</v>
      </c>
      <c r="BW57" s="73">
        <f t="shared" si="60"/>
        <v>52.777777777777779</v>
      </c>
      <c r="BX57" s="73">
        <f t="shared" si="58"/>
        <v>52.777777777777779</v>
      </c>
      <c r="BY57" s="73">
        <f t="shared" si="59"/>
        <v>47.222222222222229</v>
      </c>
      <c r="BZ57" s="75">
        <f t="shared" si="56"/>
        <v>0</v>
      </c>
      <c r="CA57" s="73">
        <f t="shared" si="56"/>
        <v>13.888888888888872</v>
      </c>
      <c r="CB57" s="73">
        <f t="shared" si="56"/>
        <v>27.777777777777771</v>
      </c>
      <c r="CC57" s="73">
        <f t="shared" si="56"/>
        <v>36.111111111111107</v>
      </c>
      <c r="CD57" s="73">
        <f t="shared" si="56"/>
        <v>38.888888888888886</v>
      </c>
      <c r="CE57" s="73">
        <f t="shared" si="56"/>
        <v>47.222222222222221</v>
      </c>
      <c r="CF57" s="73">
        <f t="shared" si="56"/>
        <v>47.222222222222221</v>
      </c>
      <c r="CG57" s="265">
        <f t="shared" si="55"/>
        <v>52.777777777777771</v>
      </c>
    </row>
    <row r="58" spans="2:85" ht="15" customHeight="1" x14ac:dyDescent="0.3">
      <c r="B58" s="408">
        <v>14</v>
      </c>
      <c r="C58" s="411" t="s">
        <v>205</v>
      </c>
      <c r="D58" s="76" t="s">
        <v>802</v>
      </c>
      <c r="E58" s="77">
        <v>12</v>
      </c>
      <c r="F58" s="77">
        <v>12</v>
      </c>
      <c r="G58" s="78">
        <v>12</v>
      </c>
      <c r="H58" s="77">
        <f t="shared" si="0"/>
        <v>36</v>
      </c>
      <c r="I58" s="79">
        <v>9</v>
      </c>
      <c r="J58" s="79">
        <v>9</v>
      </c>
      <c r="K58" s="78">
        <v>8</v>
      </c>
      <c r="L58" s="79">
        <v>6</v>
      </c>
      <c r="M58" s="79">
        <v>5</v>
      </c>
      <c r="N58" s="78">
        <v>4</v>
      </c>
      <c r="O58" s="79">
        <v>3</v>
      </c>
      <c r="P58" s="79">
        <v>2</v>
      </c>
      <c r="Q58" s="78">
        <v>1</v>
      </c>
      <c r="R58" s="79">
        <v>0</v>
      </c>
      <c r="S58" s="79">
        <v>0</v>
      </c>
      <c r="T58" s="78">
        <v>1</v>
      </c>
      <c r="U58" s="79">
        <v>0</v>
      </c>
      <c r="V58" s="79">
        <v>0</v>
      </c>
      <c r="W58" s="78">
        <v>0</v>
      </c>
      <c r="X58" s="79">
        <v>0</v>
      </c>
      <c r="Y58" s="79">
        <v>0</v>
      </c>
      <c r="Z58" s="78">
        <v>0</v>
      </c>
      <c r="AA58" s="79">
        <v>0</v>
      </c>
      <c r="AB58" s="79">
        <v>0</v>
      </c>
      <c r="AC58" s="78">
        <v>0</v>
      </c>
      <c r="AD58" s="77">
        <f t="shared" si="1"/>
        <v>100</v>
      </c>
      <c r="AE58" s="77">
        <f t="shared" si="2"/>
        <v>100</v>
      </c>
      <c r="AF58" s="78">
        <f t="shared" si="3"/>
        <v>100</v>
      </c>
      <c r="AG58" s="77">
        <f t="shared" si="4"/>
        <v>75</v>
      </c>
      <c r="AH58" s="77">
        <f t="shared" si="5"/>
        <v>75</v>
      </c>
      <c r="AI58" s="78">
        <f t="shared" si="6"/>
        <v>66.666666666666671</v>
      </c>
      <c r="AJ58" s="77">
        <f t="shared" si="7"/>
        <v>50</v>
      </c>
      <c r="AK58" s="77">
        <f t="shared" si="8"/>
        <v>41.666666666666671</v>
      </c>
      <c r="AL58" s="78">
        <f t="shared" si="9"/>
        <v>33.333333333333336</v>
      </c>
      <c r="AM58" s="77">
        <f t="shared" si="10"/>
        <v>25</v>
      </c>
      <c r="AN58" s="77">
        <f t="shared" si="11"/>
        <v>16.666666666666668</v>
      </c>
      <c r="AO58" s="78">
        <f t="shared" si="12"/>
        <v>8.3333333333333339</v>
      </c>
      <c r="AP58" s="77">
        <f t="shared" si="13"/>
        <v>0</v>
      </c>
      <c r="AQ58" s="77">
        <f t="shared" si="14"/>
        <v>0</v>
      </c>
      <c r="AR58" s="78">
        <f t="shared" si="15"/>
        <v>8.3333333333333339</v>
      </c>
      <c r="AS58" s="77">
        <f t="shared" si="16"/>
        <v>0</v>
      </c>
      <c r="AT58" s="77">
        <f t="shared" si="17"/>
        <v>0</v>
      </c>
      <c r="AU58" s="78">
        <f t="shared" si="18"/>
        <v>0</v>
      </c>
      <c r="AV58" s="77">
        <f t="shared" si="19"/>
        <v>0</v>
      </c>
      <c r="AW58" s="77">
        <f t="shared" si="20"/>
        <v>0</v>
      </c>
      <c r="AX58" s="78">
        <f t="shared" si="21"/>
        <v>0</v>
      </c>
      <c r="AY58" s="77">
        <f t="shared" si="22"/>
        <v>0</v>
      </c>
      <c r="AZ58" s="77">
        <f t="shared" si="23"/>
        <v>0</v>
      </c>
      <c r="BA58" s="78">
        <f t="shared" si="24"/>
        <v>0</v>
      </c>
      <c r="BB58" s="80">
        <f t="shared" si="25"/>
        <v>0</v>
      </c>
      <c r="BC58" s="77">
        <f t="shared" si="26"/>
        <v>4.8112522432468783</v>
      </c>
      <c r="BD58" s="77">
        <f t="shared" si="27"/>
        <v>8.3333333333333552</v>
      </c>
      <c r="BE58" s="77">
        <f t="shared" si="28"/>
        <v>8.3333333333333268</v>
      </c>
      <c r="BF58" s="77">
        <f t="shared" si="29"/>
        <v>4.8112522432468818</v>
      </c>
      <c r="BG58" s="77">
        <f t="shared" si="30"/>
        <v>0</v>
      </c>
      <c r="BH58" s="77">
        <f t="shared" si="31"/>
        <v>0</v>
      </c>
      <c r="BI58" s="77">
        <f t="shared" si="32"/>
        <v>0</v>
      </c>
      <c r="BJ58" s="80">
        <f t="shared" si="47"/>
        <v>0</v>
      </c>
      <c r="BK58" s="77">
        <f t="shared" si="33"/>
        <v>0.80187537387447971</v>
      </c>
      <c r="BL58" s="77">
        <f t="shared" si="34"/>
        <v>1.3888888888888926</v>
      </c>
      <c r="BM58" s="77">
        <f t="shared" si="35"/>
        <v>1.3888888888888877</v>
      </c>
      <c r="BN58" s="77">
        <f t="shared" si="36"/>
        <v>0.80187537387448027</v>
      </c>
      <c r="BO58" s="77">
        <f t="shared" si="37"/>
        <v>0</v>
      </c>
      <c r="BP58" s="77">
        <f t="shared" si="38"/>
        <v>0</v>
      </c>
      <c r="BQ58" s="92">
        <f t="shared" si="39"/>
        <v>0</v>
      </c>
      <c r="BR58" s="81">
        <f t="shared" si="40"/>
        <v>100</v>
      </c>
      <c r="BS58" s="79">
        <f t="shared" si="41"/>
        <v>72.222222222222229</v>
      </c>
      <c r="BT58" s="79">
        <f t="shared" si="42"/>
        <v>41.666666666666664</v>
      </c>
      <c r="BU58" s="79">
        <f t="shared" si="43"/>
        <v>16.666666666666668</v>
      </c>
      <c r="BV58" s="79">
        <f t="shared" si="57"/>
        <v>2.7777777777777781</v>
      </c>
      <c r="BW58" s="79">
        <f t="shared" si="60"/>
        <v>0</v>
      </c>
      <c r="BX58" s="79">
        <f t="shared" ref="BX58:BX85" si="61">AVERAGE(AT58:AV58)</f>
        <v>0</v>
      </c>
      <c r="BY58" s="79">
        <f t="shared" ref="BY58:BY85" si="62">AVERAGE(AU58:AW58)</f>
        <v>0</v>
      </c>
      <c r="BZ58" s="81">
        <f t="shared" si="56"/>
        <v>0</v>
      </c>
      <c r="CA58" s="79">
        <f t="shared" si="56"/>
        <v>27.777777777777771</v>
      </c>
      <c r="CB58" s="79">
        <f t="shared" si="56"/>
        <v>58.333333333333336</v>
      </c>
      <c r="CC58" s="79">
        <f t="shared" si="56"/>
        <v>83.333333333333329</v>
      </c>
      <c r="CD58" s="79">
        <f t="shared" si="56"/>
        <v>97.222222222222229</v>
      </c>
      <c r="CE58" s="79">
        <f t="shared" si="56"/>
        <v>100</v>
      </c>
      <c r="CF58" s="79">
        <f t="shared" si="56"/>
        <v>100</v>
      </c>
      <c r="CG58" s="264">
        <f t="shared" si="55"/>
        <v>100</v>
      </c>
    </row>
    <row r="59" spans="2:85" x14ac:dyDescent="0.3">
      <c r="B59" s="409"/>
      <c r="C59" s="412"/>
      <c r="D59" s="70" t="s">
        <v>803</v>
      </c>
      <c r="E59" s="65">
        <v>12</v>
      </c>
      <c r="F59" s="65">
        <v>12</v>
      </c>
      <c r="G59" s="66">
        <v>12</v>
      </c>
      <c r="H59" s="65">
        <f t="shared" si="0"/>
        <v>36</v>
      </c>
      <c r="I59" s="67">
        <v>9</v>
      </c>
      <c r="J59" s="67">
        <v>8</v>
      </c>
      <c r="K59" s="66">
        <v>8</v>
      </c>
      <c r="L59" s="67">
        <v>6</v>
      </c>
      <c r="M59" s="67">
        <v>6</v>
      </c>
      <c r="N59" s="66">
        <v>5</v>
      </c>
      <c r="O59" s="67">
        <v>5</v>
      </c>
      <c r="P59" s="67">
        <v>5</v>
      </c>
      <c r="Q59" s="66">
        <v>2</v>
      </c>
      <c r="R59" s="67">
        <v>3</v>
      </c>
      <c r="S59" s="67">
        <v>3</v>
      </c>
      <c r="T59" s="66">
        <v>2</v>
      </c>
      <c r="U59" s="67">
        <v>3</v>
      </c>
      <c r="V59" s="67">
        <v>3</v>
      </c>
      <c r="W59" s="66">
        <v>1</v>
      </c>
      <c r="X59" s="67">
        <v>1</v>
      </c>
      <c r="Y59" s="67">
        <v>1</v>
      </c>
      <c r="Z59" s="66">
        <v>0</v>
      </c>
      <c r="AA59" s="67">
        <v>0</v>
      </c>
      <c r="AB59" s="67">
        <v>1</v>
      </c>
      <c r="AC59" s="66">
        <v>0</v>
      </c>
      <c r="AD59" s="65">
        <f t="shared" si="1"/>
        <v>100</v>
      </c>
      <c r="AE59" s="65">
        <f t="shared" si="2"/>
        <v>100</v>
      </c>
      <c r="AF59" s="66">
        <f t="shared" si="3"/>
        <v>100</v>
      </c>
      <c r="AG59" s="65">
        <f t="shared" si="4"/>
        <v>75</v>
      </c>
      <c r="AH59" s="65">
        <f t="shared" si="5"/>
        <v>66.666666666666671</v>
      </c>
      <c r="AI59" s="66">
        <f t="shared" si="6"/>
        <v>66.666666666666671</v>
      </c>
      <c r="AJ59" s="65">
        <f t="shared" si="7"/>
        <v>50</v>
      </c>
      <c r="AK59" s="65">
        <f t="shared" si="8"/>
        <v>50</v>
      </c>
      <c r="AL59" s="66">
        <f t="shared" si="9"/>
        <v>41.666666666666671</v>
      </c>
      <c r="AM59" s="65">
        <f t="shared" si="10"/>
        <v>41.666666666666671</v>
      </c>
      <c r="AN59" s="65">
        <f t="shared" si="11"/>
        <v>41.666666666666671</v>
      </c>
      <c r="AO59" s="66">
        <f t="shared" si="12"/>
        <v>16.666666666666668</v>
      </c>
      <c r="AP59" s="65">
        <f t="shared" si="13"/>
        <v>25</v>
      </c>
      <c r="AQ59" s="65">
        <f t="shared" si="14"/>
        <v>25</v>
      </c>
      <c r="AR59" s="66">
        <f t="shared" si="15"/>
        <v>16.666666666666668</v>
      </c>
      <c r="AS59" s="65">
        <f t="shared" si="16"/>
        <v>25</v>
      </c>
      <c r="AT59" s="65">
        <f t="shared" si="17"/>
        <v>25</v>
      </c>
      <c r="AU59" s="66">
        <f t="shared" si="18"/>
        <v>8.3333333333333339</v>
      </c>
      <c r="AV59" s="65">
        <f t="shared" si="19"/>
        <v>8.3333333333333339</v>
      </c>
      <c r="AW59" s="65">
        <f t="shared" si="20"/>
        <v>8.3333333333333339</v>
      </c>
      <c r="AX59" s="66">
        <f t="shared" si="21"/>
        <v>0</v>
      </c>
      <c r="AY59" s="65">
        <f t="shared" si="22"/>
        <v>0</v>
      </c>
      <c r="AZ59" s="65">
        <f t="shared" si="23"/>
        <v>8.3333333333333339</v>
      </c>
      <c r="BA59" s="66">
        <f t="shared" si="24"/>
        <v>0</v>
      </c>
      <c r="BB59" s="68">
        <f t="shared" si="25"/>
        <v>0</v>
      </c>
      <c r="BC59" s="65">
        <f t="shared" si="26"/>
        <v>4.8112522432468792</v>
      </c>
      <c r="BD59" s="65">
        <f t="shared" si="27"/>
        <v>4.8112522432468783</v>
      </c>
      <c r="BE59" s="65">
        <f t="shared" si="28"/>
        <v>14.433756729740642</v>
      </c>
      <c r="BF59" s="65">
        <f t="shared" si="29"/>
        <v>4.8112522432468703</v>
      </c>
      <c r="BG59" s="65">
        <f t="shared" si="30"/>
        <v>9.6225044864937583</v>
      </c>
      <c r="BH59" s="65">
        <f t="shared" si="31"/>
        <v>4.8112522432468818</v>
      </c>
      <c r="BI59" s="65">
        <f t="shared" si="32"/>
        <v>4.8112522432468818</v>
      </c>
      <c r="BJ59" s="68">
        <f t="shared" si="47"/>
        <v>0</v>
      </c>
      <c r="BK59" s="65">
        <f t="shared" si="33"/>
        <v>0.80187537387447982</v>
      </c>
      <c r="BL59" s="65">
        <f t="shared" si="34"/>
        <v>0.80187537387447971</v>
      </c>
      <c r="BM59" s="65">
        <f t="shared" si="35"/>
        <v>2.4056261216234405</v>
      </c>
      <c r="BN59" s="65">
        <f t="shared" si="36"/>
        <v>0.80187537387447838</v>
      </c>
      <c r="BO59" s="65">
        <f t="shared" si="37"/>
        <v>1.6037507477489596</v>
      </c>
      <c r="BP59" s="65">
        <f t="shared" si="38"/>
        <v>0.80187537387448027</v>
      </c>
      <c r="BQ59" s="90">
        <f t="shared" si="39"/>
        <v>0.80187537387448027</v>
      </c>
      <c r="BR59" s="69">
        <f t="shared" si="40"/>
        <v>100</v>
      </c>
      <c r="BS59" s="67">
        <f t="shared" si="41"/>
        <v>69.444444444444457</v>
      </c>
      <c r="BT59" s="67">
        <f t="shared" si="42"/>
        <v>47.222222222222229</v>
      </c>
      <c r="BU59" s="67">
        <f t="shared" si="43"/>
        <v>33.333333333333336</v>
      </c>
      <c r="BV59" s="67">
        <f t="shared" si="57"/>
        <v>22.222222222222225</v>
      </c>
      <c r="BW59" s="67">
        <f t="shared" si="60"/>
        <v>19.444444444444446</v>
      </c>
      <c r="BX59" s="67">
        <f t="shared" si="61"/>
        <v>13.888888888888891</v>
      </c>
      <c r="BY59" s="67">
        <f t="shared" si="62"/>
        <v>8.3333333333333339</v>
      </c>
      <c r="BZ59" s="69">
        <f t="shared" si="56"/>
        <v>0</v>
      </c>
      <c r="CA59" s="67">
        <f t="shared" si="56"/>
        <v>30.555555555555543</v>
      </c>
      <c r="CB59" s="67">
        <f t="shared" si="56"/>
        <v>52.777777777777771</v>
      </c>
      <c r="CC59" s="67">
        <f t="shared" si="56"/>
        <v>66.666666666666657</v>
      </c>
      <c r="CD59" s="67">
        <f t="shared" si="56"/>
        <v>77.777777777777771</v>
      </c>
      <c r="CE59" s="67">
        <f t="shared" si="56"/>
        <v>80.555555555555557</v>
      </c>
      <c r="CF59" s="67">
        <f t="shared" si="56"/>
        <v>86.111111111111114</v>
      </c>
      <c r="CG59" s="116">
        <f t="shared" si="55"/>
        <v>91.666666666666671</v>
      </c>
    </row>
    <row r="60" spans="2:85" x14ac:dyDescent="0.3">
      <c r="B60" s="409"/>
      <c r="C60" s="412"/>
      <c r="D60" s="70" t="s">
        <v>804</v>
      </c>
      <c r="E60" s="65">
        <v>12</v>
      </c>
      <c r="F60" s="65">
        <v>12</v>
      </c>
      <c r="G60" s="66">
        <v>12</v>
      </c>
      <c r="H60" s="65">
        <f t="shared" si="0"/>
        <v>36</v>
      </c>
      <c r="I60" s="67">
        <v>11</v>
      </c>
      <c r="J60" s="67">
        <v>12</v>
      </c>
      <c r="K60" s="66">
        <v>10</v>
      </c>
      <c r="L60" s="67">
        <v>10</v>
      </c>
      <c r="M60" s="67">
        <v>11</v>
      </c>
      <c r="N60" s="66">
        <v>8</v>
      </c>
      <c r="O60" s="67">
        <v>7</v>
      </c>
      <c r="P60" s="67">
        <v>9</v>
      </c>
      <c r="Q60" s="66">
        <v>7</v>
      </c>
      <c r="R60" s="67">
        <v>6</v>
      </c>
      <c r="S60" s="67">
        <v>8</v>
      </c>
      <c r="T60" s="66">
        <v>6</v>
      </c>
      <c r="U60" s="67">
        <v>3</v>
      </c>
      <c r="V60" s="67">
        <v>6</v>
      </c>
      <c r="W60" s="66">
        <v>5</v>
      </c>
      <c r="X60" s="67">
        <v>3</v>
      </c>
      <c r="Y60" s="67">
        <v>5</v>
      </c>
      <c r="Z60" s="66">
        <v>5</v>
      </c>
      <c r="AA60" s="67">
        <v>3</v>
      </c>
      <c r="AB60" s="67">
        <v>3</v>
      </c>
      <c r="AC60" s="66">
        <v>2</v>
      </c>
      <c r="AD60" s="65">
        <f t="shared" si="1"/>
        <v>100</v>
      </c>
      <c r="AE60" s="65">
        <f t="shared" si="2"/>
        <v>100</v>
      </c>
      <c r="AF60" s="66">
        <f t="shared" si="3"/>
        <v>100</v>
      </c>
      <c r="AG60" s="65">
        <f t="shared" si="4"/>
        <v>91.666666666666671</v>
      </c>
      <c r="AH60" s="65">
        <f t="shared" si="5"/>
        <v>100</v>
      </c>
      <c r="AI60" s="66">
        <f t="shared" si="6"/>
        <v>83.333333333333343</v>
      </c>
      <c r="AJ60" s="65">
        <f t="shared" si="7"/>
        <v>83.333333333333343</v>
      </c>
      <c r="AK60" s="65">
        <f t="shared" si="8"/>
        <v>91.666666666666671</v>
      </c>
      <c r="AL60" s="66">
        <f t="shared" si="9"/>
        <v>66.666666666666671</v>
      </c>
      <c r="AM60" s="65">
        <f t="shared" si="10"/>
        <v>58.333333333333336</v>
      </c>
      <c r="AN60" s="65">
        <f t="shared" si="11"/>
        <v>75</v>
      </c>
      <c r="AO60" s="66">
        <f t="shared" si="12"/>
        <v>58.333333333333336</v>
      </c>
      <c r="AP60" s="65">
        <f t="shared" si="13"/>
        <v>50</v>
      </c>
      <c r="AQ60" s="65">
        <f t="shared" si="14"/>
        <v>66.666666666666671</v>
      </c>
      <c r="AR60" s="66">
        <f t="shared" si="15"/>
        <v>50</v>
      </c>
      <c r="AS60" s="65">
        <f t="shared" si="16"/>
        <v>25</v>
      </c>
      <c r="AT60" s="65">
        <f t="shared" si="17"/>
        <v>50</v>
      </c>
      <c r="AU60" s="66">
        <f t="shared" si="18"/>
        <v>41.666666666666671</v>
      </c>
      <c r="AV60" s="65">
        <f t="shared" si="19"/>
        <v>25</v>
      </c>
      <c r="AW60" s="65">
        <f t="shared" si="20"/>
        <v>41.666666666666671</v>
      </c>
      <c r="AX60" s="66">
        <f t="shared" si="21"/>
        <v>41.666666666666671</v>
      </c>
      <c r="AY60" s="65">
        <f t="shared" si="22"/>
        <v>25</v>
      </c>
      <c r="AZ60" s="65">
        <f t="shared" si="23"/>
        <v>25</v>
      </c>
      <c r="BA60" s="66">
        <f t="shared" si="24"/>
        <v>16.666666666666668</v>
      </c>
      <c r="BB60" s="68">
        <f t="shared" si="25"/>
        <v>0</v>
      </c>
      <c r="BC60" s="65">
        <f t="shared" si="26"/>
        <v>8.3333333333333286</v>
      </c>
      <c r="BD60" s="65">
        <f t="shared" si="27"/>
        <v>12.72937693043294</v>
      </c>
      <c r="BE60" s="65">
        <f t="shared" si="28"/>
        <v>9.6225044864936926</v>
      </c>
      <c r="BF60" s="65">
        <f t="shared" si="29"/>
        <v>9.6225044864937406</v>
      </c>
      <c r="BG60" s="65">
        <f t="shared" si="30"/>
        <v>12.729376930432885</v>
      </c>
      <c r="BH60" s="65">
        <f t="shared" si="31"/>
        <v>9.6225044864937512</v>
      </c>
      <c r="BI60" s="65">
        <f t="shared" si="32"/>
        <v>4.8112522432468703</v>
      </c>
      <c r="BJ60" s="68">
        <f t="shared" si="47"/>
        <v>0</v>
      </c>
      <c r="BK60" s="65">
        <f t="shared" si="33"/>
        <v>1.3888888888888882</v>
      </c>
      <c r="BL60" s="65">
        <f t="shared" si="34"/>
        <v>2.1215628217388232</v>
      </c>
      <c r="BM60" s="65">
        <f t="shared" si="35"/>
        <v>1.6037507477489488</v>
      </c>
      <c r="BN60" s="65">
        <f t="shared" si="36"/>
        <v>1.6037507477489568</v>
      </c>
      <c r="BO60" s="65">
        <f t="shared" si="37"/>
        <v>2.1215628217388143</v>
      </c>
      <c r="BP60" s="65">
        <f t="shared" si="38"/>
        <v>1.6037507477489585</v>
      </c>
      <c r="BQ60" s="90">
        <f t="shared" si="39"/>
        <v>0.80187537387447838</v>
      </c>
      <c r="BR60" s="69">
        <f t="shared" si="40"/>
        <v>100</v>
      </c>
      <c r="BS60" s="67">
        <f t="shared" si="41"/>
        <v>91.666666666666671</v>
      </c>
      <c r="BT60" s="67">
        <f t="shared" si="42"/>
        <v>80.555555555555557</v>
      </c>
      <c r="BU60" s="67">
        <f t="shared" si="43"/>
        <v>63.888888888888893</v>
      </c>
      <c r="BV60" s="67">
        <f t="shared" si="57"/>
        <v>55.555555555555564</v>
      </c>
      <c r="BW60" s="67">
        <f t="shared" si="60"/>
        <v>38.888888888888893</v>
      </c>
      <c r="BX60" s="67">
        <f t="shared" si="61"/>
        <v>38.888888888888893</v>
      </c>
      <c r="BY60" s="67">
        <f t="shared" si="62"/>
        <v>36.111111111111114</v>
      </c>
      <c r="BZ60" s="69">
        <f t="shared" si="56"/>
        <v>0</v>
      </c>
      <c r="CA60" s="67">
        <f t="shared" si="56"/>
        <v>8.3333333333333286</v>
      </c>
      <c r="CB60" s="67">
        <f t="shared" si="56"/>
        <v>19.444444444444443</v>
      </c>
      <c r="CC60" s="67">
        <f t="shared" si="56"/>
        <v>36.111111111111107</v>
      </c>
      <c r="CD60" s="67">
        <f t="shared" si="56"/>
        <v>44.444444444444436</v>
      </c>
      <c r="CE60" s="67">
        <f t="shared" si="56"/>
        <v>61.111111111111107</v>
      </c>
      <c r="CF60" s="67">
        <f t="shared" si="56"/>
        <v>61.111111111111107</v>
      </c>
      <c r="CG60" s="116">
        <f t="shared" si="55"/>
        <v>63.888888888888886</v>
      </c>
    </row>
    <row r="61" spans="2:85" x14ac:dyDescent="0.3">
      <c r="B61" s="410"/>
      <c r="C61" s="413"/>
      <c r="D61" s="70" t="s">
        <v>805</v>
      </c>
      <c r="E61" s="71">
        <v>12</v>
      </c>
      <c r="F61" s="71">
        <v>12</v>
      </c>
      <c r="G61" s="72">
        <v>12</v>
      </c>
      <c r="H61" s="71">
        <f t="shared" si="0"/>
        <v>36</v>
      </c>
      <c r="I61" s="73">
        <v>11</v>
      </c>
      <c r="J61" s="73">
        <v>12</v>
      </c>
      <c r="K61" s="72">
        <v>11</v>
      </c>
      <c r="L61" s="73">
        <v>8</v>
      </c>
      <c r="M61" s="73">
        <v>10</v>
      </c>
      <c r="N61" s="72">
        <v>10</v>
      </c>
      <c r="O61" s="73">
        <v>4</v>
      </c>
      <c r="P61" s="73">
        <v>6</v>
      </c>
      <c r="Q61" s="72">
        <v>7</v>
      </c>
      <c r="R61" s="73">
        <v>4</v>
      </c>
      <c r="S61" s="73">
        <v>5</v>
      </c>
      <c r="T61" s="72">
        <v>6</v>
      </c>
      <c r="U61" s="73">
        <v>3</v>
      </c>
      <c r="V61" s="73">
        <v>0</v>
      </c>
      <c r="W61" s="72">
        <v>1</v>
      </c>
      <c r="X61" s="73">
        <v>3</v>
      </c>
      <c r="Y61" s="73">
        <v>0</v>
      </c>
      <c r="Z61" s="72">
        <v>1</v>
      </c>
      <c r="AA61" s="73">
        <v>2</v>
      </c>
      <c r="AB61" s="73">
        <v>0</v>
      </c>
      <c r="AC61" s="72">
        <v>1</v>
      </c>
      <c r="AD61" s="71">
        <f t="shared" si="1"/>
        <v>100</v>
      </c>
      <c r="AE61" s="71">
        <f t="shared" si="2"/>
        <v>100</v>
      </c>
      <c r="AF61" s="72">
        <f t="shared" si="3"/>
        <v>100</v>
      </c>
      <c r="AG61" s="71">
        <f t="shared" si="4"/>
        <v>91.666666666666671</v>
      </c>
      <c r="AH61" s="71">
        <f t="shared" si="5"/>
        <v>100</v>
      </c>
      <c r="AI61" s="72">
        <f t="shared" si="6"/>
        <v>91.666666666666671</v>
      </c>
      <c r="AJ61" s="71">
        <f t="shared" si="7"/>
        <v>66.666666666666671</v>
      </c>
      <c r="AK61" s="71">
        <f t="shared" si="8"/>
        <v>83.333333333333343</v>
      </c>
      <c r="AL61" s="72">
        <f t="shared" si="9"/>
        <v>83.333333333333343</v>
      </c>
      <c r="AM61" s="71">
        <f t="shared" si="10"/>
        <v>33.333333333333336</v>
      </c>
      <c r="AN61" s="71">
        <f t="shared" si="11"/>
        <v>50</v>
      </c>
      <c r="AO61" s="72">
        <f t="shared" si="12"/>
        <v>58.333333333333336</v>
      </c>
      <c r="AP61" s="71">
        <f t="shared" si="13"/>
        <v>33.333333333333336</v>
      </c>
      <c r="AQ61" s="71">
        <f t="shared" si="14"/>
        <v>41.666666666666671</v>
      </c>
      <c r="AR61" s="72">
        <f t="shared" si="15"/>
        <v>50</v>
      </c>
      <c r="AS61" s="71">
        <f t="shared" si="16"/>
        <v>25</v>
      </c>
      <c r="AT61" s="71">
        <f t="shared" si="17"/>
        <v>0</v>
      </c>
      <c r="AU61" s="72">
        <f t="shared" si="18"/>
        <v>8.3333333333333339</v>
      </c>
      <c r="AV61" s="71">
        <f t="shared" si="19"/>
        <v>25</v>
      </c>
      <c r="AW61" s="71">
        <f t="shared" si="20"/>
        <v>0</v>
      </c>
      <c r="AX61" s="72">
        <f t="shared" si="21"/>
        <v>8.3333333333333339</v>
      </c>
      <c r="AY61" s="71">
        <f t="shared" si="22"/>
        <v>16.666666666666668</v>
      </c>
      <c r="AZ61" s="71">
        <f t="shared" si="23"/>
        <v>0</v>
      </c>
      <c r="BA61" s="72">
        <f t="shared" si="24"/>
        <v>8.3333333333333339</v>
      </c>
      <c r="BB61" s="74">
        <f t="shared" si="25"/>
        <v>0</v>
      </c>
      <c r="BC61" s="71">
        <f t="shared" si="26"/>
        <v>4.8112522432468792</v>
      </c>
      <c r="BD61" s="71">
        <f t="shared" si="27"/>
        <v>9.6225044864937868</v>
      </c>
      <c r="BE61" s="71">
        <f t="shared" si="28"/>
        <v>12.729376930432849</v>
      </c>
      <c r="BF61" s="71">
        <f t="shared" si="29"/>
        <v>8.3333333333333552</v>
      </c>
      <c r="BG61" s="71">
        <f t="shared" si="30"/>
        <v>12.729376930432888</v>
      </c>
      <c r="BH61" s="71">
        <f t="shared" si="31"/>
        <v>12.729376930432888</v>
      </c>
      <c r="BI61" s="71">
        <f t="shared" si="32"/>
        <v>8.3333333333333357</v>
      </c>
      <c r="BJ61" s="74">
        <f t="shared" si="47"/>
        <v>0</v>
      </c>
      <c r="BK61" s="71">
        <f t="shared" si="33"/>
        <v>0.80187537387447982</v>
      </c>
      <c r="BL61" s="71">
        <f t="shared" si="34"/>
        <v>1.6037507477489645</v>
      </c>
      <c r="BM61" s="71">
        <f t="shared" si="35"/>
        <v>2.1215628217388081</v>
      </c>
      <c r="BN61" s="71">
        <f t="shared" si="36"/>
        <v>1.3888888888888926</v>
      </c>
      <c r="BO61" s="71">
        <f t="shared" si="37"/>
        <v>2.1215628217388147</v>
      </c>
      <c r="BP61" s="71">
        <f t="shared" si="38"/>
        <v>2.1215628217388147</v>
      </c>
      <c r="BQ61" s="91">
        <f t="shared" si="39"/>
        <v>1.3888888888888893</v>
      </c>
      <c r="BR61" s="75">
        <f t="shared" si="40"/>
        <v>100</v>
      </c>
      <c r="BS61" s="73">
        <f t="shared" si="41"/>
        <v>94.444444444444457</v>
      </c>
      <c r="BT61" s="73">
        <f t="shared" si="42"/>
        <v>77.777777777777786</v>
      </c>
      <c r="BU61" s="73">
        <f t="shared" si="43"/>
        <v>47.222222222222229</v>
      </c>
      <c r="BV61" s="73">
        <f t="shared" si="57"/>
        <v>41.666666666666664</v>
      </c>
      <c r="BW61" s="73">
        <f t="shared" si="60"/>
        <v>11.111111111111112</v>
      </c>
      <c r="BX61" s="73">
        <f t="shared" si="61"/>
        <v>11.111111111111112</v>
      </c>
      <c r="BY61" s="73">
        <f t="shared" si="62"/>
        <v>11.111111111111112</v>
      </c>
      <c r="BZ61" s="75">
        <f t="shared" si="56"/>
        <v>0</v>
      </c>
      <c r="CA61" s="73">
        <f t="shared" si="56"/>
        <v>5.5555555555555429</v>
      </c>
      <c r="CB61" s="73">
        <f t="shared" si="56"/>
        <v>22.222222222222214</v>
      </c>
      <c r="CC61" s="73">
        <f t="shared" si="56"/>
        <v>52.777777777777771</v>
      </c>
      <c r="CD61" s="73">
        <f t="shared" si="56"/>
        <v>58.333333333333336</v>
      </c>
      <c r="CE61" s="73">
        <f t="shared" si="56"/>
        <v>88.888888888888886</v>
      </c>
      <c r="CF61" s="73">
        <f t="shared" si="56"/>
        <v>88.888888888888886</v>
      </c>
      <c r="CG61" s="265">
        <f t="shared" si="55"/>
        <v>88.888888888888886</v>
      </c>
    </row>
    <row r="62" spans="2:85" ht="15" customHeight="1" x14ac:dyDescent="0.3">
      <c r="B62" s="408">
        <v>15</v>
      </c>
      <c r="C62" s="411" t="s">
        <v>222</v>
      </c>
      <c r="D62" s="76" t="s">
        <v>802</v>
      </c>
      <c r="E62" s="77">
        <v>12</v>
      </c>
      <c r="F62" s="77">
        <v>12</v>
      </c>
      <c r="G62" s="78">
        <v>12</v>
      </c>
      <c r="H62" s="77">
        <f t="shared" si="0"/>
        <v>36</v>
      </c>
      <c r="I62" s="79">
        <v>8</v>
      </c>
      <c r="J62" s="79">
        <v>9</v>
      </c>
      <c r="K62" s="78">
        <v>8</v>
      </c>
      <c r="L62" s="79">
        <v>5</v>
      </c>
      <c r="M62" s="79">
        <v>4</v>
      </c>
      <c r="N62" s="78">
        <v>2</v>
      </c>
      <c r="O62" s="79">
        <v>2</v>
      </c>
      <c r="P62" s="79">
        <v>2</v>
      </c>
      <c r="Q62" s="78">
        <v>1</v>
      </c>
      <c r="R62" s="79">
        <v>1</v>
      </c>
      <c r="S62" s="79">
        <v>1</v>
      </c>
      <c r="T62" s="78">
        <v>1</v>
      </c>
      <c r="U62" s="79">
        <v>0</v>
      </c>
      <c r="V62" s="79">
        <v>0</v>
      </c>
      <c r="W62" s="78">
        <v>0</v>
      </c>
      <c r="X62" s="79">
        <v>0</v>
      </c>
      <c r="Y62" s="79">
        <v>0</v>
      </c>
      <c r="Z62" s="78">
        <v>0</v>
      </c>
      <c r="AA62" s="79">
        <v>0</v>
      </c>
      <c r="AB62" s="79">
        <v>0</v>
      </c>
      <c r="AC62" s="78">
        <v>0</v>
      </c>
      <c r="AD62" s="77">
        <f t="shared" ref="AD62:AD125" si="63">100/E62*E62</f>
        <v>100</v>
      </c>
      <c r="AE62" s="77">
        <f t="shared" ref="AE62:AE125" si="64">100/F62*F62</f>
        <v>100</v>
      </c>
      <c r="AF62" s="78">
        <f t="shared" ref="AF62:AF125" si="65">100/G62*G62</f>
        <v>100</v>
      </c>
      <c r="AG62" s="77">
        <f t="shared" ref="AG62:AG125" si="66">100/E62*I62</f>
        <v>66.666666666666671</v>
      </c>
      <c r="AH62" s="77">
        <f t="shared" ref="AH62:AH125" si="67">100/F62*J62</f>
        <v>75</v>
      </c>
      <c r="AI62" s="78">
        <f t="shared" ref="AI62:AI125" si="68">100/G62*K62</f>
        <v>66.666666666666671</v>
      </c>
      <c r="AJ62" s="77">
        <f t="shared" ref="AJ62:AJ125" si="69">100/E62*L62</f>
        <v>41.666666666666671</v>
      </c>
      <c r="AK62" s="77">
        <f t="shared" ref="AK62:AK125" si="70">100/F62*M62</f>
        <v>33.333333333333336</v>
      </c>
      <c r="AL62" s="78">
        <f t="shared" ref="AL62:AL125" si="71">100/G62*N62</f>
        <v>16.666666666666668</v>
      </c>
      <c r="AM62" s="77">
        <f t="shared" ref="AM62:AM125" si="72">100/E62*O62</f>
        <v>16.666666666666668</v>
      </c>
      <c r="AN62" s="77">
        <f t="shared" ref="AN62:AN125" si="73">100/F62*P62</f>
        <v>16.666666666666668</v>
      </c>
      <c r="AO62" s="78">
        <f t="shared" ref="AO62:AO125" si="74">100/G62*Q62</f>
        <v>8.3333333333333339</v>
      </c>
      <c r="AP62" s="77">
        <f t="shared" ref="AP62:AP125" si="75">100/E62*R62</f>
        <v>8.3333333333333339</v>
      </c>
      <c r="AQ62" s="77">
        <f t="shared" ref="AQ62:AQ125" si="76">100/F62*S62</f>
        <v>8.3333333333333339</v>
      </c>
      <c r="AR62" s="78">
        <f t="shared" ref="AR62:AR125" si="77">100/G62*T62</f>
        <v>8.3333333333333339</v>
      </c>
      <c r="AS62" s="77">
        <f t="shared" ref="AS62:AS125" si="78">100/E62*U62</f>
        <v>0</v>
      </c>
      <c r="AT62" s="77">
        <f t="shared" ref="AT62:AT125" si="79">100/F62*V62</f>
        <v>0</v>
      </c>
      <c r="AU62" s="78">
        <f t="shared" ref="AU62:AU125" si="80">100/G62*W62</f>
        <v>0</v>
      </c>
      <c r="AV62" s="77">
        <f t="shared" ref="AV62:AV125" si="81">100/E62*X62</f>
        <v>0</v>
      </c>
      <c r="AW62" s="77">
        <f t="shared" ref="AW62:AW125" si="82">100/F62*Y62</f>
        <v>0</v>
      </c>
      <c r="AX62" s="78">
        <f t="shared" ref="AX62:AX125" si="83">100/G62*Z62</f>
        <v>0</v>
      </c>
      <c r="AY62" s="77">
        <f t="shared" ref="AY62:AY125" si="84">100/E62*AA62</f>
        <v>0</v>
      </c>
      <c r="AZ62" s="77">
        <f t="shared" ref="AZ62:AZ125" si="85">100/F62*AB62</f>
        <v>0</v>
      </c>
      <c r="BA62" s="78">
        <f t="shared" ref="BA62:BA125" si="86">100/G62*AC62</f>
        <v>0</v>
      </c>
      <c r="BB62" s="80">
        <f t="shared" ref="BB62:BB125" si="87">STDEV(AD62:AF62)</f>
        <v>0</v>
      </c>
      <c r="BC62" s="77">
        <f t="shared" ref="BC62:BC125" si="88">STDEV(AG62:AI62)</f>
        <v>4.8112522432468792</v>
      </c>
      <c r="BD62" s="77">
        <f t="shared" ref="BD62:BD125" si="89">STDEV(AJ62:AL62)</f>
        <v>12.729376930432885</v>
      </c>
      <c r="BE62" s="77">
        <f t="shared" ref="BE62:BE125" si="90">STDEV(AM62:AO62)</f>
        <v>4.8112522432468818</v>
      </c>
      <c r="BF62" s="77">
        <f t="shared" ref="BF62:BF125" si="91">STDEV(AP62:AR62)</f>
        <v>0</v>
      </c>
      <c r="BG62" s="77">
        <f t="shared" ref="BG62:BG125" si="92">STDEV(AS62:AU62)</f>
        <v>0</v>
      </c>
      <c r="BH62" s="77">
        <f t="shared" ref="BH62:BH125" si="93">STDEV(AV62:AX62)</f>
        <v>0</v>
      </c>
      <c r="BI62" s="77">
        <f t="shared" ref="BI62:BI125" si="94">STDEV(AY62:BA62)</f>
        <v>0</v>
      </c>
      <c r="BJ62" s="80">
        <f t="shared" si="47"/>
        <v>0</v>
      </c>
      <c r="BK62" s="77">
        <f t="shared" si="33"/>
        <v>0.80187537387447982</v>
      </c>
      <c r="BL62" s="77">
        <f t="shared" si="34"/>
        <v>2.1215628217388143</v>
      </c>
      <c r="BM62" s="77">
        <f t="shared" si="35"/>
        <v>0.80187537387448027</v>
      </c>
      <c r="BN62" s="77">
        <f t="shared" si="36"/>
        <v>0</v>
      </c>
      <c r="BO62" s="77">
        <f t="shared" si="37"/>
        <v>0</v>
      </c>
      <c r="BP62" s="77">
        <f t="shared" si="38"/>
        <v>0</v>
      </c>
      <c r="BQ62" s="92">
        <f t="shared" si="39"/>
        <v>0</v>
      </c>
      <c r="BR62" s="81">
        <f t="shared" ref="BR62:BR125" si="95">AVERAGE(AD62:AF62)</f>
        <v>100</v>
      </c>
      <c r="BS62" s="79">
        <f t="shared" ref="BS62:BS125" si="96">AVERAGE(AG62:AI62)</f>
        <v>69.444444444444457</v>
      </c>
      <c r="BT62" s="79">
        <f t="shared" ref="BT62:BT125" si="97">AVERAGE(AJ62:AL62)</f>
        <v>30.555555555555557</v>
      </c>
      <c r="BU62" s="79">
        <f t="shared" ref="BU62:BU125" si="98">AVERAGE(AM62:AO62)</f>
        <v>13.888888888888891</v>
      </c>
      <c r="BV62" s="79">
        <f t="shared" si="57"/>
        <v>8.3333333333333339</v>
      </c>
      <c r="BW62" s="79">
        <f t="shared" si="60"/>
        <v>0</v>
      </c>
      <c r="BX62" s="79">
        <f t="shared" si="61"/>
        <v>0</v>
      </c>
      <c r="BY62" s="79">
        <f t="shared" si="62"/>
        <v>0</v>
      </c>
      <c r="BZ62" s="81">
        <f t="shared" si="56"/>
        <v>0</v>
      </c>
      <c r="CA62" s="79">
        <f t="shared" si="56"/>
        <v>30.555555555555543</v>
      </c>
      <c r="CB62" s="79">
        <f t="shared" si="56"/>
        <v>69.444444444444443</v>
      </c>
      <c r="CC62" s="79">
        <f t="shared" si="56"/>
        <v>86.111111111111114</v>
      </c>
      <c r="CD62" s="79">
        <f t="shared" si="56"/>
        <v>91.666666666666671</v>
      </c>
      <c r="CE62" s="79">
        <f t="shared" si="56"/>
        <v>100</v>
      </c>
      <c r="CF62" s="79">
        <f t="shared" si="56"/>
        <v>100</v>
      </c>
      <c r="CG62" s="264">
        <f t="shared" si="55"/>
        <v>100</v>
      </c>
    </row>
    <row r="63" spans="2:85" x14ac:dyDescent="0.3">
      <c r="B63" s="409"/>
      <c r="C63" s="412"/>
      <c r="D63" s="70" t="s">
        <v>803</v>
      </c>
      <c r="E63" s="65">
        <v>12</v>
      </c>
      <c r="F63" s="65">
        <v>12</v>
      </c>
      <c r="G63" s="66">
        <v>12</v>
      </c>
      <c r="H63" s="65">
        <f t="shared" ref="H63:H126" si="99">SUM(E63:G63)</f>
        <v>36</v>
      </c>
      <c r="I63" s="67">
        <v>8</v>
      </c>
      <c r="J63" s="67">
        <v>7</v>
      </c>
      <c r="K63" s="66">
        <v>9</v>
      </c>
      <c r="L63" s="67">
        <v>4</v>
      </c>
      <c r="M63" s="67">
        <v>4</v>
      </c>
      <c r="N63" s="66">
        <v>5</v>
      </c>
      <c r="O63" s="67">
        <v>3</v>
      </c>
      <c r="P63" s="67">
        <v>1</v>
      </c>
      <c r="Q63" s="66">
        <v>3</v>
      </c>
      <c r="R63" s="67">
        <v>1</v>
      </c>
      <c r="S63" s="67">
        <v>1</v>
      </c>
      <c r="T63" s="66">
        <v>1</v>
      </c>
      <c r="U63" s="67">
        <v>0</v>
      </c>
      <c r="V63" s="67">
        <v>0</v>
      </c>
      <c r="W63" s="66">
        <v>0</v>
      </c>
      <c r="X63" s="67">
        <v>0</v>
      </c>
      <c r="Y63" s="67">
        <v>0</v>
      </c>
      <c r="Z63" s="66">
        <v>0</v>
      </c>
      <c r="AA63" s="67">
        <v>0</v>
      </c>
      <c r="AB63" s="67">
        <v>0</v>
      </c>
      <c r="AC63" s="66">
        <v>0</v>
      </c>
      <c r="AD63" s="65">
        <f t="shared" si="63"/>
        <v>100</v>
      </c>
      <c r="AE63" s="65">
        <f t="shared" si="64"/>
        <v>100</v>
      </c>
      <c r="AF63" s="66">
        <f t="shared" si="65"/>
        <v>100</v>
      </c>
      <c r="AG63" s="65">
        <f t="shared" si="66"/>
        <v>66.666666666666671</v>
      </c>
      <c r="AH63" s="65">
        <f t="shared" si="67"/>
        <v>58.333333333333336</v>
      </c>
      <c r="AI63" s="66">
        <f t="shared" si="68"/>
        <v>75</v>
      </c>
      <c r="AJ63" s="65">
        <f t="shared" si="69"/>
        <v>33.333333333333336</v>
      </c>
      <c r="AK63" s="65">
        <f t="shared" si="70"/>
        <v>33.333333333333336</v>
      </c>
      <c r="AL63" s="66">
        <f t="shared" si="71"/>
        <v>41.666666666666671</v>
      </c>
      <c r="AM63" s="65">
        <f t="shared" si="72"/>
        <v>25</v>
      </c>
      <c r="AN63" s="65">
        <f t="shared" si="73"/>
        <v>8.3333333333333339</v>
      </c>
      <c r="AO63" s="66">
        <f t="shared" si="74"/>
        <v>25</v>
      </c>
      <c r="AP63" s="65">
        <f t="shared" si="75"/>
        <v>8.3333333333333339</v>
      </c>
      <c r="AQ63" s="65">
        <f t="shared" si="76"/>
        <v>8.3333333333333339</v>
      </c>
      <c r="AR63" s="66">
        <f t="shared" si="77"/>
        <v>8.3333333333333339</v>
      </c>
      <c r="AS63" s="65">
        <f t="shared" si="78"/>
        <v>0</v>
      </c>
      <c r="AT63" s="65">
        <f t="shared" si="79"/>
        <v>0</v>
      </c>
      <c r="AU63" s="66">
        <f t="shared" si="80"/>
        <v>0</v>
      </c>
      <c r="AV63" s="65">
        <f t="shared" si="81"/>
        <v>0</v>
      </c>
      <c r="AW63" s="65">
        <f t="shared" si="82"/>
        <v>0</v>
      </c>
      <c r="AX63" s="66">
        <f t="shared" si="83"/>
        <v>0</v>
      </c>
      <c r="AY63" s="65">
        <f t="shared" si="84"/>
        <v>0</v>
      </c>
      <c r="AZ63" s="65">
        <f t="shared" si="85"/>
        <v>0</v>
      </c>
      <c r="BA63" s="66">
        <f t="shared" si="86"/>
        <v>0</v>
      </c>
      <c r="BB63" s="68">
        <f t="shared" si="87"/>
        <v>0</v>
      </c>
      <c r="BC63" s="65">
        <f t="shared" si="88"/>
        <v>8.3333333333333268</v>
      </c>
      <c r="BD63" s="65">
        <f t="shared" si="89"/>
        <v>4.8112522432468703</v>
      </c>
      <c r="BE63" s="65">
        <f t="shared" si="90"/>
        <v>9.6225044864937583</v>
      </c>
      <c r="BF63" s="65">
        <f t="shared" si="91"/>
        <v>0</v>
      </c>
      <c r="BG63" s="65">
        <f t="shared" si="92"/>
        <v>0</v>
      </c>
      <c r="BH63" s="65">
        <f t="shared" si="93"/>
        <v>0</v>
      </c>
      <c r="BI63" s="65">
        <f t="shared" si="94"/>
        <v>0</v>
      </c>
      <c r="BJ63" s="68">
        <f t="shared" ref="BJ63:BJ126" si="100">BB63/SQRT($H63)</f>
        <v>0</v>
      </c>
      <c r="BK63" s="65">
        <f t="shared" ref="BK63:BK126" si="101">BC63/SQRT($H63)</f>
        <v>1.3888888888888877</v>
      </c>
      <c r="BL63" s="65">
        <f t="shared" ref="BL63:BL126" si="102">BD63/SQRT($H63)</f>
        <v>0.80187537387447838</v>
      </c>
      <c r="BM63" s="65">
        <f t="shared" ref="BM63:BM126" si="103">BE63/SQRT($H63)</f>
        <v>1.6037507477489596</v>
      </c>
      <c r="BN63" s="65">
        <f t="shared" ref="BN63:BN126" si="104">BF63/SQRT($H63)</f>
        <v>0</v>
      </c>
      <c r="BO63" s="65">
        <f t="shared" ref="BO63:BO126" si="105">BG63/SQRT($H63)</f>
        <v>0</v>
      </c>
      <c r="BP63" s="65">
        <f t="shared" ref="BP63:BP126" si="106">BH63/SQRT($H63)</f>
        <v>0</v>
      </c>
      <c r="BQ63" s="90">
        <f t="shared" ref="BQ63:BQ126" si="107">BI63/SQRT($H63)</f>
        <v>0</v>
      </c>
      <c r="BR63" s="69">
        <f t="shared" si="95"/>
        <v>100</v>
      </c>
      <c r="BS63" s="67">
        <f t="shared" si="96"/>
        <v>66.666666666666671</v>
      </c>
      <c r="BT63" s="67">
        <f t="shared" si="97"/>
        <v>36.111111111111114</v>
      </c>
      <c r="BU63" s="67">
        <f t="shared" si="98"/>
        <v>19.444444444444446</v>
      </c>
      <c r="BV63" s="67">
        <f t="shared" si="57"/>
        <v>8.3333333333333339</v>
      </c>
      <c r="BW63" s="67">
        <f t="shared" si="60"/>
        <v>0</v>
      </c>
      <c r="BX63" s="67">
        <f t="shared" si="61"/>
        <v>0</v>
      </c>
      <c r="BY63" s="67">
        <f t="shared" si="62"/>
        <v>0</v>
      </c>
      <c r="BZ63" s="69">
        <f t="shared" si="56"/>
        <v>0</v>
      </c>
      <c r="CA63" s="67">
        <f t="shared" si="56"/>
        <v>33.333333333333329</v>
      </c>
      <c r="CB63" s="67">
        <f t="shared" si="56"/>
        <v>63.888888888888886</v>
      </c>
      <c r="CC63" s="67">
        <f t="shared" si="56"/>
        <v>80.555555555555557</v>
      </c>
      <c r="CD63" s="67">
        <f t="shared" si="56"/>
        <v>91.666666666666671</v>
      </c>
      <c r="CE63" s="67">
        <f t="shared" si="56"/>
        <v>100</v>
      </c>
      <c r="CF63" s="67">
        <f t="shared" si="56"/>
        <v>100</v>
      </c>
      <c r="CG63" s="116">
        <f t="shared" si="55"/>
        <v>100</v>
      </c>
    </row>
    <row r="64" spans="2:85" x14ac:dyDescent="0.3">
      <c r="B64" s="409"/>
      <c r="C64" s="412"/>
      <c r="D64" s="70" t="s">
        <v>804</v>
      </c>
      <c r="E64" s="65">
        <v>12</v>
      </c>
      <c r="F64" s="65">
        <v>12</v>
      </c>
      <c r="G64" s="66">
        <v>12</v>
      </c>
      <c r="H64" s="65">
        <f t="shared" si="99"/>
        <v>36</v>
      </c>
      <c r="I64" s="67">
        <v>9</v>
      </c>
      <c r="J64" s="67">
        <v>9</v>
      </c>
      <c r="K64" s="66">
        <v>10</v>
      </c>
      <c r="L64" s="67">
        <v>6</v>
      </c>
      <c r="M64" s="67">
        <v>8</v>
      </c>
      <c r="N64" s="66">
        <v>9</v>
      </c>
      <c r="O64" s="67">
        <v>4</v>
      </c>
      <c r="P64" s="67">
        <v>6</v>
      </c>
      <c r="Q64" s="66">
        <v>7</v>
      </c>
      <c r="R64" s="67">
        <v>2</v>
      </c>
      <c r="S64" s="67">
        <v>3</v>
      </c>
      <c r="T64" s="66">
        <v>4</v>
      </c>
      <c r="U64" s="67">
        <v>2</v>
      </c>
      <c r="V64" s="67">
        <v>2</v>
      </c>
      <c r="W64" s="66">
        <v>2</v>
      </c>
      <c r="X64" s="67">
        <v>0</v>
      </c>
      <c r="Y64" s="67">
        <v>2</v>
      </c>
      <c r="Z64" s="66">
        <v>1</v>
      </c>
      <c r="AA64" s="67">
        <v>0</v>
      </c>
      <c r="AB64" s="67">
        <v>1</v>
      </c>
      <c r="AC64" s="66">
        <v>1</v>
      </c>
      <c r="AD64" s="65">
        <f t="shared" si="63"/>
        <v>100</v>
      </c>
      <c r="AE64" s="65">
        <f t="shared" si="64"/>
        <v>100</v>
      </c>
      <c r="AF64" s="66">
        <f t="shared" si="65"/>
        <v>100</v>
      </c>
      <c r="AG64" s="65">
        <f t="shared" si="66"/>
        <v>75</v>
      </c>
      <c r="AH64" s="65">
        <f t="shared" si="67"/>
        <v>75</v>
      </c>
      <c r="AI64" s="66">
        <f t="shared" si="68"/>
        <v>83.333333333333343</v>
      </c>
      <c r="AJ64" s="65">
        <f t="shared" si="69"/>
        <v>50</v>
      </c>
      <c r="AK64" s="65">
        <f t="shared" si="70"/>
        <v>66.666666666666671</v>
      </c>
      <c r="AL64" s="66">
        <f t="shared" si="71"/>
        <v>75</v>
      </c>
      <c r="AM64" s="65">
        <f t="shared" si="72"/>
        <v>33.333333333333336</v>
      </c>
      <c r="AN64" s="65">
        <f t="shared" si="73"/>
        <v>50</v>
      </c>
      <c r="AO64" s="66">
        <f t="shared" si="74"/>
        <v>58.333333333333336</v>
      </c>
      <c r="AP64" s="65">
        <f t="shared" si="75"/>
        <v>16.666666666666668</v>
      </c>
      <c r="AQ64" s="65">
        <f t="shared" si="76"/>
        <v>25</v>
      </c>
      <c r="AR64" s="66">
        <f t="shared" si="77"/>
        <v>33.333333333333336</v>
      </c>
      <c r="AS64" s="65">
        <f t="shared" si="78"/>
        <v>16.666666666666668</v>
      </c>
      <c r="AT64" s="65">
        <f t="shared" si="79"/>
        <v>16.666666666666668</v>
      </c>
      <c r="AU64" s="66">
        <f t="shared" si="80"/>
        <v>16.666666666666668</v>
      </c>
      <c r="AV64" s="65">
        <f t="shared" si="81"/>
        <v>0</v>
      </c>
      <c r="AW64" s="65">
        <f t="shared" si="82"/>
        <v>16.666666666666668</v>
      </c>
      <c r="AX64" s="66">
        <f t="shared" si="83"/>
        <v>8.3333333333333339</v>
      </c>
      <c r="AY64" s="65">
        <f t="shared" si="84"/>
        <v>0</v>
      </c>
      <c r="AZ64" s="65">
        <f t="shared" si="85"/>
        <v>8.3333333333333339</v>
      </c>
      <c r="BA64" s="66">
        <f t="shared" si="86"/>
        <v>8.3333333333333339</v>
      </c>
      <c r="BB64" s="68">
        <f t="shared" si="87"/>
        <v>0</v>
      </c>
      <c r="BC64" s="65">
        <f t="shared" si="88"/>
        <v>4.8112522432468872</v>
      </c>
      <c r="BD64" s="65">
        <f t="shared" si="89"/>
        <v>12.729376930432867</v>
      </c>
      <c r="BE64" s="65">
        <f t="shared" si="90"/>
        <v>12.729376930432849</v>
      </c>
      <c r="BF64" s="65">
        <f t="shared" si="91"/>
        <v>8.333333333333341</v>
      </c>
      <c r="BG64" s="65">
        <f t="shared" si="92"/>
        <v>0</v>
      </c>
      <c r="BH64" s="65">
        <f t="shared" si="93"/>
        <v>8.3333333333333357</v>
      </c>
      <c r="BI64" s="65">
        <f t="shared" si="94"/>
        <v>4.8112522432468818</v>
      </c>
      <c r="BJ64" s="68">
        <f t="shared" si="100"/>
        <v>0</v>
      </c>
      <c r="BK64" s="65">
        <f t="shared" si="101"/>
        <v>0.80187537387448116</v>
      </c>
      <c r="BL64" s="65">
        <f t="shared" si="102"/>
        <v>2.1215628217388112</v>
      </c>
      <c r="BM64" s="65">
        <f t="shared" si="103"/>
        <v>2.1215628217388081</v>
      </c>
      <c r="BN64" s="65">
        <f t="shared" si="104"/>
        <v>1.3888888888888902</v>
      </c>
      <c r="BO64" s="65">
        <f t="shared" si="105"/>
        <v>0</v>
      </c>
      <c r="BP64" s="65">
        <f t="shared" si="106"/>
        <v>1.3888888888888893</v>
      </c>
      <c r="BQ64" s="90">
        <f t="shared" si="107"/>
        <v>0.80187537387448027</v>
      </c>
      <c r="BR64" s="69">
        <f t="shared" si="95"/>
        <v>100</v>
      </c>
      <c r="BS64" s="67">
        <f t="shared" si="96"/>
        <v>77.777777777777786</v>
      </c>
      <c r="BT64" s="67">
        <f t="shared" si="97"/>
        <v>63.888888888888893</v>
      </c>
      <c r="BU64" s="67">
        <f t="shared" si="98"/>
        <v>47.222222222222229</v>
      </c>
      <c r="BV64" s="67">
        <f t="shared" si="57"/>
        <v>25</v>
      </c>
      <c r="BW64" s="67">
        <f t="shared" si="60"/>
        <v>16.666666666666668</v>
      </c>
      <c r="BX64" s="67">
        <f t="shared" si="61"/>
        <v>11.111111111111112</v>
      </c>
      <c r="BY64" s="67">
        <f t="shared" si="62"/>
        <v>11.111111111111112</v>
      </c>
      <c r="BZ64" s="69">
        <f t="shared" si="56"/>
        <v>0</v>
      </c>
      <c r="CA64" s="67">
        <f t="shared" si="56"/>
        <v>22.222222222222214</v>
      </c>
      <c r="CB64" s="67">
        <f t="shared" si="56"/>
        <v>36.111111111111107</v>
      </c>
      <c r="CC64" s="67">
        <f t="shared" si="56"/>
        <v>52.777777777777771</v>
      </c>
      <c r="CD64" s="67">
        <f t="shared" si="56"/>
        <v>75</v>
      </c>
      <c r="CE64" s="67">
        <f t="shared" si="56"/>
        <v>83.333333333333329</v>
      </c>
      <c r="CF64" s="67">
        <f t="shared" si="56"/>
        <v>88.888888888888886</v>
      </c>
      <c r="CG64" s="116">
        <f t="shared" si="55"/>
        <v>88.888888888888886</v>
      </c>
    </row>
    <row r="65" spans="2:85" x14ac:dyDescent="0.3">
      <c r="B65" s="410"/>
      <c r="C65" s="413"/>
      <c r="D65" s="70" t="s">
        <v>805</v>
      </c>
      <c r="E65" s="71">
        <v>12</v>
      </c>
      <c r="F65" s="71">
        <v>12</v>
      </c>
      <c r="G65" s="72">
        <v>12</v>
      </c>
      <c r="H65" s="71">
        <f t="shared" si="99"/>
        <v>36</v>
      </c>
      <c r="I65" s="73">
        <v>9</v>
      </c>
      <c r="J65" s="73">
        <v>10</v>
      </c>
      <c r="K65" s="72">
        <v>11</v>
      </c>
      <c r="L65" s="73">
        <v>3</v>
      </c>
      <c r="M65" s="73">
        <v>2</v>
      </c>
      <c r="N65" s="72">
        <v>4</v>
      </c>
      <c r="O65" s="73">
        <v>3</v>
      </c>
      <c r="P65" s="73">
        <v>2</v>
      </c>
      <c r="Q65" s="72">
        <v>4</v>
      </c>
      <c r="R65" s="73">
        <v>1</v>
      </c>
      <c r="S65" s="73">
        <v>1</v>
      </c>
      <c r="T65" s="72">
        <v>0</v>
      </c>
      <c r="U65" s="73">
        <v>1</v>
      </c>
      <c r="V65" s="73">
        <v>1</v>
      </c>
      <c r="W65" s="72">
        <v>0</v>
      </c>
      <c r="X65" s="73">
        <v>1</v>
      </c>
      <c r="Y65" s="73">
        <v>0</v>
      </c>
      <c r="Z65" s="72">
        <v>0</v>
      </c>
      <c r="AA65" s="73">
        <v>0</v>
      </c>
      <c r="AB65" s="73">
        <v>0</v>
      </c>
      <c r="AC65" s="72">
        <v>0</v>
      </c>
      <c r="AD65" s="71">
        <f t="shared" si="63"/>
        <v>100</v>
      </c>
      <c r="AE65" s="71">
        <f t="shared" si="64"/>
        <v>100</v>
      </c>
      <c r="AF65" s="72">
        <f t="shared" si="65"/>
        <v>100</v>
      </c>
      <c r="AG65" s="71">
        <f t="shared" si="66"/>
        <v>75</v>
      </c>
      <c r="AH65" s="71">
        <f t="shared" si="67"/>
        <v>83.333333333333343</v>
      </c>
      <c r="AI65" s="72">
        <f t="shared" si="68"/>
        <v>91.666666666666671</v>
      </c>
      <c r="AJ65" s="71">
        <f t="shared" si="69"/>
        <v>25</v>
      </c>
      <c r="AK65" s="71">
        <f t="shared" si="70"/>
        <v>16.666666666666668</v>
      </c>
      <c r="AL65" s="72">
        <f t="shared" si="71"/>
        <v>33.333333333333336</v>
      </c>
      <c r="AM65" s="71">
        <f t="shared" si="72"/>
        <v>25</v>
      </c>
      <c r="AN65" s="71">
        <f t="shared" si="73"/>
        <v>16.666666666666668</v>
      </c>
      <c r="AO65" s="72">
        <f t="shared" si="74"/>
        <v>33.333333333333336</v>
      </c>
      <c r="AP65" s="71">
        <f t="shared" si="75"/>
        <v>8.3333333333333339</v>
      </c>
      <c r="AQ65" s="71">
        <f t="shared" si="76"/>
        <v>8.3333333333333339</v>
      </c>
      <c r="AR65" s="72">
        <f t="shared" si="77"/>
        <v>0</v>
      </c>
      <c r="AS65" s="71">
        <f t="shared" si="78"/>
        <v>8.3333333333333339</v>
      </c>
      <c r="AT65" s="71">
        <f t="shared" si="79"/>
        <v>8.3333333333333339</v>
      </c>
      <c r="AU65" s="72">
        <f t="shared" si="80"/>
        <v>0</v>
      </c>
      <c r="AV65" s="71">
        <f t="shared" si="81"/>
        <v>8.3333333333333339</v>
      </c>
      <c r="AW65" s="71">
        <f t="shared" si="82"/>
        <v>0</v>
      </c>
      <c r="AX65" s="72">
        <f t="shared" si="83"/>
        <v>0</v>
      </c>
      <c r="AY65" s="71">
        <f t="shared" si="84"/>
        <v>0</v>
      </c>
      <c r="AZ65" s="71">
        <f t="shared" si="85"/>
        <v>0</v>
      </c>
      <c r="BA65" s="72">
        <f t="shared" si="86"/>
        <v>0</v>
      </c>
      <c r="BB65" s="74">
        <f t="shared" si="87"/>
        <v>0</v>
      </c>
      <c r="BC65" s="71">
        <f t="shared" si="88"/>
        <v>8.3333333333333357</v>
      </c>
      <c r="BD65" s="71">
        <f t="shared" si="89"/>
        <v>8.333333333333341</v>
      </c>
      <c r="BE65" s="71">
        <f t="shared" si="90"/>
        <v>8.333333333333341</v>
      </c>
      <c r="BF65" s="71">
        <f t="shared" si="91"/>
        <v>4.8112522432468818</v>
      </c>
      <c r="BG65" s="71">
        <f t="shared" si="92"/>
        <v>4.8112522432468818</v>
      </c>
      <c r="BH65" s="71">
        <f t="shared" si="93"/>
        <v>4.8112522432468818</v>
      </c>
      <c r="BI65" s="71">
        <f t="shared" si="94"/>
        <v>0</v>
      </c>
      <c r="BJ65" s="74">
        <f t="shared" si="100"/>
        <v>0</v>
      </c>
      <c r="BK65" s="71">
        <f t="shared" si="101"/>
        <v>1.3888888888888893</v>
      </c>
      <c r="BL65" s="71">
        <f t="shared" si="102"/>
        <v>1.3888888888888902</v>
      </c>
      <c r="BM65" s="71">
        <f t="shared" si="103"/>
        <v>1.3888888888888902</v>
      </c>
      <c r="BN65" s="71">
        <f t="shared" si="104"/>
        <v>0.80187537387448027</v>
      </c>
      <c r="BO65" s="71">
        <f t="shared" si="105"/>
        <v>0.80187537387448027</v>
      </c>
      <c r="BP65" s="71">
        <f t="shared" si="106"/>
        <v>0.80187537387448027</v>
      </c>
      <c r="BQ65" s="91">
        <f t="shared" si="107"/>
        <v>0</v>
      </c>
      <c r="BR65" s="75">
        <f t="shared" si="95"/>
        <v>100</v>
      </c>
      <c r="BS65" s="73">
        <f t="shared" si="96"/>
        <v>83.333333333333329</v>
      </c>
      <c r="BT65" s="73">
        <f t="shared" si="97"/>
        <v>25</v>
      </c>
      <c r="BU65" s="73">
        <f t="shared" si="98"/>
        <v>25</v>
      </c>
      <c r="BV65" s="73">
        <f t="shared" si="57"/>
        <v>5.5555555555555562</v>
      </c>
      <c r="BW65" s="73">
        <f t="shared" si="60"/>
        <v>5.5555555555555562</v>
      </c>
      <c r="BX65" s="73">
        <f t="shared" si="61"/>
        <v>5.5555555555555562</v>
      </c>
      <c r="BY65" s="73">
        <f t="shared" si="62"/>
        <v>2.7777777777777781</v>
      </c>
      <c r="BZ65" s="75">
        <f t="shared" si="56"/>
        <v>0</v>
      </c>
      <c r="CA65" s="73">
        <f t="shared" si="56"/>
        <v>16.666666666666671</v>
      </c>
      <c r="CB65" s="73">
        <f t="shared" si="56"/>
        <v>75</v>
      </c>
      <c r="CC65" s="73">
        <f t="shared" si="56"/>
        <v>75</v>
      </c>
      <c r="CD65" s="73">
        <f t="shared" si="56"/>
        <v>94.444444444444443</v>
      </c>
      <c r="CE65" s="73">
        <f t="shared" si="56"/>
        <v>94.444444444444443</v>
      </c>
      <c r="CF65" s="73">
        <f t="shared" si="56"/>
        <v>94.444444444444443</v>
      </c>
      <c r="CG65" s="265">
        <f t="shared" si="55"/>
        <v>97.222222222222229</v>
      </c>
    </row>
    <row r="66" spans="2:85" ht="15" customHeight="1" x14ac:dyDescent="0.3">
      <c r="B66" s="408">
        <v>16</v>
      </c>
      <c r="C66" s="411" t="s">
        <v>236</v>
      </c>
      <c r="D66" s="76" t="s">
        <v>802</v>
      </c>
      <c r="E66" s="77">
        <v>12</v>
      </c>
      <c r="F66" s="77">
        <v>12</v>
      </c>
      <c r="G66" s="78">
        <v>12</v>
      </c>
      <c r="H66" s="77">
        <f t="shared" si="99"/>
        <v>36</v>
      </c>
      <c r="I66" s="79">
        <v>10</v>
      </c>
      <c r="J66" s="79">
        <v>10</v>
      </c>
      <c r="K66" s="78">
        <v>9</v>
      </c>
      <c r="L66" s="79">
        <v>7</v>
      </c>
      <c r="M66" s="79">
        <v>6</v>
      </c>
      <c r="N66" s="78">
        <v>4</v>
      </c>
      <c r="O66" s="79">
        <v>0</v>
      </c>
      <c r="P66" s="79">
        <v>0</v>
      </c>
      <c r="Q66" s="78">
        <v>2</v>
      </c>
      <c r="R66" s="79">
        <v>0</v>
      </c>
      <c r="S66" s="79">
        <v>0</v>
      </c>
      <c r="T66" s="78">
        <v>0</v>
      </c>
      <c r="U66" s="79">
        <v>0</v>
      </c>
      <c r="V66" s="79">
        <v>0</v>
      </c>
      <c r="W66" s="78">
        <v>0</v>
      </c>
      <c r="X66" s="79">
        <v>0</v>
      </c>
      <c r="Y66" s="79">
        <v>0</v>
      </c>
      <c r="Z66" s="78">
        <v>0</v>
      </c>
      <c r="AA66" s="79">
        <v>0</v>
      </c>
      <c r="AB66" s="79">
        <v>0</v>
      </c>
      <c r="AC66" s="78">
        <v>0</v>
      </c>
      <c r="AD66" s="77">
        <f t="shared" si="63"/>
        <v>100</v>
      </c>
      <c r="AE66" s="77">
        <f t="shared" si="64"/>
        <v>100</v>
      </c>
      <c r="AF66" s="78">
        <f t="shared" si="65"/>
        <v>100</v>
      </c>
      <c r="AG66" s="77">
        <f t="shared" si="66"/>
        <v>83.333333333333343</v>
      </c>
      <c r="AH66" s="77">
        <f t="shared" si="67"/>
        <v>83.333333333333343</v>
      </c>
      <c r="AI66" s="78">
        <f t="shared" si="68"/>
        <v>75</v>
      </c>
      <c r="AJ66" s="77">
        <f t="shared" si="69"/>
        <v>58.333333333333336</v>
      </c>
      <c r="AK66" s="77">
        <f t="shared" si="70"/>
        <v>50</v>
      </c>
      <c r="AL66" s="78">
        <f t="shared" si="71"/>
        <v>33.333333333333336</v>
      </c>
      <c r="AM66" s="77">
        <f t="shared" si="72"/>
        <v>0</v>
      </c>
      <c r="AN66" s="77">
        <f t="shared" si="73"/>
        <v>0</v>
      </c>
      <c r="AO66" s="78">
        <f t="shared" si="74"/>
        <v>16.666666666666668</v>
      </c>
      <c r="AP66" s="77">
        <f t="shared" si="75"/>
        <v>0</v>
      </c>
      <c r="AQ66" s="77">
        <f t="shared" si="76"/>
        <v>0</v>
      </c>
      <c r="AR66" s="78">
        <f t="shared" si="77"/>
        <v>0</v>
      </c>
      <c r="AS66" s="77">
        <f t="shared" si="78"/>
        <v>0</v>
      </c>
      <c r="AT66" s="77">
        <f t="shared" si="79"/>
        <v>0</v>
      </c>
      <c r="AU66" s="78">
        <f t="shared" si="80"/>
        <v>0</v>
      </c>
      <c r="AV66" s="77">
        <f t="shared" si="81"/>
        <v>0</v>
      </c>
      <c r="AW66" s="77">
        <f t="shared" si="82"/>
        <v>0</v>
      </c>
      <c r="AX66" s="78">
        <f t="shared" si="83"/>
        <v>0</v>
      </c>
      <c r="AY66" s="77">
        <f t="shared" si="84"/>
        <v>0</v>
      </c>
      <c r="AZ66" s="77">
        <f t="shared" si="85"/>
        <v>0</v>
      </c>
      <c r="BA66" s="78">
        <f t="shared" si="86"/>
        <v>0</v>
      </c>
      <c r="BB66" s="80">
        <f t="shared" si="87"/>
        <v>0</v>
      </c>
      <c r="BC66" s="77">
        <f t="shared" si="88"/>
        <v>4.8112522432468872</v>
      </c>
      <c r="BD66" s="77">
        <f t="shared" si="89"/>
        <v>12.729376930432849</v>
      </c>
      <c r="BE66" s="77">
        <f t="shared" si="90"/>
        <v>9.6225044864937637</v>
      </c>
      <c r="BF66" s="77">
        <f t="shared" si="91"/>
        <v>0</v>
      </c>
      <c r="BG66" s="77">
        <f t="shared" si="92"/>
        <v>0</v>
      </c>
      <c r="BH66" s="77">
        <f t="shared" si="93"/>
        <v>0</v>
      </c>
      <c r="BI66" s="77">
        <f t="shared" si="94"/>
        <v>0</v>
      </c>
      <c r="BJ66" s="80">
        <f t="shared" si="100"/>
        <v>0</v>
      </c>
      <c r="BK66" s="77">
        <f t="shared" si="101"/>
        <v>0.80187537387448116</v>
      </c>
      <c r="BL66" s="77">
        <f t="shared" si="102"/>
        <v>2.1215628217388081</v>
      </c>
      <c r="BM66" s="77">
        <f t="shared" si="103"/>
        <v>1.6037507477489605</v>
      </c>
      <c r="BN66" s="77">
        <f t="shared" si="104"/>
        <v>0</v>
      </c>
      <c r="BO66" s="77">
        <f t="shared" si="105"/>
        <v>0</v>
      </c>
      <c r="BP66" s="77">
        <f t="shared" si="106"/>
        <v>0</v>
      </c>
      <c r="BQ66" s="92">
        <f t="shared" si="107"/>
        <v>0</v>
      </c>
      <c r="BR66" s="81">
        <f t="shared" si="95"/>
        <v>100</v>
      </c>
      <c r="BS66" s="79">
        <f t="shared" si="96"/>
        <v>80.555555555555557</v>
      </c>
      <c r="BT66" s="79">
        <f t="shared" si="97"/>
        <v>47.222222222222229</v>
      </c>
      <c r="BU66" s="79">
        <f t="shared" si="98"/>
        <v>5.5555555555555562</v>
      </c>
      <c r="BV66" s="79">
        <f t="shared" si="57"/>
        <v>0</v>
      </c>
      <c r="BW66" s="79">
        <f t="shared" si="60"/>
        <v>0</v>
      </c>
      <c r="BX66" s="79">
        <f t="shared" si="61"/>
        <v>0</v>
      </c>
      <c r="BY66" s="79">
        <f t="shared" si="62"/>
        <v>0</v>
      </c>
      <c r="BZ66" s="81">
        <f t="shared" si="56"/>
        <v>0</v>
      </c>
      <c r="CA66" s="79">
        <f t="shared" si="56"/>
        <v>19.444444444444443</v>
      </c>
      <c r="CB66" s="79">
        <f t="shared" si="56"/>
        <v>52.777777777777771</v>
      </c>
      <c r="CC66" s="79">
        <f t="shared" ref="CC66:CG122" si="108">100-BU66</f>
        <v>94.444444444444443</v>
      </c>
      <c r="CD66" s="79">
        <f t="shared" si="108"/>
        <v>100</v>
      </c>
      <c r="CE66" s="79">
        <f t="shared" si="108"/>
        <v>100</v>
      </c>
      <c r="CF66" s="79">
        <f t="shared" si="108"/>
        <v>100</v>
      </c>
      <c r="CG66" s="264">
        <f t="shared" si="55"/>
        <v>100</v>
      </c>
    </row>
    <row r="67" spans="2:85" x14ac:dyDescent="0.3">
      <c r="B67" s="409"/>
      <c r="C67" s="412"/>
      <c r="D67" s="70" t="s">
        <v>803</v>
      </c>
      <c r="E67" s="65">
        <v>12</v>
      </c>
      <c r="F67" s="65">
        <v>12</v>
      </c>
      <c r="G67" s="66">
        <v>12</v>
      </c>
      <c r="H67" s="65">
        <f t="shared" si="99"/>
        <v>36</v>
      </c>
      <c r="I67" s="67">
        <v>11</v>
      </c>
      <c r="J67" s="67">
        <v>11</v>
      </c>
      <c r="K67" s="66">
        <v>10</v>
      </c>
      <c r="L67" s="67">
        <v>8</v>
      </c>
      <c r="M67" s="67">
        <v>11</v>
      </c>
      <c r="N67" s="66">
        <v>9</v>
      </c>
      <c r="O67" s="67">
        <v>4</v>
      </c>
      <c r="P67" s="67">
        <v>8</v>
      </c>
      <c r="Q67" s="66">
        <v>7</v>
      </c>
      <c r="R67" s="67">
        <v>4</v>
      </c>
      <c r="S67" s="67">
        <v>7</v>
      </c>
      <c r="T67" s="66">
        <v>5</v>
      </c>
      <c r="U67" s="67">
        <v>3</v>
      </c>
      <c r="V67" s="67">
        <v>6</v>
      </c>
      <c r="W67" s="66">
        <v>3</v>
      </c>
      <c r="X67" s="67">
        <v>1</v>
      </c>
      <c r="Y67" s="67">
        <v>4</v>
      </c>
      <c r="Z67" s="66">
        <v>2</v>
      </c>
      <c r="AA67" s="67">
        <v>0</v>
      </c>
      <c r="AB67" s="67">
        <v>3</v>
      </c>
      <c r="AC67" s="66">
        <v>2</v>
      </c>
      <c r="AD67" s="65">
        <f t="shared" si="63"/>
        <v>100</v>
      </c>
      <c r="AE67" s="65">
        <f t="shared" si="64"/>
        <v>100</v>
      </c>
      <c r="AF67" s="66">
        <f t="shared" si="65"/>
        <v>100</v>
      </c>
      <c r="AG67" s="65">
        <f t="shared" si="66"/>
        <v>91.666666666666671</v>
      </c>
      <c r="AH67" s="65">
        <f t="shared" si="67"/>
        <v>91.666666666666671</v>
      </c>
      <c r="AI67" s="66">
        <f t="shared" si="68"/>
        <v>83.333333333333343</v>
      </c>
      <c r="AJ67" s="65">
        <f t="shared" si="69"/>
        <v>66.666666666666671</v>
      </c>
      <c r="AK67" s="65">
        <f t="shared" si="70"/>
        <v>91.666666666666671</v>
      </c>
      <c r="AL67" s="66">
        <f t="shared" si="71"/>
        <v>75</v>
      </c>
      <c r="AM67" s="65">
        <f t="shared" si="72"/>
        <v>33.333333333333336</v>
      </c>
      <c r="AN67" s="65">
        <f t="shared" si="73"/>
        <v>66.666666666666671</v>
      </c>
      <c r="AO67" s="66">
        <f t="shared" si="74"/>
        <v>58.333333333333336</v>
      </c>
      <c r="AP67" s="65">
        <f t="shared" si="75"/>
        <v>33.333333333333336</v>
      </c>
      <c r="AQ67" s="65">
        <f t="shared" si="76"/>
        <v>58.333333333333336</v>
      </c>
      <c r="AR67" s="66">
        <f t="shared" si="77"/>
        <v>41.666666666666671</v>
      </c>
      <c r="AS67" s="65">
        <f t="shared" si="78"/>
        <v>25</v>
      </c>
      <c r="AT67" s="65">
        <f t="shared" si="79"/>
        <v>50</v>
      </c>
      <c r="AU67" s="66">
        <f t="shared" si="80"/>
        <v>25</v>
      </c>
      <c r="AV67" s="65">
        <f t="shared" si="81"/>
        <v>8.3333333333333339</v>
      </c>
      <c r="AW67" s="65">
        <f t="shared" si="82"/>
        <v>33.333333333333336</v>
      </c>
      <c r="AX67" s="66">
        <f t="shared" si="83"/>
        <v>16.666666666666668</v>
      </c>
      <c r="AY67" s="65">
        <f t="shared" si="84"/>
        <v>0</v>
      </c>
      <c r="AZ67" s="65">
        <f t="shared" si="85"/>
        <v>25</v>
      </c>
      <c r="BA67" s="66">
        <f t="shared" si="86"/>
        <v>16.666666666666668</v>
      </c>
      <c r="BB67" s="68">
        <f t="shared" si="87"/>
        <v>0</v>
      </c>
      <c r="BC67" s="65">
        <f t="shared" si="88"/>
        <v>4.8112522432468783</v>
      </c>
      <c r="BD67" s="65">
        <f t="shared" si="89"/>
        <v>12.72937693043294</v>
      </c>
      <c r="BE67" s="65">
        <f t="shared" si="90"/>
        <v>17.34721666221775</v>
      </c>
      <c r="BF67" s="65">
        <f t="shared" si="91"/>
        <v>12.729376930432867</v>
      </c>
      <c r="BG67" s="65">
        <f t="shared" si="92"/>
        <v>14.433756729740642</v>
      </c>
      <c r="BH67" s="65">
        <f t="shared" si="93"/>
        <v>12.729376930432885</v>
      </c>
      <c r="BI67" s="65">
        <f t="shared" si="94"/>
        <v>12.729376930432888</v>
      </c>
      <c r="BJ67" s="68">
        <f t="shared" si="100"/>
        <v>0</v>
      </c>
      <c r="BK67" s="65">
        <f t="shared" si="101"/>
        <v>0.80187537387447971</v>
      </c>
      <c r="BL67" s="65">
        <f t="shared" si="102"/>
        <v>2.1215628217388232</v>
      </c>
      <c r="BM67" s="65">
        <f t="shared" si="103"/>
        <v>2.8912027770362916</v>
      </c>
      <c r="BN67" s="65">
        <f t="shared" si="104"/>
        <v>2.1215628217388112</v>
      </c>
      <c r="BO67" s="65">
        <f t="shared" si="105"/>
        <v>2.4056261216234405</v>
      </c>
      <c r="BP67" s="65">
        <f t="shared" si="106"/>
        <v>2.1215628217388143</v>
      </c>
      <c r="BQ67" s="90">
        <f t="shared" si="107"/>
        <v>2.1215628217388147</v>
      </c>
      <c r="BR67" s="69">
        <f t="shared" si="95"/>
        <v>100</v>
      </c>
      <c r="BS67" s="67">
        <f t="shared" si="96"/>
        <v>88.8888888888889</v>
      </c>
      <c r="BT67" s="67">
        <f t="shared" si="97"/>
        <v>77.777777777777786</v>
      </c>
      <c r="BU67" s="67">
        <f t="shared" si="98"/>
        <v>52.777777777777779</v>
      </c>
      <c r="BV67" s="67">
        <f t="shared" si="57"/>
        <v>44.44444444444445</v>
      </c>
      <c r="BW67" s="67">
        <f t="shared" si="60"/>
        <v>33.333333333333336</v>
      </c>
      <c r="BX67" s="67">
        <f t="shared" si="61"/>
        <v>27.777777777777775</v>
      </c>
      <c r="BY67" s="67">
        <f t="shared" si="62"/>
        <v>22.222222222222225</v>
      </c>
      <c r="BZ67" s="69">
        <f t="shared" ref="BZ67:CD130" si="109">100-BR67</f>
        <v>0</v>
      </c>
      <c r="CA67" s="67">
        <f t="shared" si="109"/>
        <v>11.1111111111111</v>
      </c>
      <c r="CB67" s="67">
        <f t="shared" si="109"/>
        <v>22.222222222222214</v>
      </c>
      <c r="CC67" s="67">
        <f t="shared" si="108"/>
        <v>47.222222222222221</v>
      </c>
      <c r="CD67" s="67">
        <f t="shared" si="108"/>
        <v>55.55555555555555</v>
      </c>
      <c r="CE67" s="67">
        <f t="shared" si="108"/>
        <v>66.666666666666657</v>
      </c>
      <c r="CF67" s="67">
        <f t="shared" si="108"/>
        <v>72.222222222222229</v>
      </c>
      <c r="CG67" s="116">
        <f t="shared" si="55"/>
        <v>77.777777777777771</v>
      </c>
    </row>
    <row r="68" spans="2:85" x14ac:dyDescent="0.3">
      <c r="B68" s="409"/>
      <c r="C68" s="412"/>
      <c r="D68" s="70" t="s">
        <v>804</v>
      </c>
      <c r="E68" s="65">
        <v>12</v>
      </c>
      <c r="F68" s="65">
        <v>12</v>
      </c>
      <c r="G68" s="66">
        <v>12</v>
      </c>
      <c r="H68" s="65">
        <f t="shared" si="99"/>
        <v>36</v>
      </c>
      <c r="I68" s="67">
        <v>10</v>
      </c>
      <c r="J68" s="67">
        <v>11</v>
      </c>
      <c r="K68" s="66">
        <v>11</v>
      </c>
      <c r="L68" s="67">
        <v>8</v>
      </c>
      <c r="M68" s="67">
        <v>9</v>
      </c>
      <c r="N68" s="66">
        <v>10</v>
      </c>
      <c r="O68" s="67">
        <v>5</v>
      </c>
      <c r="P68" s="67">
        <v>4</v>
      </c>
      <c r="Q68" s="66">
        <v>5</v>
      </c>
      <c r="R68" s="67">
        <v>4</v>
      </c>
      <c r="S68" s="67">
        <v>3</v>
      </c>
      <c r="T68" s="66">
        <v>5</v>
      </c>
      <c r="U68" s="67">
        <v>4</v>
      </c>
      <c r="V68" s="67">
        <v>3</v>
      </c>
      <c r="W68" s="66">
        <v>5</v>
      </c>
      <c r="X68" s="67">
        <v>4</v>
      </c>
      <c r="Y68" s="67">
        <v>1</v>
      </c>
      <c r="Z68" s="66">
        <v>1</v>
      </c>
      <c r="AA68" s="67">
        <v>1</v>
      </c>
      <c r="AB68" s="67">
        <v>0</v>
      </c>
      <c r="AC68" s="66">
        <v>1</v>
      </c>
      <c r="AD68" s="65">
        <f t="shared" si="63"/>
        <v>100</v>
      </c>
      <c r="AE68" s="65">
        <f t="shared" si="64"/>
        <v>100</v>
      </c>
      <c r="AF68" s="66">
        <f t="shared" si="65"/>
        <v>100</v>
      </c>
      <c r="AG68" s="65">
        <f t="shared" si="66"/>
        <v>83.333333333333343</v>
      </c>
      <c r="AH68" s="65">
        <f t="shared" si="67"/>
        <v>91.666666666666671</v>
      </c>
      <c r="AI68" s="66">
        <f t="shared" si="68"/>
        <v>91.666666666666671</v>
      </c>
      <c r="AJ68" s="65">
        <f t="shared" si="69"/>
        <v>66.666666666666671</v>
      </c>
      <c r="AK68" s="65">
        <f t="shared" si="70"/>
        <v>75</v>
      </c>
      <c r="AL68" s="66">
        <f t="shared" si="71"/>
        <v>83.333333333333343</v>
      </c>
      <c r="AM68" s="65">
        <f t="shared" si="72"/>
        <v>41.666666666666671</v>
      </c>
      <c r="AN68" s="65">
        <f t="shared" si="73"/>
        <v>33.333333333333336</v>
      </c>
      <c r="AO68" s="66">
        <f t="shared" si="74"/>
        <v>41.666666666666671</v>
      </c>
      <c r="AP68" s="65">
        <f t="shared" si="75"/>
        <v>33.333333333333336</v>
      </c>
      <c r="AQ68" s="65">
        <f t="shared" si="76"/>
        <v>25</v>
      </c>
      <c r="AR68" s="66">
        <f t="shared" si="77"/>
        <v>41.666666666666671</v>
      </c>
      <c r="AS68" s="65">
        <f t="shared" si="78"/>
        <v>33.333333333333336</v>
      </c>
      <c r="AT68" s="65">
        <f t="shared" si="79"/>
        <v>25</v>
      </c>
      <c r="AU68" s="66">
        <f t="shared" si="80"/>
        <v>41.666666666666671</v>
      </c>
      <c r="AV68" s="65">
        <f t="shared" si="81"/>
        <v>33.333333333333336</v>
      </c>
      <c r="AW68" s="65">
        <f t="shared" si="82"/>
        <v>8.3333333333333339</v>
      </c>
      <c r="AX68" s="66">
        <f t="shared" si="83"/>
        <v>8.3333333333333339</v>
      </c>
      <c r="AY68" s="65">
        <f t="shared" si="84"/>
        <v>8.3333333333333339</v>
      </c>
      <c r="AZ68" s="65">
        <f t="shared" si="85"/>
        <v>0</v>
      </c>
      <c r="BA68" s="66">
        <f t="shared" si="86"/>
        <v>8.3333333333333339</v>
      </c>
      <c r="BB68" s="68">
        <f t="shared" si="87"/>
        <v>0</v>
      </c>
      <c r="BC68" s="65">
        <f t="shared" si="88"/>
        <v>4.8112522432468783</v>
      </c>
      <c r="BD68" s="65">
        <f t="shared" si="89"/>
        <v>8.3333333333333357</v>
      </c>
      <c r="BE68" s="65">
        <f t="shared" si="90"/>
        <v>4.8112522432468934</v>
      </c>
      <c r="BF68" s="65">
        <f t="shared" si="91"/>
        <v>8.333333333333341</v>
      </c>
      <c r="BG68" s="65">
        <f t="shared" si="92"/>
        <v>8.333333333333341</v>
      </c>
      <c r="BH68" s="65">
        <f t="shared" si="93"/>
        <v>14.43375672974064</v>
      </c>
      <c r="BI68" s="65">
        <f t="shared" si="94"/>
        <v>4.8112522432468818</v>
      </c>
      <c r="BJ68" s="68">
        <f t="shared" si="100"/>
        <v>0</v>
      </c>
      <c r="BK68" s="65">
        <f t="shared" si="101"/>
        <v>0.80187537387447971</v>
      </c>
      <c r="BL68" s="65">
        <f t="shared" si="102"/>
        <v>1.3888888888888893</v>
      </c>
      <c r="BM68" s="65">
        <f t="shared" si="103"/>
        <v>0.80187537387448227</v>
      </c>
      <c r="BN68" s="65">
        <f t="shared" si="104"/>
        <v>1.3888888888888902</v>
      </c>
      <c r="BO68" s="65">
        <f t="shared" si="105"/>
        <v>1.3888888888888902</v>
      </c>
      <c r="BP68" s="65">
        <f t="shared" si="106"/>
        <v>2.40562612162344</v>
      </c>
      <c r="BQ68" s="90">
        <f t="shared" si="107"/>
        <v>0.80187537387448027</v>
      </c>
      <c r="BR68" s="69">
        <f t="shared" si="95"/>
        <v>100</v>
      </c>
      <c r="BS68" s="67">
        <f t="shared" si="96"/>
        <v>88.8888888888889</v>
      </c>
      <c r="BT68" s="67">
        <f t="shared" si="97"/>
        <v>75.000000000000014</v>
      </c>
      <c r="BU68" s="67">
        <f t="shared" si="98"/>
        <v>38.888888888888893</v>
      </c>
      <c r="BV68" s="67">
        <f t="shared" si="57"/>
        <v>33.333333333333336</v>
      </c>
      <c r="BW68" s="67">
        <f t="shared" si="60"/>
        <v>33.333333333333336</v>
      </c>
      <c r="BX68" s="67">
        <f t="shared" si="61"/>
        <v>33.333333333333336</v>
      </c>
      <c r="BY68" s="67">
        <f t="shared" si="62"/>
        <v>27.777777777777775</v>
      </c>
      <c r="BZ68" s="69">
        <f t="shared" si="109"/>
        <v>0</v>
      </c>
      <c r="CA68" s="67">
        <f t="shared" si="109"/>
        <v>11.1111111111111</v>
      </c>
      <c r="CB68" s="67">
        <f t="shared" si="109"/>
        <v>24.999999999999986</v>
      </c>
      <c r="CC68" s="67">
        <f t="shared" si="108"/>
        <v>61.111111111111107</v>
      </c>
      <c r="CD68" s="67">
        <f t="shared" si="108"/>
        <v>66.666666666666657</v>
      </c>
      <c r="CE68" s="67">
        <f t="shared" si="108"/>
        <v>66.666666666666657</v>
      </c>
      <c r="CF68" s="67">
        <f t="shared" si="108"/>
        <v>66.666666666666657</v>
      </c>
      <c r="CG68" s="116">
        <f t="shared" si="55"/>
        <v>72.222222222222229</v>
      </c>
    </row>
    <row r="69" spans="2:85" x14ac:dyDescent="0.3">
      <c r="B69" s="410"/>
      <c r="C69" s="413"/>
      <c r="D69" s="70" t="s">
        <v>805</v>
      </c>
      <c r="E69" s="71">
        <v>12</v>
      </c>
      <c r="F69" s="71">
        <v>12</v>
      </c>
      <c r="G69" s="72">
        <v>12</v>
      </c>
      <c r="H69" s="71">
        <f t="shared" si="99"/>
        <v>36</v>
      </c>
      <c r="I69" s="73">
        <v>10</v>
      </c>
      <c r="J69" s="73">
        <v>10</v>
      </c>
      <c r="K69" s="72">
        <v>11</v>
      </c>
      <c r="L69" s="73">
        <v>8</v>
      </c>
      <c r="M69" s="73">
        <v>9</v>
      </c>
      <c r="N69" s="72">
        <v>10</v>
      </c>
      <c r="O69" s="73">
        <v>7</v>
      </c>
      <c r="P69" s="73">
        <v>7</v>
      </c>
      <c r="Q69" s="72">
        <v>6</v>
      </c>
      <c r="R69" s="73">
        <v>4</v>
      </c>
      <c r="S69" s="73">
        <v>5</v>
      </c>
      <c r="T69" s="72">
        <v>4</v>
      </c>
      <c r="U69" s="73">
        <v>4</v>
      </c>
      <c r="V69" s="73">
        <v>5</v>
      </c>
      <c r="W69" s="72">
        <v>4</v>
      </c>
      <c r="X69" s="73">
        <v>3</v>
      </c>
      <c r="Y69" s="73">
        <v>3</v>
      </c>
      <c r="Z69" s="72">
        <v>2</v>
      </c>
      <c r="AA69" s="73">
        <v>1</v>
      </c>
      <c r="AB69" s="73">
        <v>1</v>
      </c>
      <c r="AC69" s="72">
        <v>1</v>
      </c>
      <c r="AD69" s="71">
        <f t="shared" si="63"/>
        <v>100</v>
      </c>
      <c r="AE69" s="71">
        <f t="shared" si="64"/>
        <v>100</v>
      </c>
      <c r="AF69" s="72">
        <f t="shared" si="65"/>
        <v>100</v>
      </c>
      <c r="AG69" s="71">
        <f t="shared" si="66"/>
        <v>83.333333333333343</v>
      </c>
      <c r="AH69" s="71">
        <f t="shared" si="67"/>
        <v>83.333333333333343</v>
      </c>
      <c r="AI69" s="72">
        <f t="shared" si="68"/>
        <v>91.666666666666671</v>
      </c>
      <c r="AJ69" s="71">
        <f t="shared" si="69"/>
        <v>66.666666666666671</v>
      </c>
      <c r="AK69" s="71">
        <f t="shared" si="70"/>
        <v>75</v>
      </c>
      <c r="AL69" s="72">
        <f t="shared" si="71"/>
        <v>83.333333333333343</v>
      </c>
      <c r="AM69" s="71">
        <f t="shared" si="72"/>
        <v>58.333333333333336</v>
      </c>
      <c r="AN69" s="71">
        <f t="shared" si="73"/>
        <v>58.333333333333336</v>
      </c>
      <c r="AO69" s="72">
        <f t="shared" si="74"/>
        <v>50</v>
      </c>
      <c r="AP69" s="71">
        <f t="shared" si="75"/>
        <v>33.333333333333336</v>
      </c>
      <c r="AQ69" s="71">
        <f t="shared" si="76"/>
        <v>41.666666666666671</v>
      </c>
      <c r="AR69" s="72">
        <f t="shared" si="77"/>
        <v>33.333333333333336</v>
      </c>
      <c r="AS69" s="71">
        <f t="shared" si="78"/>
        <v>33.333333333333336</v>
      </c>
      <c r="AT69" s="71">
        <f t="shared" si="79"/>
        <v>41.666666666666671</v>
      </c>
      <c r="AU69" s="72">
        <f t="shared" si="80"/>
        <v>33.333333333333336</v>
      </c>
      <c r="AV69" s="71">
        <f t="shared" si="81"/>
        <v>25</v>
      </c>
      <c r="AW69" s="71">
        <f t="shared" si="82"/>
        <v>25</v>
      </c>
      <c r="AX69" s="72">
        <f t="shared" si="83"/>
        <v>16.666666666666668</v>
      </c>
      <c r="AY69" s="71">
        <f t="shared" si="84"/>
        <v>8.3333333333333339</v>
      </c>
      <c r="AZ69" s="71">
        <f t="shared" si="85"/>
        <v>8.3333333333333339</v>
      </c>
      <c r="BA69" s="72">
        <f t="shared" si="86"/>
        <v>8.3333333333333339</v>
      </c>
      <c r="BB69" s="74">
        <f t="shared" si="87"/>
        <v>0</v>
      </c>
      <c r="BC69" s="71">
        <f t="shared" si="88"/>
        <v>4.8112522432468792</v>
      </c>
      <c r="BD69" s="71">
        <f t="shared" si="89"/>
        <v>8.3333333333333357</v>
      </c>
      <c r="BE69" s="71">
        <f t="shared" si="90"/>
        <v>4.8112522432468827</v>
      </c>
      <c r="BF69" s="71">
        <f t="shared" si="91"/>
        <v>4.8112522432468703</v>
      </c>
      <c r="BG69" s="71">
        <f t="shared" si="92"/>
        <v>4.8112522432468703</v>
      </c>
      <c r="BH69" s="71">
        <f t="shared" si="93"/>
        <v>4.8112522432468703</v>
      </c>
      <c r="BI69" s="71">
        <f t="shared" si="94"/>
        <v>0</v>
      </c>
      <c r="BJ69" s="74">
        <f t="shared" si="100"/>
        <v>0</v>
      </c>
      <c r="BK69" s="71">
        <f t="shared" si="101"/>
        <v>0.80187537387447982</v>
      </c>
      <c r="BL69" s="71">
        <f t="shared" si="102"/>
        <v>1.3888888888888893</v>
      </c>
      <c r="BM69" s="71">
        <f t="shared" si="103"/>
        <v>0.80187537387448049</v>
      </c>
      <c r="BN69" s="71">
        <f t="shared" si="104"/>
        <v>0.80187537387447838</v>
      </c>
      <c r="BO69" s="71">
        <f t="shared" si="105"/>
        <v>0.80187537387447838</v>
      </c>
      <c r="BP69" s="71">
        <f t="shared" si="106"/>
        <v>0.80187537387447838</v>
      </c>
      <c r="BQ69" s="91">
        <f t="shared" si="107"/>
        <v>0</v>
      </c>
      <c r="BR69" s="75">
        <f t="shared" si="95"/>
        <v>100</v>
      </c>
      <c r="BS69" s="73">
        <f t="shared" si="96"/>
        <v>86.111111111111128</v>
      </c>
      <c r="BT69" s="73">
        <f t="shared" si="97"/>
        <v>75.000000000000014</v>
      </c>
      <c r="BU69" s="73">
        <f t="shared" si="98"/>
        <v>55.555555555555564</v>
      </c>
      <c r="BV69" s="73">
        <f t="shared" si="57"/>
        <v>36.111111111111114</v>
      </c>
      <c r="BW69" s="73">
        <f t="shared" si="60"/>
        <v>36.111111111111114</v>
      </c>
      <c r="BX69" s="73">
        <f t="shared" si="61"/>
        <v>33.333333333333336</v>
      </c>
      <c r="BY69" s="73">
        <f t="shared" si="62"/>
        <v>27.777777777777782</v>
      </c>
      <c r="BZ69" s="75">
        <f t="shared" si="109"/>
        <v>0</v>
      </c>
      <c r="CA69" s="73">
        <f t="shared" si="109"/>
        <v>13.888888888888872</v>
      </c>
      <c r="CB69" s="73">
        <f t="shared" si="109"/>
        <v>24.999999999999986</v>
      </c>
      <c r="CC69" s="73">
        <f t="shared" si="108"/>
        <v>44.444444444444436</v>
      </c>
      <c r="CD69" s="73">
        <f t="shared" si="108"/>
        <v>63.888888888888886</v>
      </c>
      <c r="CE69" s="73">
        <f t="shared" si="108"/>
        <v>63.888888888888886</v>
      </c>
      <c r="CF69" s="73">
        <f t="shared" si="108"/>
        <v>66.666666666666657</v>
      </c>
      <c r="CG69" s="265">
        <f t="shared" si="55"/>
        <v>72.222222222222214</v>
      </c>
    </row>
    <row r="70" spans="2:85" ht="15" customHeight="1" x14ac:dyDescent="0.3">
      <c r="B70" s="408">
        <v>17</v>
      </c>
      <c r="C70" s="411" t="s">
        <v>251</v>
      </c>
      <c r="D70" s="76" t="s">
        <v>802</v>
      </c>
      <c r="E70" s="77">
        <v>12</v>
      </c>
      <c r="F70" s="77">
        <v>12</v>
      </c>
      <c r="G70" s="78">
        <v>12</v>
      </c>
      <c r="H70" s="77">
        <f t="shared" si="99"/>
        <v>36</v>
      </c>
      <c r="I70" s="79">
        <v>7</v>
      </c>
      <c r="J70" s="79">
        <v>7</v>
      </c>
      <c r="K70" s="78">
        <v>7</v>
      </c>
      <c r="L70" s="79">
        <v>5</v>
      </c>
      <c r="M70" s="79">
        <v>5</v>
      </c>
      <c r="N70" s="78">
        <v>3</v>
      </c>
      <c r="O70" s="79">
        <v>2</v>
      </c>
      <c r="P70" s="79">
        <v>1</v>
      </c>
      <c r="Q70" s="78">
        <v>1</v>
      </c>
      <c r="R70" s="79">
        <v>0</v>
      </c>
      <c r="S70" s="79">
        <v>0</v>
      </c>
      <c r="T70" s="78">
        <v>0</v>
      </c>
      <c r="U70" s="79">
        <v>0</v>
      </c>
      <c r="V70" s="79">
        <v>0</v>
      </c>
      <c r="W70" s="78">
        <v>0</v>
      </c>
      <c r="X70" s="79">
        <v>0</v>
      </c>
      <c r="Y70" s="79">
        <v>0</v>
      </c>
      <c r="Z70" s="78">
        <v>0</v>
      </c>
      <c r="AA70" s="79">
        <v>0</v>
      </c>
      <c r="AB70" s="79">
        <v>0</v>
      </c>
      <c r="AC70" s="78">
        <v>0</v>
      </c>
      <c r="AD70" s="77">
        <f t="shared" si="63"/>
        <v>100</v>
      </c>
      <c r="AE70" s="77">
        <f t="shared" si="64"/>
        <v>100</v>
      </c>
      <c r="AF70" s="78">
        <f t="shared" si="65"/>
        <v>100</v>
      </c>
      <c r="AG70" s="77">
        <f t="shared" si="66"/>
        <v>58.333333333333336</v>
      </c>
      <c r="AH70" s="77">
        <f t="shared" si="67"/>
        <v>58.333333333333336</v>
      </c>
      <c r="AI70" s="78">
        <f t="shared" si="68"/>
        <v>58.333333333333336</v>
      </c>
      <c r="AJ70" s="77">
        <f t="shared" si="69"/>
        <v>41.666666666666671</v>
      </c>
      <c r="AK70" s="77">
        <f t="shared" si="70"/>
        <v>41.666666666666671</v>
      </c>
      <c r="AL70" s="78">
        <f t="shared" si="71"/>
        <v>25</v>
      </c>
      <c r="AM70" s="77">
        <f t="shared" si="72"/>
        <v>16.666666666666668</v>
      </c>
      <c r="AN70" s="77">
        <f t="shared" si="73"/>
        <v>8.3333333333333339</v>
      </c>
      <c r="AO70" s="78">
        <f t="shared" si="74"/>
        <v>8.3333333333333339</v>
      </c>
      <c r="AP70" s="77">
        <f t="shared" si="75"/>
        <v>0</v>
      </c>
      <c r="AQ70" s="77">
        <f t="shared" si="76"/>
        <v>0</v>
      </c>
      <c r="AR70" s="78">
        <f t="shared" si="77"/>
        <v>0</v>
      </c>
      <c r="AS70" s="77">
        <f t="shared" si="78"/>
        <v>0</v>
      </c>
      <c r="AT70" s="77">
        <f t="shared" si="79"/>
        <v>0</v>
      </c>
      <c r="AU70" s="78">
        <f t="shared" si="80"/>
        <v>0</v>
      </c>
      <c r="AV70" s="77">
        <f t="shared" si="81"/>
        <v>0</v>
      </c>
      <c r="AW70" s="77">
        <f t="shared" si="82"/>
        <v>0</v>
      </c>
      <c r="AX70" s="78">
        <f t="shared" si="83"/>
        <v>0</v>
      </c>
      <c r="AY70" s="77">
        <f t="shared" si="84"/>
        <v>0</v>
      </c>
      <c r="AZ70" s="77">
        <f t="shared" si="85"/>
        <v>0</v>
      </c>
      <c r="BA70" s="78">
        <f t="shared" si="86"/>
        <v>0</v>
      </c>
      <c r="BB70" s="80">
        <f t="shared" si="87"/>
        <v>0</v>
      </c>
      <c r="BC70" s="77">
        <f t="shared" si="88"/>
        <v>0</v>
      </c>
      <c r="BD70" s="77">
        <f t="shared" si="89"/>
        <v>9.6225044864937512</v>
      </c>
      <c r="BE70" s="77">
        <f t="shared" si="90"/>
        <v>4.8112522432468818</v>
      </c>
      <c r="BF70" s="77">
        <f t="shared" si="91"/>
        <v>0</v>
      </c>
      <c r="BG70" s="77">
        <f t="shared" si="92"/>
        <v>0</v>
      </c>
      <c r="BH70" s="77">
        <f t="shared" si="93"/>
        <v>0</v>
      </c>
      <c r="BI70" s="77">
        <f t="shared" si="94"/>
        <v>0</v>
      </c>
      <c r="BJ70" s="80">
        <f t="shared" si="100"/>
        <v>0</v>
      </c>
      <c r="BK70" s="77">
        <f t="shared" si="101"/>
        <v>0</v>
      </c>
      <c r="BL70" s="77">
        <f t="shared" si="102"/>
        <v>1.6037507477489585</v>
      </c>
      <c r="BM70" s="77">
        <f t="shared" si="103"/>
        <v>0.80187537387448027</v>
      </c>
      <c r="BN70" s="77">
        <f t="shared" si="104"/>
        <v>0</v>
      </c>
      <c r="BO70" s="77">
        <f t="shared" si="105"/>
        <v>0</v>
      </c>
      <c r="BP70" s="77">
        <f t="shared" si="106"/>
        <v>0</v>
      </c>
      <c r="BQ70" s="92">
        <f t="shared" si="107"/>
        <v>0</v>
      </c>
      <c r="BR70" s="81">
        <f t="shared" si="95"/>
        <v>100</v>
      </c>
      <c r="BS70" s="79">
        <f t="shared" si="96"/>
        <v>58.333333333333336</v>
      </c>
      <c r="BT70" s="79">
        <f t="shared" si="97"/>
        <v>36.111111111111114</v>
      </c>
      <c r="BU70" s="79">
        <f t="shared" si="98"/>
        <v>11.111111111111112</v>
      </c>
      <c r="BV70" s="79">
        <f t="shared" si="57"/>
        <v>0</v>
      </c>
      <c r="BW70" s="79">
        <f t="shared" si="60"/>
        <v>0</v>
      </c>
      <c r="BX70" s="79">
        <f t="shared" si="61"/>
        <v>0</v>
      </c>
      <c r="BY70" s="79">
        <f t="shared" si="62"/>
        <v>0</v>
      </c>
      <c r="BZ70" s="81">
        <f t="shared" si="109"/>
        <v>0</v>
      </c>
      <c r="CA70" s="79">
        <f t="shared" si="109"/>
        <v>41.666666666666664</v>
      </c>
      <c r="CB70" s="79">
        <f t="shared" si="109"/>
        <v>63.888888888888886</v>
      </c>
      <c r="CC70" s="79">
        <f t="shared" si="108"/>
        <v>88.888888888888886</v>
      </c>
      <c r="CD70" s="79">
        <f t="shared" si="108"/>
        <v>100</v>
      </c>
      <c r="CE70" s="79">
        <f t="shared" si="108"/>
        <v>100</v>
      </c>
      <c r="CF70" s="79">
        <f t="shared" si="108"/>
        <v>100</v>
      </c>
      <c r="CG70" s="264">
        <f t="shared" si="55"/>
        <v>100</v>
      </c>
    </row>
    <row r="71" spans="2:85" x14ac:dyDescent="0.3">
      <c r="B71" s="409"/>
      <c r="C71" s="412"/>
      <c r="D71" s="70" t="s">
        <v>803</v>
      </c>
      <c r="E71" s="65">
        <v>12</v>
      </c>
      <c r="F71" s="65">
        <v>12</v>
      </c>
      <c r="G71" s="66">
        <v>12</v>
      </c>
      <c r="H71" s="65">
        <f t="shared" si="99"/>
        <v>36</v>
      </c>
      <c r="I71" s="67">
        <v>8</v>
      </c>
      <c r="J71" s="67">
        <v>8</v>
      </c>
      <c r="K71" s="66">
        <v>10</v>
      </c>
      <c r="L71" s="67">
        <v>7</v>
      </c>
      <c r="M71" s="67">
        <v>7</v>
      </c>
      <c r="N71" s="66">
        <v>10</v>
      </c>
      <c r="O71" s="67">
        <v>5</v>
      </c>
      <c r="P71" s="67">
        <v>3</v>
      </c>
      <c r="Q71" s="66">
        <v>6</v>
      </c>
      <c r="R71" s="67">
        <v>4</v>
      </c>
      <c r="S71" s="67">
        <v>3</v>
      </c>
      <c r="T71" s="66">
        <v>4</v>
      </c>
      <c r="U71" s="67">
        <v>3</v>
      </c>
      <c r="V71" s="67">
        <v>3</v>
      </c>
      <c r="W71" s="66">
        <v>3</v>
      </c>
      <c r="X71" s="67">
        <v>3</v>
      </c>
      <c r="Y71" s="67">
        <v>3</v>
      </c>
      <c r="Z71" s="66">
        <v>3</v>
      </c>
      <c r="AA71" s="67">
        <v>3</v>
      </c>
      <c r="AB71" s="67">
        <v>2</v>
      </c>
      <c r="AC71" s="66">
        <v>2</v>
      </c>
      <c r="AD71" s="65">
        <f t="shared" si="63"/>
        <v>100</v>
      </c>
      <c r="AE71" s="65">
        <f t="shared" si="64"/>
        <v>100</v>
      </c>
      <c r="AF71" s="66">
        <f t="shared" si="65"/>
        <v>100</v>
      </c>
      <c r="AG71" s="65">
        <f t="shared" si="66"/>
        <v>66.666666666666671</v>
      </c>
      <c r="AH71" s="65">
        <f t="shared" si="67"/>
        <v>66.666666666666671</v>
      </c>
      <c r="AI71" s="66">
        <f t="shared" si="68"/>
        <v>83.333333333333343</v>
      </c>
      <c r="AJ71" s="65">
        <f t="shared" si="69"/>
        <v>58.333333333333336</v>
      </c>
      <c r="AK71" s="65">
        <f t="shared" si="70"/>
        <v>58.333333333333336</v>
      </c>
      <c r="AL71" s="66">
        <f t="shared" si="71"/>
        <v>83.333333333333343</v>
      </c>
      <c r="AM71" s="65">
        <f t="shared" si="72"/>
        <v>41.666666666666671</v>
      </c>
      <c r="AN71" s="65">
        <f t="shared" si="73"/>
        <v>25</v>
      </c>
      <c r="AO71" s="66">
        <f t="shared" si="74"/>
        <v>50</v>
      </c>
      <c r="AP71" s="65">
        <f t="shared" si="75"/>
        <v>33.333333333333336</v>
      </c>
      <c r="AQ71" s="65">
        <f t="shared" si="76"/>
        <v>25</v>
      </c>
      <c r="AR71" s="66">
        <f t="shared" si="77"/>
        <v>33.333333333333336</v>
      </c>
      <c r="AS71" s="65">
        <f t="shared" si="78"/>
        <v>25</v>
      </c>
      <c r="AT71" s="65">
        <f t="shared" si="79"/>
        <v>25</v>
      </c>
      <c r="AU71" s="66">
        <f t="shared" si="80"/>
        <v>25</v>
      </c>
      <c r="AV71" s="65">
        <f t="shared" si="81"/>
        <v>25</v>
      </c>
      <c r="AW71" s="65">
        <f t="shared" si="82"/>
        <v>25</v>
      </c>
      <c r="AX71" s="66">
        <f t="shared" si="83"/>
        <v>25</v>
      </c>
      <c r="AY71" s="65">
        <f t="shared" si="84"/>
        <v>25</v>
      </c>
      <c r="AZ71" s="65">
        <f t="shared" si="85"/>
        <v>16.666666666666668</v>
      </c>
      <c r="BA71" s="66">
        <f t="shared" si="86"/>
        <v>16.666666666666668</v>
      </c>
      <c r="BB71" s="68">
        <f t="shared" si="87"/>
        <v>0</v>
      </c>
      <c r="BC71" s="65">
        <f t="shared" si="88"/>
        <v>9.6225044864937406</v>
      </c>
      <c r="BD71" s="65">
        <f t="shared" si="89"/>
        <v>14.433756729740665</v>
      </c>
      <c r="BE71" s="65">
        <f t="shared" si="90"/>
        <v>12.729376930432885</v>
      </c>
      <c r="BF71" s="65">
        <f t="shared" si="91"/>
        <v>4.8112522432468703</v>
      </c>
      <c r="BG71" s="65">
        <f t="shared" si="92"/>
        <v>0</v>
      </c>
      <c r="BH71" s="65">
        <f t="shared" si="93"/>
        <v>0</v>
      </c>
      <c r="BI71" s="65">
        <f t="shared" si="94"/>
        <v>4.8112522432468703</v>
      </c>
      <c r="BJ71" s="68">
        <f t="shared" si="100"/>
        <v>0</v>
      </c>
      <c r="BK71" s="65">
        <f t="shared" si="101"/>
        <v>1.6037507477489568</v>
      </c>
      <c r="BL71" s="65">
        <f t="shared" si="102"/>
        <v>2.405626121623444</v>
      </c>
      <c r="BM71" s="65">
        <f t="shared" si="103"/>
        <v>2.1215628217388143</v>
      </c>
      <c r="BN71" s="65">
        <f t="shared" si="104"/>
        <v>0.80187537387447838</v>
      </c>
      <c r="BO71" s="65">
        <f t="shared" si="105"/>
        <v>0</v>
      </c>
      <c r="BP71" s="65">
        <f t="shared" si="106"/>
        <v>0</v>
      </c>
      <c r="BQ71" s="90">
        <f t="shared" si="107"/>
        <v>0.80187537387447838</v>
      </c>
      <c r="BR71" s="69">
        <f t="shared" si="95"/>
        <v>100</v>
      </c>
      <c r="BS71" s="67">
        <f t="shared" si="96"/>
        <v>72.222222222222229</v>
      </c>
      <c r="BT71" s="67">
        <f t="shared" si="97"/>
        <v>66.666666666666671</v>
      </c>
      <c r="BU71" s="67">
        <f t="shared" si="98"/>
        <v>38.888888888888893</v>
      </c>
      <c r="BV71" s="67">
        <f t="shared" si="57"/>
        <v>30.555555555555557</v>
      </c>
      <c r="BW71" s="67">
        <f t="shared" si="60"/>
        <v>25</v>
      </c>
      <c r="BX71" s="67">
        <f t="shared" si="61"/>
        <v>25</v>
      </c>
      <c r="BY71" s="67">
        <f t="shared" si="62"/>
        <v>25</v>
      </c>
      <c r="BZ71" s="69">
        <f t="shared" si="109"/>
        <v>0</v>
      </c>
      <c r="CA71" s="67">
        <f t="shared" si="109"/>
        <v>27.777777777777771</v>
      </c>
      <c r="CB71" s="67">
        <f t="shared" si="109"/>
        <v>33.333333333333329</v>
      </c>
      <c r="CC71" s="67">
        <f t="shared" si="108"/>
        <v>61.111111111111107</v>
      </c>
      <c r="CD71" s="67">
        <f t="shared" si="108"/>
        <v>69.444444444444443</v>
      </c>
      <c r="CE71" s="67">
        <f t="shared" si="108"/>
        <v>75</v>
      </c>
      <c r="CF71" s="67">
        <f t="shared" si="108"/>
        <v>75</v>
      </c>
      <c r="CG71" s="116">
        <f t="shared" si="55"/>
        <v>75</v>
      </c>
    </row>
    <row r="72" spans="2:85" x14ac:dyDescent="0.3">
      <c r="B72" s="409"/>
      <c r="C72" s="412"/>
      <c r="D72" s="70" t="s">
        <v>804</v>
      </c>
      <c r="E72" s="65">
        <v>12</v>
      </c>
      <c r="F72" s="65">
        <v>12</v>
      </c>
      <c r="G72" s="66">
        <v>12</v>
      </c>
      <c r="H72" s="65">
        <f t="shared" si="99"/>
        <v>36</v>
      </c>
      <c r="I72" s="67">
        <v>10</v>
      </c>
      <c r="J72" s="67">
        <v>9</v>
      </c>
      <c r="K72" s="66">
        <v>11</v>
      </c>
      <c r="L72" s="67">
        <v>8</v>
      </c>
      <c r="M72" s="67">
        <v>5</v>
      </c>
      <c r="N72" s="66">
        <v>9</v>
      </c>
      <c r="O72" s="67">
        <v>6</v>
      </c>
      <c r="P72" s="67">
        <v>2</v>
      </c>
      <c r="Q72" s="66">
        <v>8</v>
      </c>
      <c r="R72" s="67">
        <v>6</v>
      </c>
      <c r="S72" s="67">
        <v>2</v>
      </c>
      <c r="T72" s="66">
        <v>6</v>
      </c>
      <c r="U72" s="67">
        <v>4</v>
      </c>
      <c r="V72" s="67">
        <v>2</v>
      </c>
      <c r="W72" s="66">
        <v>6</v>
      </c>
      <c r="X72" s="67">
        <v>4</v>
      </c>
      <c r="Y72" s="67">
        <v>2</v>
      </c>
      <c r="Z72" s="66">
        <v>5</v>
      </c>
      <c r="AA72" s="67">
        <v>4</v>
      </c>
      <c r="AB72" s="67">
        <v>2</v>
      </c>
      <c r="AC72" s="66">
        <v>5</v>
      </c>
      <c r="AD72" s="65">
        <f t="shared" si="63"/>
        <v>100</v>
      </c>
      <c r="AE72" s="65">
        <f t="shared" si="64"/>
        <v>100</v>
      </c>
      <c r="AF72" s="66">
        <f t="shared" si="65"/>
        <v>100</v>
      </c>
      <c r="AG72" s="65">
        <f t="shared" si="66"/>
        <v>83.333333333333343</v>
      </c>
      <c r="AH72" s="65">
        <f t="shared" si="67"/>
        <v>75</v>
      </c>
      <c r="AI72" s="66">
        <f t="shared" si="68"/>
        <v>91.666666666666671</v>
      </c>
      <c r="AJ72" s="65">
        <f t="shared" si="69"/>
        <v>66.666666666666671</v>
      </c>
      <c r="AK72" s="65">
        <f t="shared" si="70"/>
        <v>41.666666666666671</v>
      </c>
      <c r="AL72" s="66">
        <f t="shared" si="71"/>
        <v>75</v>
      </c>
      <c r="AM72" s="65">
        <f t="shared" si="72"/>
        <v>50</v>
      </c>
      <c r="AN72" s="65">
        <f t="shared" si="73"/>
        <v>16.666666666666668</v>
      </c>
      <c r="AO72" s="66">
        <f t="shared" si="74"/>
        <v>66.666666666666671</v>
      </c>
      <c r="AP72" s="65">
        <f t="shared" si="75"/>
        <v>50</v>
      </c>
      <c r="AQ72" s="65">
        <f t="shared" si="76"/>
        <v>16.666666666666668</v>
      </c>
      <c r="AR72" s="66">
        <f t="shared" si="77"/>
        <v>50</v>
      </c>
      <c r="AS72" s="65">
        <f t="shared" si="78"/>
        <v>33.333333333333336</v>
      </c>
      <c r="AT72" s="65">
        <f t="shared" si="79"/>
        <v>16.666666666666668</v>
      </c>
      <c r="AU72" s="66">
        <f t="shared" si="80"/>
        <v>50</v>
      </c>
      <c r="AV72" s="65">
        <f t="shared" si="81"/>
        <v>33.333333333333336</v>
      </c>
      <c r="AW72" s="65">
        <f t="shared" si="82"/>
        <v>16.666666666666668</v>
      </c>
      <c r="AX72" s="66">
        <f t="shared" si="83"/>
        <v>41.666666666666671</v>
      </c>
      <c r="AY72" s="65">
        <f t="shared" si="84"/>
        <v>33.333333333333336</v>
      </c>
      <c r="AZ72" s="65">
        <f t="shared" si="85"/>
        <v>16.666666666666668</v>
      </c>
      <c r="BA72" s="66">
        <f t="shared" si="86"/>
        <v>41.666666666666671</v>
      </c>
      <c r="BB72" s="68">
        <f t="shared" si="87"/>
        <v>0</v>
      </c>
      <c r="BC72" s="65">
        <f t="shared" si="88"/>
        <v>8.3333333333333357</v>
      </c>
      <c r="BD72" s="65">
        <f t="shared" si="89"/>
        <v>17.34721666221775</v>
      </c>
      <c r="BE72" s="65">
        <f t="shared" si="90"/>
        <v>25.45875386086577</v>
      </c>
      <c r="BF72" s="65">
        <f t="shared" si="91"/>
        <v>19.245008972987517</v>
      </c>
      <c r="BG72" s="65">
        <f t="shared" si="92"/>
        <v>16.666666666666668</v>
      </c>
      <c r="BH72" s="65">
        <f t="shared" si="93"/>
        <v>12.729376930432894</v>
      </c>
      <c r="BI72" s="65">
        <f t="shared" si="94"/>
        <v>12.729376930432894</v>
      </c>
      <c r="BJ72" s="68">
        <f t="shared" si="100"/>
        <v>0</v>
      </c>
      <c r="BK72" s="65">
        <f t="shared" si="101"/>
        <v>1.3888888888888893</v>
      </c>
      <c r="BL72" s="65">
        <f t="shared" si="102"/>
        <v>2.8912027770362916</v>
      </c>
      <c r="BM72" s="65">
        <f t="shared" si="103"/>
        <v>4.2431256434776286</v>
      </c>
      <c r="BN72" s="65">
        <f t="shared" si="104"/>
        <v>3.2075014954979193</v>
      </c>
      <c r="BO72" s="65">
        <f t="shared" si="105"/>
        <v>2.7777777777777781</v>
      </c>
      <c r="BP72" s="65">
        <f t="shared" si="106"/>
        <v>2.1215628217388156</v>
      </c>
      <c r="BQ72" s="90">
        <f t="shared" si="107"/>
        <v>2.1215628217388156</v>
      </c>
      <c r="BR72" s="69">
        <f t="shared" si="95"/>
        <v>100</v>
      </c>
      <c r="BS72" s="67">
        <f t="shared" si="96"/>
        <v>83.333333333333329</v>
      </c>
      <c r="BT72" s="67">
        <f t="shared" si="97"/>
        <v>61.111111111111114</v>
      </c>
      <c r="BU72" s="67">
        <f t="shared" si="98"/>
        <v>44.44444444444445</v>
      </c>
      <c r="BV72" s="67">
        <f t="shared" si="57"/>
        <v>38.888888888888893</v>
      </c>
      <c r="BW72" s="67">
        <f t="shared" si="60"/>
        <v>33.333333333333336</v>
      </c>
      <c r="BX72" s="67">
        <f t="shared" si="61"/>
        <v>33.333333333333336</v>
      </c>
      <c r="BY72" s="67">
        <f t="shared" si="62"/>
        <v>33.333333333333336</v>
      </c>
      <c r="BZ72" s="69">
        <f t="shared" si="109"/>
        <v>0</v>
      </c>
      <c r="CA72" s="67">
        <f t="shared" si="109"/>
        <v>16.666666666666671</v>
      </c>
      <c r="CB72" s="67">
        <f t="shared" si="109"/>
        <v>38.888888888888886</v>
      </c>
      <c r="CC72" s="67">
        <f t="shared" si="108"/>
        <v>55.55555555555555</v>
      </c>
      <c r="CD72" s="67">
        <f t="shared" si="108"/>
        <v>61.111111111111107</v>
      </c>
      <c r="CE72" s="67">
        <f t="shared" si="108"/>
        <v>66.666666666666657</v>
      </c>
      <c r="CF72" s="67">
        <f t="shared" si="108"/>
        <v>66.666666666666657</v>
      </c>
      <c r="CG72" s="116">
        <f t="shared" si="55"/>
        <v>66.666666666666657</v>
      </c>
    </row>
    <row r="73" spans="2:85" x14ac:dyDescent="0.3">
      <c r="B73" s="410"/>
      <c r="C73" s="413"/>
      <c r="D73" s="70" t="s">
        <v>805</v>
      </c>
      <c r="E73" s="71">
        <v>12</v>
      </c>
      <c r="F73" s="71">
        <v>12</v>
      </c>
      <c r="G73" s="72">
        <v>12</v>
      </c>
      <c r="H73" s="71">
        <f t="shared" si="99"/>
        <v>36</v>
      </c>
      <c r="I73" s="73">
        <v>9</v>
      </c>
      <c r="J73" s="73">
        <v>11</v>
      </c>
      <c r="K73" s="72">
        <v>11</v>
      </c>
      <c r="L73" s="73">
        <v>8</v>
      </c>
      <c r="M73" s="73">
        <v>9</v>
      </c>
      <c r="N73" s="72">
        <v>8</v>
      </c>
      <c r="O73" s="73">
        <v>8</v>
      </c>
      <c r="P73" s="73">
        <v>8</v>
      </c>
      <c r="Q73" s="72">
        <v>6</v>
      </c>
      <c r="R73" s="73">
        <v>6</v>
      </c>
      <c r="S73" s="73">
        <v>8</v>
      </c>
      <c r="T73" s="72">
        <v>6</v>
      </c>
      <c r="U73" s="73">
        <v>5</v>
      </c>
      <c r="V73" s="73">
        <v>7</v>
      </c>
      <c r="W73" s="72">
        <v>6</v>
      </c>
      <c r="X73" s="73">
        <v>5</v>
      </c>
      <c r="Y73" s="73">
        <v>7</v>
      </c>
      <c r="Z73" s="72">
        <v>6</v>
      </c>
      <c r="AA73" s="73">
        <v>5</v>
      </c>
      <c r="AB73" s="73">
        <v>7</v>
      </c>
      <c r="AC73" s="72">
        <v>6</v>
      </c>
      <c r="AD73" s="71">
        <f t="shared" si="63"/>
        <v>100</v>
      </c>
      <c r="AE73" s="71">
        <f t="shared" si="64"/>
        <v>100</v>
      </c>
      <c r="AF73" s="72">
        <f t="shared" si="65"/>
        <v>100</v>
      </c>
      <c r="AG73" s="71">
        <f t="shared" si="66"/>
        <v>75</v>
      </c>
      <c r="AH73" s="71">
        <f t="shared" si="67"/>
        <v>91.666666666666671</v>
      </c>
      <c r="AI73" s="72">
        <f t="shared" si="68"/>
        <v>91.666666666666671</v>
      </c>
      <c r="AJ73" s="71">
        <f t="shared" si="69"/>
        <v>66.666666666666671</v>
      </c>
      <c r="AK73" s="71">
        <f t="shared" si="70"/>
        <v>75</v>
      </c>
      <c r="AL73" s="72">
        <f t="shared" si="71"/>
        <v>66.666666666666671</v>
      </c>
      <c r="AM73" s="71">
        <f t="shared" si="72"/>
        <v>66.666666666666671</v>
      </c>
      <c r="AN73" s="71">
        <f t="shared" si="73"/>
        <v>66.666666666666671</v>
      </c>
      <c r="AO73" s="72">
        <f t="shared" si="74"/>
        <v>50</v>
      </c>
      <c r="AP73" s="71">
        <f t="shared" si="75"/>
        <v>50</v>
      </c>
      <c r="AQ73" s="71">
        <f t="shared" si="76"/>
        <v>66.666666666666671</v>
      </c>
      <c r="AR73" s="72">
        <f t="shared" si="77"/>
        <v>50</v>
      </c>
      <c r="AS73" s="71">
        <f t="shared" si="78"/>
        <v>41.666666666666671</v>
      </c>
      <c r="AT73" s="71">
        <f t="shared" si="79"/>
        <v>58.333333333333336</v>
      </c>
      <c r="AU73" s="72">
        <f t="shared" si="80"/>
        <v>50</v>
      </c>
      <c r="AV73" s="71">
        <f t="shared" si="81"/>
        <v>41.666666666666671</v>
      </c>
      <c r="AW73" s="71">
        <f t="shared" si="82"/>
        <v>58.333333333333336</v>
      </c>
      <c r="AX73" s="72">
        <f t="shared" si="83"/>
        <v>50</v>
      </c>
      <c r="AY73" s="71">
        <f t="shared" si="84"/>
        <v>41.666666666666671</v>
      </c>
      <c r="AZ73" s="71">
        <f t="shared" si="85"/>
        <v>58.333333333333336</v>
      </c>
      <c r="BA73" s="72">
        <f t="shared" si="86"/>
        <v>50</v>
      </c>
      <c r="BB73" s="74">
        <f t="shared" si="87"/>
        <v>0</v>
      </c>
      <c r="BC73" s="71">
        <f t="shared" si="88"/>
        <v>9.6225044864937654</v>
      </c>
      <c r="BD73" s="71">
        <f t="shared" si="89"/>
        <v>4.8112522432468792</v>
      </c>
      <c r="BE73" s="71">
        <f t="shared" si="90"/>
        <v>9.6225044864937406</v>
      </c>
      <c r="BF73" s="71">
        <f t="shared" si="91"/>
        <v>9.6225044864937406</v>
      </c>
      <c r="BG73" s="71">
        <f t="shared" si="92"/>
        <v>8.3333333333333552</v>
      </c>
      <c r="BH73" s="71">
        <f t="shared" si="93"/>
        <v>8.3333333333333552</v>
      </c>
      <c r="BI73" s="71">
        <f t="shared" si="94"/>
        <v>8.3333333333333552</v>
      </c>
      <c r="BJ73" s="74">
        <f t="shared" si="100"/>
        <v>0</v>
      </c>
      <c r="BK73" s="71">
        <f t="shared" si="101"/>
        <v>1.603750747748961</v>
      </c>
      <c r="BL73" s="71">
        <f t="shared" si="102"/>
        <v>0.80187537387447982</v>
      </c>
      <c r="BM73" s="71">
        <f t="shared" si="103"/>
        <v>1.6037507477489568</v>
      </c>
      <c r="BN73" s="71">
        <f t="shared" si="104"/>
        <v>1.6037507477489568</v>
      </c>
      <c r="BO73" s="71">
        <f t="shared" si="105"/>
        <v>1.3888888888888926</v>
      </c>
      <c r="BP73" s="71">
        <f t="shared" si="106"/>
        <v>1.3888888888888926</v>
      </c>
      <c r="BQ73" s="91">
        <f t="shared" si="107"/>
        <v>1.3888888888888926</v>
      </c>
      <c r="BR73" s="75">
        <f t="shared" si="95"/>
        <v>100</v>
      </c>
      <c r="BS73" s="73">
        <f t="shared" si="96"/>
        <v>86.111111111111128</v>
      </c>
      <c r="BT73" s="73">
        <f t="shared" si="97"/>
        <v>69.444444444444457</v>
      </c>
      <c r="BU73" s="73">
        <f t="shared" si="98"/>
        <v>61.111111111111114</v>
      </c>
      <c r="BV73" s="73">
        <f t="shared" si="57"/>
        <v>55.555555555555564</v>
      </c>
      <c r="BW73" s="73">
        <f t="shared" si="60"/>
        <v>50</v>
      </c>
      <c r="BX73" s="73">
        <f t="shared" si="61"/>
        <v>50</v>
      </c>
      <c r="BY73" s="73">
        <f t="shared" si="62"/>
        <v>50</v>
      </c>
      <c r="BZ73" s="75">
        <f t="shared" si="109"/>
        <v>0</v>
      </c>
      <c r="CA73" s="73">
        <f t="shared" si="109"/>
        <v>13.888888888888872</v>
      </c>
      <c r="CB73" s="73">
        <f t="shared" si="109"/>
        <v>30.555555555555543</v>
      </c>
      <c r="CC73" s="73">
        <f t="shared" si="108"/>
        <v>38.888888888888886</v>
      </c>
      <c r="CD73" s="73">
        <f t="shared" si="108"/>
        <v>44.444444444444436</v>
      </c>
      <c r="CE73" s="73">
        <f t="shared" si="108"/>
        <v>50</v>
      </c>
      <c r="CF73" s="73">
        <f t="shared" si="108"/>
        <v>50</v>
      </c>
      <c r="CG73" s="265">
        <f t="shared" si="55"/>
        <v>50</v>
      </c>
    </row>
    <row r="74" spans="2:85" ht="15" customHeight="1" x14ac:dyDescent="0.3">
      <c r="B74" s="408">
        <v>18</v>
      </c>
      <c r="C74" s="411" t="s">
        <v>260</v>
      </c>
      <c r="D74" s="76" t="s">
        <v>802</v>
      </c>
      <c r="E74" s="77">
        <v>12</v>
      </c>
      <c r="F74" s="77">
        <v>12</v>
      </c>
      <c r="G74" s="78">
        <v>12</v>
      </c>
      <c r="H74" s="77">
        <f t="shared" si="99"/>
        <v>36</v>
      </c>
      <c r="I74" s="79">
        <v>11</v>
      </c>
      <c r="J74" s="79">
        <v>9</v>
      </c>
      <c r="K74" s="78">
        <v>11</v>
      </c>
      <c r="L74" s="79">
        <v>5</v>
      </c>
      <c r="M74" s="79">
        <v>7</v>
      </c>
      <c r="N74" s="78">
        <v>6</v>
      </c>
      <c r="O74" s="79">
        <v>2</v>
      </c>
      <c r="P74" s="79">
        <v>0</v>
      </c>
      <c r="Q74" s="78">
        <v>3</v>
      </c>
      <c r="R74" s="79">
        <v>0</v>
      </c>
      <c r="S74" s="79">
        <v>0</v>
      </c>
      <c r="T74" s="78">
        <v>0</v>
      </c>
      <c r="U74" s="79">
        <v>0</v>
      </c>
      <c r="V74" s="79">
        <v>0</v>
      </c>
      <c r="W74" s="78">
        <v>0</v>
      </c>
      <c r="X74" s="79">
        <v>0</v>
      </c>
      <c r="Y74" s="79">
        <v>0</v>
      </c>
      <c r="Z74" s="78">
        <v>0</v>
      </c>
      <c r="AA74" s="79">
        <v>0</v>
      </c>
      <c r="AB74" s="79">
        <v>0</v>
      </c>
      <c r="AC74" s="78">
        <v>0</v>
      </c>
      <c r="AD74" s="77">
        <f t="shared" si="63"/>
        <v>100</v>
      </c>
      <c r="AE74" s="77">
        <f t="shared" si="64"/>
        <v>100</v>
      </c>
      <c r="AF74" s="78">
        <f t="shared" si="65"/>
        <v>100</v>
      </c>
      <c r="AG74" s="77">
        <f t="shared" si="66"/>
        <v>91.666666666666671</v>
      </c>
      <c r="AH74" s="77">
        <f t="shared" si="67"/>
        <v>75</v>
      </c>
      <c r="AI74" s="78">
        <f t="shared" si="68"/>
        <v>91.666666666666671</v>
      </c>
      <c r="AJ74" s="77">
        <f t="shared" si="69"/>
        <v>41.666666666666671</v>
      </c>
      <c r="AK74" s="77">
        <f t="shared" si="70"/>
        <v>58.333333333333336</v>
      </c>
      <c r="AL74" s="78">
        <f t="shared" si="71"/>
        <v>50</v>
      </c>
      <c r="AM74" s="77">
        <f t="shared" si="72"/>
        <v>16.666666666666668</v>
      </c>
      <c r="AN74" s="77">
        <f t="shared" si="73"/>
        <v>0</v>
      </c>
      <c r="AO74" s="78">
        <f t="shared" si="74"/>
        <v>25</v>
      </c>
      <c r="AP74" s="77">
        <f t="shared" si="75"/>
        <v>0</v>
      </c>
      <c r="AQ74" s="77">
        <f t="shared" si="76"/>
        <v>0</v>
      </c>
      <c r="AR74" s="78">
        <f t="shared" si="77"/>
        <v>0</v>
      </c>
      <c r="AS74" s="77">
        <f t="shared" si="78"/>
        <v>0</v>
      </c>
      <c r="AT74" s="77">
        <f t="shared" si="79"/>
        <v>0</v>
      </c>
      <c r="AU74" s="78">
        <f t="shared" si="80"/>
        <v>0</v>
      </c>
      <c r="AV74" s="77">
        <f t="shared" si="81"/>
        <v>0</v>
      </c>
      <c r="AW74" s="77">
        <f t="shared" si="82"/>
        <v>0</v>
      </c>
      <c r="AX74" s="78">
        <f t="shared" si="83"/>
        <v>0</v>
      </c>
      <c r="AY74" s="77">
        <f t="shared" si="84"/>
        <v>0</v>
      </c>
      <c r="AZ74" s="77">
        <f t="shared" si="85"/>
        <v>0</v>
      </c>
      <c r="BA74" s="78">
        <f t="shared" si="86"/>
        <v>0</v>
      </c>
      <c r="BB74" s="80">
        <f t="shared" si="87"/>
        <v>0</v>
      </c>
      <c r="BC74" s="77">
        <f t="shared" si="88"/>
        <v>9.6225044864937654</v>
      </c>
      <c r="BD74" s="77">
        <f t="shared" si="89"/>
        <v>8.3333333333333552</v>
      </c>
      <c r="BE74" s="77">
        <f t="shared" si="90"/>
        <v>12.729376930432888</v>
      </c>
      <c r="BF74" s="77">
        <f t="shared" si="91"/>
        <v>0</v>
      </c>
      <c r="BG74" s="77">
        <f t="shared" si="92"/>
        <v>0</v>
      </c>
      <c r="BH74" s="77">
        <f t="shared" si="93"/>
        <v>0</v>
      </c>
      <c r="BI74" s="77">
        <f t="shared" si="94"/>
        <v>0</v>
      </c>
      <c r="BJ74" s="80">
        <f t="shared" si="100"/>
        <v>0</v>
      </c>
      <c r="BK74" s="77">
        <f t="shared" si="101"/>
        <v>1.603750747748961</v>
      </c>
      <c r="BL74" s="77">
        <f t="shared" si="102"/>
        <v>1.3888888888888926</v>
      </c>
      <c r="BM74" s="77">
        <f t="shared" si="103"/>
        <v>2.1215628217388147</v>
      </c>
      <c r="BN74" s="77">
        <f t="shared" si="104"/>
        <v>0</v>
      </c>
      <c r="BO74" s="77">
        <f t="shared" si="105"/>
        <v>0</v>
      </c>
      <c r="BP74" s="77">
        <f t="shared" si="106"/>
        <v>0</v>
      </c>
      <c r="BQ74" s="92">
        <f t="shared" si="107"/>
        <v>0</v>
      </c>
      <c r="BR74" s="81">
        <f t="shared" si="95"/>
        <v>100</v>
      </c>
      <c r="BS74" s="79">
        <f t="shared" si="96"/>
        <v>86.111111111111128</v>
      </c>
      <c r="BT74" s="79">
        <f t="shared" si="97"/>
        <v>50</v>
      </c>
      <c r="BU74" s="79">
        <f t="shared" si="98"/>
        <v>13.888888888888891</v>
      </c>
      <c r="BV74" s="79">
        <f t="shared" si="57"/>
        <v>0</v>
      </c>
      <c r="BW74" s="79">
        <f t="shared" si="60"/>
        <v>0</v>
      </c>
      <c r="BX74" s="79">
        <f t="shared" si="61"/>
        <v>0</v>
      </c>
      <c r="BY74" s="79">
        <f t="shared" si="62"/>
        <v>0</v>
      </c>
      <c r="BZ74" s="81">
        <f t="shared" si="109"/>
        <v>0</v>
      </c>
      <c r="CA74" s="79">
        <f t="shared" si="109"/>
        <v>13.888888888888872</v>
      </c>
      <c r="CB74" s="79">
        <f t="shared" si="109"/>
        <v>50</v>
      </c>
      <c r="CC74" s="79">
        <f t="shared" si="108"/>
        <v>86.111111111111114</v>
      </c>
      <c r="CD74" s="79">
        <f t="shared" si="108"/>
        <v>100</v>
      </c>
      <c r="CE74" s="79">
        <f t="shared" si="108"/>
        <v>100</v>
      </c>
      <c r="CF74" s="79">
        <f t="shared" si="108"/>
        <v>100</v>
      </c>
      <c r="CG74" s="264">
        <f t="shared" si="55"/>
        <v>100</v>
      </c>
    </row>
    <row r="75" spans="2:85" x14ac:dyDescent="0.3">
      <c r="B75" s="409"/>
      <c r="C75" s="412"/>
      <c r="D75" s="70" t="s">
        <v>803</v>
      </c>
      <c r="E75" s="65">
        <v>12</v>
      </c>
      <c r="F75" s="65">
        <v>12</v>
      </c>
      <c r="G75" s="66">
        <v>12</v>
      </c>
      <c r="H75" s="65">
        <f t="shared" si="99"/>
        <v>36</v>
      </c>
      <c r="I75" s="67">
        <v>10</v>
      </c>
      <c r="J75" s="67">
        <v>10</v>
      </c>
      <c r="K75" s="66">
        <v>11</v>
      </c>
      <c r="L75" s="67">
        <v>8</v>
      </c>
      <c r="M75" s="67">
        <v>7</v>
      </c>
      <c r="N75" s="66">
        <v>10</v>
      </c>
      <c r="O75" s="67">
        <v>4</v>
      </c>
      <c r="P75" s="67">
        <v>4</v>
      </c>
      <c r="Q75" s="66">
        <v>7</v>
      </c>
      <c r="R75" s="67">
        <v>1</v>
      </c>
      <c r="S75" s="67">
        <v>3</v>
      </c>
      <c r="T75" s="66">
        <v>2</v>
      </c>
      <c r="U75" s="67">
        <v>0</v>
      </c>
      <c r="V75" s="67">
        <v>1</v>
      </c>
      <c r="W75" s="66">
        <v>2</v>
      </c>
      <c r="X75" s="67">
        <v>0</v>
      </c>
      <c r="Y75" s="67">
        <v>0</v>
      </c>
      <c r="Z75" s="66">
        <v>0</v>
      </c>
      <c r="AA75" s="67">
        <v>0</v>
      </c>
      <c r="AB75" s="67">
        <v>0</v>
      </c>
      <c r="AC75" s="66">
        <v>0</v>
      </c>
      <c r="AD75" s="65">
        <f t="shared" si="63"/>
        <v>100</v>
      </c>
      <c r="AE75" s="65">
        <f t="shared" si="64"/>
        <v>100</v>
      </c>
      <c r="AF75" s="66">
        <f t="shared" si="65"/>
        <v>100</v>
      </c>
      <c r="AG75" s="65">
        <f t="shared" si="66"/>
        <v>83.333333333333343</v>
      </c>
      <c r="AH75" s="65">
        <f t="shared" si="67"/>
        <v>83.333333333333343</v>
      </c>
      <c r="AI75" s="66">
        <f t="shared" si="68"/>
        <v>91.666666666666671</v>
      </c>
      <c r="AJ75" s="65">
        <f t="shared" si="69"/>
        <v>66.666666666666671</v>
      </c>
      <c r="AK75" s="65">
        <f t="shared" si="70"/>
        <v>58.333333333333336</v>
      </c>
      <c r="AL75" s="66">
        <f t="shared" si="71"/>
        <v>83.333333333333343</v>
      </c>
      <c r="AM75" s="65">
        <f t="shared" si="72"/>
        <v>33.333333333333336</v>
      </c>
      <c r="AN75" s="65">
        <f t="shared" si="73"/>
        <v>33.333333333333336</v>
      </c>
      <c r="AO75" s="66">
        <f t="shared" si="74"/>
        <v>58.333333333333336</v>
      </c>
      <c r="AP75" s="65">
        <f t="shared" si="75"/>
        <v>8.3333333333333339</v>
      </c>
      <c r="AQ75" s="65">
        <f t="shared" si="76"/>
        <v>25</v>
      </c>
      <c r="AR75" s="66">
        <f t="shared" si="77"/>
        <v>16.666666666666668</v>
      </c>
      <c r="AS75" s="65">
        <f t="shared" si="78"/>
        <v>0</v>
      </c>
      <c r="AT75" s="65">
        <f t="shared" si="79"/>
        <v>8.3333333333333339</v>
      </c>
      <c r="AU75" s="66">
        <f t="shared" si="80"/>
        <v>16.666666666666668</v>
      </c>
      <c r="AV75" s="65">
        <f t="shared" si="81"/>
        <v>0</v>
      </c>
      <c r="AW75" s="65">
        <f t="shared" si="82"/>
        <v>0</v>
      </c>
      <c r="AX75" s="66">
        <f t="shared" si="83"/>
        <v>0</v>
      </c>
      <c r="AY75" s="65">
        <f t="shared" si="84"/>
        <v>0</v>
      </c>
      <c r="AZ75" s="65">
        <f t="shared" si="85"/>
        <v>0</v>
      </c>
      <c r="BA75" s="66">
        <f t="shared" si="86"/>
        <v>0</v>
      </c>
      <c r="BB75" s="68">
        <f t="shared" si="87"/>
        <v>0</v>
      </c>
      <c r="BC75" s="65">
        <f t="shared" si="88"/>
        <v>4.8112522432468792</v>
      </c>
      <c r="BD75" s="65">
        <f t="shared" si="89"/>
        <v>12.729376930432904</v>
      </c>
      <c r="BE75" s="65">
        <f t="shared" si="90"/>
        <v>14.433756729740649</v>
      </c>
      <c r="BF75" s="65">
        <f t="shared" si="91"/>
        <v>8.3333333333333339</v>
      </c>
      <c r="BG75" s="65">
        <f t="shared" si="92"/>
        <v>8.3333333333333357</v>
      </c>
      <c r="BH75" s="65">
        <f t="shared" si="93"/>
        <v>0</v>
      </c>
      <c r="BI75" s="65">
        <f t="shared" si="94"/>
        <v>0</v>
      </c>
      <c r="BJ75" s="68">
        <f t="shared" si="100"/>
        <v>0</v>
      </c>
      <c r="BK75" s="65">
        <f t="shared" si="101"/>
        <v>0.80187537387447982</v>
      </c>
      <c r="BL75" s="65">
        <f t="shared" si="102"/>
        <v>2.1215628217388174</v>
      </c>
      <c r="BM75" s="65">
        <f t="shared" si="103"/>
        <v>2.4056261216234414</v>
      </c>
      <c r="BN75" s="65">
        <f t="shared" si="104"/>
        <v>1.3888888888888891</v>
      </c>
      <c r="BO75" s="65">
        <f t="shared" si="105"/>
        <v>1.3888888888888893</v>
      </c>
      <c r="BP75" s="65">
        <f t="shared" si="106"/>
        <v>0</v>
      </c>
      <c r="BQ75" s="90">
        <f t="shared" si="107"/>
        <v>0</v>
      </c>
      <c r="BR75" s="69">
        <f t="shared" si="95"/>
        <v>100</v>
      </c>
      <c r="BS75" s="67">
        <f t="shared" si="96"/>
        <v>86.111111111111128</v>
      </c>
      <c r="BT75" s="67">
        <f t="shared" si="97"/>
        <v>69.444444444444443</v>
      </c>
      <c r="BU75" s="67">
        <f t="shared" si="98"/>
        <v>41.666666666666664</v>
      </c>
      <c r="BV75" s="67">
        <f t="shared" si="57"/>
        <v>16.666666666666668</v>
      </c>
      <c r="BW75" s="67">
        <f t="shared" si="60"/>
        <v>8.3333333333333339</v>
      </c>
      <c r="BX75" s="67">
        <f t="shared" si="61"/>
        <v>8.3333333333333339</v>
      </c>
      <c r="BY75" s="67">
        <f t="shared" si="62"/>
        <v>5.5555555555555562</v>
      </c>
      <c r="BZ75" s="69">
        <f t="shared" si="109"/>
        <v>0</v>
      </c>
      <c r="CA75" s="67">
        <f t="shared" si="109"/>
        <v>13.888888888888872</v>
      </c>
      <c r="CB75" s="67">
        <f t="shared" si="109"/>
        <v>30.555555555555557</v>
      </c>
      <c r="CC75" s="67">
        <f t="shared" si="108"/>
        <v>58.333333333333336</v>
      </c>
      <c r="CD75" s="67">
        <f t="shared" si="108"/>
        <v>83.333333333333329</v>
      </c>
      <c r="CE75" s="67">
        <f t="shared" si="108"/>
        <v>91.666666666666671</v>
      </c>
      <c r="CF75" s="67">
        <f t="shared" si="108"/>
        <v>91.666666666666671</v>
      </c>
      <c r="CG75" s="116">
        <f t="shared" si="55"/>
        <v>94.444444444444443</v>
      </c>
    </row>
    <row r="76" spans="2:85" x14ac:dyDescent="0.3">
      <c r="B76" s="409"/>
      <c r="C76" s="412"/>
      <c r="D76" s="70" t="s">
        <v>804</v>
      </c>
      <c r="E76" s="65">
        <v>12</v>
      </c>
      <c r="F76" s="65">
        <v>12</v>
      </c>
      <c r="G76" s="66">
        <v>12</v>
      </c>
      <c r="H76" s="65">
        <f t="shared" si="99"/>
        <v>36</v>
      </c>
      <c r="I76" s="67">
        <v>11</v>
      </c>
      <c r="J76" s="67">
        <v>11</v>
      </c>
      <c r="K76" s="66">
        <v>11</v>
      </c>
      <c r="L76" s="67">
        <v>10</v>
      </c>
      <c r="M76" s="67">
        <v>11</v>
      </c>
      <c r="N76" s="66">
        <v>11</v>
      </c>
      <c r="O76" s="67">
        <v>10</v>
      </c>
      <c r="P76" s="67">
        <v>11</v>
      </c>
      <c r="Q76" s="66">
        <v>9</v>
      </c>
      <c r="R76" s="67">
        <v>8</v>
      </c>
      <c r="S76" s="67">
        <v>9</v>
      </c>
      <c r="T76" s="66">
        <v>9</v>
      </c>
      <c r="U76" s="67">
        <v>8</v>
      </c>
      <c r="V76" s="67">
        <v>9</v>
      </c>
      <c r="W76" s="66">
        <v>7</v>
      </c>
      <c r="X76" s="67">
        <v>7</v>
      </c>
      <c r="Y76" s="67">
        <v>9</v>
      </c>
      <c r="Z76" s="66">
        <v>7</v>
      </c>
      <c r="AA76" s="67">
        <v>7</v>
      </c>
      <c r="AB76" s="67">
        <v>7</v>
      </c>
      <c r="AC76" s="66">
        <v>5</v>
      </c>
      <c r="AD76" s="65">
        <f t="shared" si="63"/>
        <v>100</v>
      </c>
      <c r="AE76" s="65">
        <f t="shared" si="64"/>
        <v>100</v>
      </c>
      <c r="AF76" s="66">
        <f t="shared" si="65"/>
        <v>100</v>
      </c>
      <c r="AG76" s="65">
        <f t="shared" si="66"/>
        <v>91.666666666666671</v>
      </c>
      <c r="AH76" s="65">
        <f t="shared" si="67"/>
        <v>91.666666666666671</v>
      </c>
      <c r="AI76" s="66">
        <f t="shared" si="68"/>
        <v>91.666666666666671</v>
      </c>
      <c r="AJ76" s="65">
        <f t="shared" si="69"/>
        <v>83.333333333333343</v>
      </c>
      <c r="AK76" s="65">
        <f t="shared" si="70"/>
        <v>91.666666666666671</v>
      </c>
      <c r="AL76" s="66">
        <f t="shared" si="71"/>
        <v>91.666666666666671</v>
      </c>
      <c r="AM76" s="65">
        <f t="shared" si="72"/>
        <v>83.333333333333343</v>
      </c>
      <c r="AN76" s="65">
        <f t="shared" si="73"/>
        <v>91.666666666666671</v>
      </c>
      <c r="AO76" s="66">
        <f t="shared" si="74"/>
        <v>75</v>
      </c>
      <c r="AP76" s="65">
        <f t="shared" si="75"/>
        <v>66.666666666666671</v>
      </c>
      <c r="AQ76" s="65">
        <f t="shared" si="76"/>
        <v>75</v>
      </c>
      <c r="AR76" s="66">
        <f t="shared" si="77"/>
        <v>75</v>
      </c>
      <c r="AS76" s="65">
        <f t="shared" si="78"/>
        <v>66.666666666666671</v>
      </c>
      <c r="AT76" s="65">
        <f t="shared" si="79"/>
        <v>75</v>
      </c>
      <c r="AU76" s="66">
        <f t="shared" si="80"/>
        <v>58.333333333333336</v>
      </c>
      <c r="AV76" s="65">
        <f t="shared" si="81"/>
        <v>58.333333333333336</v>
      </c>
      <c r="AW76" s="65">
        <f t="shared" si="82"/>
        <v>75</v>
      </c>
      <c r="AX76" s="66">
        <f t="shared" si="83"/>
        <v>58.333333333333336</v>
      </c>
      <c r="AY76" s="65">
        <f t="shared" si="84"/>
        <v>58.333333333333336</v>
      </c>
      <c r="AZ76" s="65">
        <f t="shared" si="85"/>
        <v>58.333333333333336</v>
      </c>
      <c r="BA76" s="66">
        <f t="shared" si="86"/>
        <v>41.666666666666671</v>
      </c>
      <c r="BB76" s="68">
        <f t="shared" si="87"/>
        <v>0</v>
      </c>
      <c r="BC76" s="65">
        <f t="shared" si="88"/>
        <v>0</v>
      </c>
      <c r="BD76" s="65">
        <f t="shared" si="89"/>
        <v>4.8112522432468783</v>
      </c>
      <c r="BE76" s="65">
        <f t="shared" si="90"/>
        <v>8.3333333333333357</v>
      </c>
      <c r="BF76" s="65">
        <f t="shared" si="91"/>
        <v>4.8112522432468783</v>
      </c>
      <c r="BG76" s="65">
        <f t="shared" si="92"/>
        <v>8.3333333333332185</v>
      </c>
      <c r="BH76" s="65">
        <f t="shared" si="93"/>
        <v>9.6225044864936926</v>
      </c>
      <c r="BI76" s="65">
        <f t="shared" si="94"/>
        <v>9.6225044864937406</v>
      </c>
      <c r="BJ76" s="68">
        <f t="shared" si="100"/>
        <v>0</v>
      </c>
      <c r="BK76" s="65">
        <f t="shared" si="101"/>
        <v>0</v>
      </c>
      <c r="BL76" s="65">
        <f t="shared" si="102"/>
        <v>0.80187537387447971</v>
      </c>
      <c r="BM76" s="65">
        <f t="shared" si="103"/>
        <v>1.3888888888888893</v>
      </c>
      <c r="BN76" s="65">
        <f t="shared" si="104"/>
        <v>0.80187537387447971</v>
      </c>
      <c r="BO76" s="65">
        <f t="shared" si="105"/>
        <v>1.3888888888888697</v>
      </c>
      <c r="BP76" s="65">
        <f t="shared" si="106"/>
        <v>1.6037507477489488</v>
      </c>
      <c r="BQ76" s="90">
        <f t="shared" si="107"/>
        <v>1.6037507477489568</v>
      </c>
      <c r="BR76" s="69">
        <f t="shared" si="95"/>
        <v>100</v>
      </c>
      <c r="BS76" s="67">
        <f t="shared" si="96"/>
        <v>91.666666666666671</v>
      </c>
      <c r="BT76" s="67">
        <f t="shared" si="97"/>
        <v>88.8888888888889</v>
      </c>
      <c r="BU76" s="67">
        <f t="shared" si="98"/>
        <v>83.333333333333329</v>
      </c>
      <c r="BV76" s="67">
        <f t="shared" si="57"/>
        <v>72.222222222222229</v>
      </c>
      <c r="BW76" s="67">
        <f t="shared" si="60"/>
        <v>66.666666666666671</v>
      </c>
      <c r="BX76" s="67">
        <f t="shared" si="61"/>
        <v>63.888888888888893</v>
      </c>
      <c r="BY76" s="67">
        <f t="shared" si="62"/>
        <v>63.888888888888893</v>
      </c>
      <c r="BZ76" s="69">
        <f t="shared" si="109"/>
        <v>0</v>
      </c>
      <c r="CA76" s="67">
        <f t="shared" si="109"/>
        <v>8.3333333333333286</v>
      </c>
      <c r="CB76" s="67">
        <f t="shared" si="109"/>
        <v>11.1111111111111</v>
      </c>
      <c r="CC76" s="67">
        <f t="shared" si="108"/>
        <v>16.666666666666671</v>
      </c>
      <c r="CD76" s="67">
        <f t="shared" si="108"/>
        <v>27.777777777777771</v>
      </c>
      <c r="CE76" s="67">
        <f t="shared" si="108"/>
        <v>33.333333333333329</v>
      </c>
      <c r="CF76" s="67">
        <f t="shared" si="108"/>
        <v>36.111111111111107</v>
      </c>
      <c r="CG76" s="116">
        <f t="shared" si="55"/>
        <v>36.111111111111107</v>
      </c>
    </row>
    <row r="77" spans="2:85" x14ac:dyDescent="0.3">
      <c r="B77" s="410"/>
      <c r="C77" s="413"/>
      <c r="D77" s="70" t="s">
        <v>805</v>
      </c>
      <c r="E77" s="71">
        <v>12</v>
      </c>
      <c r="F77" s="71">
        <v>12</v>
      </c>
      <c r="G77" s="72">
        <v>12</v>
      </c>
      <c r="H77" s="71">
        <f t="shared" si="99"/>
        <v>36</v>
      </c>
      <c r="I77" s="73">
        <v>11</v>
      </c>
      <c r="J77" s="73">
        <v>11</v>
      </c>
      <c r="K77" s="72">
        <v>11</v>
      </c>
      <c r="L77" s="73">
        <v>11</v>
      </c>
      <c r="M77" s="73">
        <v>11</v>
      </c>
      <c r="N77" s="72">
        <v>12</v>
      </c>
      <c r="O77" s="73">
        <v>10</v>
      </c>
      <c r="P77" s="73">
        <v>11</v>
      </c>
      <c r="Q77" s="72">
        <v>12</v>
      </c>
      <c r="R77" s="73">
        <v>10</v>
      </c>
      <c r="S77" s="73">
        <v>10</v>
      </c>
      <c r="T77" s="72">
        <v>12</v>
      </c>
      <c r="U77" s="73">
        <v>10</v>
      </c>
      <c r="V77" s="73">
        <v>10</v>
      </c>
      <c r="W77" s="72">
        <v>10</v>
      </c>
      <c r="X77" s="73">
        <v>10</v>
      </c>
      <c r="Y77" s="73">
        <v>10</v>
      </c>
      <c r="Z77" s="72">
        <v>10</v>
      </c>
      <c r="AA77" s="73">
        <v>7</v>
      </c>
      <c r="AB77" s="73">
        <v>8</v>
      </c>
      <c r="AC77" s="72">
        <v>9</v>
      </c>
      <c r="AD77" s="71">
        <f t="shared" si="63"/>
        <v>100</v>
      </c>
      <c r="AE77" s="71">
        <f t="shared" si="64"/>
        <v>100</v>
      </c>
      <c r="AF77" s="72">
        <f t="shared" si="65"/>
        <v>100</v>
      </c>
      <c r="AG77" s="71">
        <f t="shared" si="66"/>
        <v>91.666666666666671</v>
      </c>
      <c r="AH77" s="71">
        <f t="shared" si="67"/>
        <v>91.666666666666671</v>
      </c>
      <c r="AI77" s="72">
        <f t="shared" si="68"/>
        <v>91.666666666666671</v>
      </c>
      <c r="AJ77" s="71">
        <f t="shared" si="69"/>
        <v>91.666666666666671</v>
      </c>
      <c r="AK77" s="71">
        <f t="shared" si="70"/>
        <v>91.666666666666671</v>
      </c>
      <c r="AL77" s="72">
        <f t="shared" si="71"/>
        <v>100</v>
      </c>
      <c r="AM77" s="71">
        <f t="shared" si="72"/>
        <v>83.333333333333343</v>
      </c>
      <c r="AN77" s="71">
        <f t="shared" si="73"/>
        <v>91.666666666666671</v>
      </c>
      <c r="AO77" s="72">
        <f t="shared" si="74"/>
        <v>100</v>
      </c>
      <c r="AP77" s="71">
        <f t="shared" si="75"/>
        <v>83.333333333333343</v>
      </c>
      <c r="AQ77" s="71">
        <f t="shared" si="76"/>
        <v>83.333333333333343</v>
      </c>
      <c r="AR77" s="72">
        <f t="shared" si="77"/>
        <v>100</v>
      </c>
      <c r="AS77" s="71">
        <f t="shared" si="78"/>
        <v>83.333333333333343</v>
      </c>
      <c r="AT77" s="71">
        <f t="shared" si="79"/>
        <v>83.333333333333343</v>
      </c>
      <c r="AU77" s="72">
        <f t="shared" si="80"/>
        <v>83.333333333333343</v>
      </c>
      <c r="AV77" s="71">
        <f t="shared" si="81"/>
        <v>83.333333333333343</v>
      </c>
      <c r="AW77" s="71">
        <f t="shared" si="82"/>
        <v>83.333333333333343</v>
      </c>
      <c r="AX77" s="72">
        <f t="shared" si="83"/>
        <v>83.333333333333343</v>
      </c>
      <c r="AY77" s="71">
        <f t="shared" si="84"/>
        <v>58.333333333333336</v>
      </c>
      <c r="AZ77" s="71">
        <f t="shared" si="85"/>
        <v>66.666666666666671</v>
      </c>
      <c r="BA77" s="72">
        <f t="shared" si="86"/>
        <v>75</v>
      </c>
      <c r="BB77" s="74">
        <f t="shared" si="87"/>
        <v>0</v>
      </c>
      <c r="BC77" s="71">
        <f t="shared" si="88"/>
        <v>0</v>
      </c>
      <c r="BD77" s="71">
        <f t="shared" si="89"/>
        <v>4.8112522432468792</v>
      </c>
      <c r="BE77" s="71">
        <f t="shared" si="90"/>
        <v>8.3333333333333286</v>
      </c>
      <c r="BF77" s="71">
        <f t="shared" si="91"/>
        <v>9.6225044864937566</v>
      </c>
      <c r="BG77" s="71">
        <f t="shared" si="92"/>
        <v>0</v>
      </c>
      <c r="BH77" s="71">
        <f t="shared" si="93"/>
        <v>0</v>
      </c>
      <c r="BI77" s="71">
        <f t="shared" si="94"/>
        <v>8.3333333333333268</v>
      </c>
      <c r="BJ77" s="74">
        <f t="shared" si="100"/>
        <v>0</v>
      </c>
      <c r="BK77" s="71">
        <f t="shared" si="101"/>
        <v>0</v>
      </c>
      <c r="BL77" s="71">
        <f t="shared" si="102"/>
        <v>0.80187537387447982</v>
      </c>
      <c r="BM77" s="71">
        <f t="shared" si="103"/>
        <v>1.3888888888888882</v>
      </c>
      <c r="BN77" s="71">
        <f t="shared" si="104"/>
        <v>1.6037507477489594</v>
      </c>
      <c r="BO77" s="71">
        <f t="shared" si="105"/>
        <v>0</v>
      </c>
      <c r="BP77" s="71">
        <f t="shared" si="106"/>
        <v>0</v>
      </c>
      <c r="BQ77" s="91">
        <f t="shared" si="107"/>
        <v>1.3888888888888877</v>
      </c>
      <c r="BR77" s="75">
        <f t="shared" si="95"/>
        <v>100</v>
      </c>
      <c r="BS77" s="73">
        <f t="shared" si="96"/>
        <v>91.666666666666671</v>
      </c>
      <c r="BT77" s="73">
        <f t="shared" si="97"/>
        <v>94.444444444444457</v>
      </c>
      <c r="BU77" s="73">
        <f t="shared" si="98"/>
        <v>91.666666666666671</v>
      </c>
      <c r="BV77" s="73">
        <f t="shared" si="57"/>
        <v>88.8888888888889</v>
      </c>
      <c r="BW77" s="73">
        <f t="shared" si="60"/>
        <v>83.333333333333343</v>
      </c>
      <c r="BX77" s="73">
        <f t="shared" si="61"/>
        <v>83.333333333333343</v>
      </c>
      <c r="BY77" s="73">
        <f t="shared" si="62"/>
        <v>83.333333333333343</v>
      </c>
      <c r="BZ77" s="75">
        <f t="shared" si="109"/>
        <v>0</v>
      </c>
      <c r="CA77" s="73">
        <f t="shared" si="109"/>
        <v>8.3333333333333286</v>
      </c>
      <c r="CB77" s="73">
        <f t="shared" si="109"/>
        <v>5.5555555555555429</v>
      </c>
      <c r="CC77" s="73">
        <f t="shared" si="108"/>
        <v>8.3333333333333286</v>
      </c>
      <c r="CD77" s="73">
        <f t="shared" si="108"/>
        <v>11.1111111111111</v>
      </c>
      <c r="CE77" s="73">
        <f t="shared" si="108"/>
        <v>16.666666666666657</v>
      </c>
      <c r="CF77" s="73">
        <f t="shared" si="108"/>
        <v>16.666666666666657</v>
      </c>
      <c r="CG77" s="265">
        <f t="shared" si="55"/>
        <v>16.666666666666657</v>
      </c>
    </row>
    <row r="78" spans="2:85" ht="15" customHeight="1" x14ac:dyDescent="0.3">
      <c r="B78" s="408">
        <v>19</v>
      </c>
      <c r="C78" s="411" t="s">
        <v>274</v>
      </c>
      <c r="D78" s="76" t="s">
        <v>802</v>
      </c>
      <c r="E78" s="77">
        <v>12</v>
      </c>
      <c r="F78" s="77">
        <v>12</v>
      </c>
      <c r="G78" s="78">
        <v>12</v>
      </c>
      <c r="H78" s="77">
        <f t="shared" si="99"/>
        <v>36</v>
      </c>
      <c r="I78" s="79">
        <v>10</v>
      </c>
      <c r="J78" s="79">
        <v>10</v>
      </c>
      <c r="K78" s="78">
        <v>9</v>
      </c>
      <c r="L78" s="79">
        <v>9</v>
      </c>
      <c r="M78" s="79">
        <v>9</v>
      </c>
      <c r="N78" s="78">
        <v>8</v>
      </c>
      <c r="O78" s="79">
        <v>6</v>
      </c>
      <c r="P78" s="79">
        <v>6</v>
      </c>
      <c r="Q78" s="78">
        <v>7</v>
      </c>
      <c r="R78" s="79">
        <v>2</v>
      </c>
      <c r="S78" s="79">
        <v>4</v>
      </c>
      <c r="T78" s="78">
        <v>2</v>
      </c>
      <c r="U78" s="79">
        <v>0</v>
      </c>
      <c r="V78" s="79">
        <v>0</v>
      </c>
      <c r="W78" s="78">
        <v>1</v>
      </c>
      <c r="X78" s="79">
        <v>0</v>
      </c>
      <c r="Y78" s="79">
        <v>0</v>
      </c>
      <c r="Z78" s="78">
        <v>0</v>
      </c>
      <c r="AA78" s="79">
        <v>0</v>
      </c>
      <c r="AB78" s="79">
        <v>0</v>
      </c>
      <c r="AC78" s="78">
        <v>0</v>
      </c>
      <c r="AD78" s="77">
        <f t="shared" si="63"/>
        <v>100</v>
      </c>
      <c r="AE78" s="77">
        <f t="shared" si="64"/>
        <v>100</v>
      </c>
      <c r="AF78" s="78">
        <f t="shared" si="65"/>
        <v>100</v>
      </c>
      <c r="AG78" s="77">
        <f t="shared" si="66"/>
        <v>83.333333333333343</v>
      </c>
      <c r="AH78" s="77">
        <f t="shared" si="67"/>
        <v>83.333333333333343</v>
      </c>
      <c r="AI78" s="78">
        <f t="shared" si="68"/>
        <v>75</v>
      </c>
      <c r="AJ78" s="77">
        <f t="shared" si="69"/>
        <v>75</v>
      </c>
      <c r="AK78" s="77">
        <f t="shared" si="70"/>
        <v>75</v>
      </c>
      <c r="AL78" s="78">
        <f t="shared" si="71"/>
        <v>66.666666666666671</v>
      </c>
      <c r="AM78" s="77">
        <f t="shared" si="72"/>
        <v>50</v>
      </c>
      <c r="AN78" s="77">
        <f t="shared" si="73"/>
        <v>50</v>
      </c>
      <c r="AO78" s="78">
        <f t="shared" si="74"/>
        <v>58.333333333333336</v>
      </c>
      <c r="AP78" s="77">
        <f t="shared" si="75"/>
        <v>16.666666666666668</v>
      </c>
      <c r="AQ78" s="77">
        <f t="shared" si="76"/>
        <v>33.333333333333336</v>
      </c>
      <c r="AR78" s="78">
        <f t="shared" si="77"/>
        <v>16.666666666666668</v>
      </c>
      <c r="AS78" s="77">
        <f t="shared" si="78"/>
        <v>0</v>
      </c>
      <c r="AT78" s="77">
        <f t="shared" si="79"/>
        <v>0</v>
      </c>
      <c r="AU78" s="78">
        <f t="shared" si="80"/>
        <v>8.3333333333333339</v>
      </c>
      <c r="AV78" s="77">
        <f t="shared" si="81"/>
        <v>0</v>
      </c>
      <c r="AW78" s="77">
        <f t="shared" si="82"/>
        <v>0</v>
      </c>
      <c r="AX78" s="78">
        <f t="shared" si="83"/>
        <v>0</v>
      </c>
      <c r="AY78" s="77">
        <f t="shared" si="84"/>
        <v>0</v>
      </c>
      <c r="AZ78" s="77">
        <f t="shared" si="85"/>
        <v>0</v>
      </c>
      <c r="BA78" s="78">
        <f t="shared" si="86"/>
        <v>0</v>
      </c>
      <c r="BB78" s="80">
        <f t="shared" si="87"/>
        <v>0</v>
      </c>
      <c r="BC78" s="77">
        <f t="shared" si="88"/>
        <v>4.8112522432468872</v>
      </c>
      <c r="BD78" s="77">
        <f t="shared" si="89"/>
        <v>4.8112522432468783</v>
      </c>
      <c r="BE78" s="77">
        <f t="shared" si="90"/>
        <v>4.8112522432468827</v>
      </c>
      <c r="BF78" s="77">
        <f t="shared" si="91"/>
        <v>9.6225044864937637</v>
      </c>
      <c r="BG78" s="77">
        <f t="shared" si="92"/>
        <v>4.8112522432468818</v>
      </c>
      <c r="BH78" s="77">
        <f t="shared" si="93"/>
        <v>0</v>
      </c>
      <c r="BI78" s="77">
        <f t="shared" si="94"/>
        <v>0</v>
      </c>
      <c r="BJ78" s="80">
        <f t="shared" si="100"/>
        <v>0</v>
      </c>
      <c r="BK78" s="77">
        <f t="shared" si="101"/>
        <v>0.80187537387448116</v>
      </c>
      <c r="BL78" s="77">
        <f t="shared" si="102"/>
        <v>0.80187537387447971</v>
      </c>
      <c r="BM78" s="77">
        <f t="shared" si="103"/>
        <v>0.80187537387448049</v>
      </c>
      <c r="BN78" s="77">
        <f t="shared" si="104"/>
        <v>1.6037507477489605</v>
      </c>
      <c r="BO78" s="77">
        <f t="shared" si="105"/>
        <v>0.80187537387448027</v>
      </c>
      <c r="BP78" s="77">
        <f t="shared" si="106"/>
        <v>0</v>
      </c>
      <c r="BQ78" s="92">
        <f t="shared" si="107"/>
        <v>0</v>
      </c>
      <c r="BR78" s="81">
        <f t="shared" si="95"/>
        <v>100</v>
      </c>
      <c r="BS78" s="79">
        <f t="shared" si="96"/>
        <v>80.555555555555557</v>
      </c>
      <c r="BT78" s="79">
        <f t="shared" si="97"/>
        <v>72.222222222222229</v>
      </c>
      <c r="BU78" s="79">
        <f t="shared" si="98"/>
        <v>52.777777777777779</v>
      </c>
      <c r="BV78" s="79">
        <f t="shared" si="57"/>
        <v>22.222222222222225</v>
      </c>
      <c r="BW78" s="79">
        <f t="shared" si="60"/>
        <v>2.7777777777777781</v>
      </c>
      <c r="BX78" s="79">
        <f t="shared" si="61"/>
        <v>2.7777777777777781</v>
      </c>
      <c r="BY78" s="79">
        <f t="shared" si="62"/>
        <v>2.7777777777777781</v>
      </c>
      <c r="BZ78" s="81">
        <f t="shared" si="109"/>
        <v>0</v>
      </c>
      <c r="CA78" s="79">
        <f t="shared" si="109"/>
        <v>19.444444444444443</v>
      </c>
      <c r="CB78" s="79">
        <f t="shared" si="109"/>
        <v>27.777777777777771</v>
      </c>
      <c r="CC78" s="79">
        <f t="shared" si="108"/>
        <v>47.222222222222221</v>
      </c>
      <c r="CD78" s="79">
        <f t="shared" si="108"/>
        <v>77.777777777777771</v>
      </c>
      <c r="CE78" s="79">
        <f t="shared" si="108"/>
        <v>97.222222222222229</v>
      </c>
      <c r="CF78" s="79">
        <f t="shared" si="108"/>
        <v>97.222222222222229</v>
      </c>
      <c r="CG78" s="264">
        <f t="shared" si="55"/>
        <v>97.222222222222229</v>
      </c>
    </row>
    <row r="79" spans="2:85" x14ac:dyDescent="0.3">
      <c r="B79" s="409"/>
      <c r="C79" s="412"/>
      <c r="D79" s="70" t="s">
        <v>803</v>
      </c>
      <c r="E79" s="65">
        <v>12</v>
      </c>
      <c r="F79" s="65">
        <v>12</v>
      </c>
      <c r="G79" s="66">
        <v>12</v>
      </c>
      <c r="H79" s="65">
        <f t="shared" si="99"/>
        <v>36</v>
      </c>
      <c r="I79" s="67">
        <v>10</v>
      </c>
      <c r="J79" s="67">
        <v>10</v>
      </c>
      <c r="K79" s="66">
        <v>9</v>
      </c>
      <c r="L79" s="67">
        <v>9</v>
      </c>
      <c r="M79" s="67">
        <v>9</v>
      </c>
      <c r="N79" s="66">
        <v>8</v>
      </c>
      <c r="O79" s="67">
        <v>8</v>
      </c>
      <c r="P79" s="67">
        <v>5</v>
      </c>
      <c r="Q79" s="66">
        <v>6</v>
      </c>
      <c r="R79" s="67">
        <v>5</v>
      </c>
      <c r="S79" s="67">
        <v>3</v>
      </c>
      <c r="T79" s="66">
        <v>2</v>
      </c>
      <c r="U79" s="67">
        <v>3</v>
      </c>
      <c r="V79" s="67">
        <v>1</v>
      </c>
      <c r="W79" s="66">
        <v>1</v>
      </c>
      <c r="X79" s="67">
        <v>0</v>
      </c>
      <c r="Y79" s="67">
        <v>0</v>
      </c>
      <c r="Z79" s="66">
        <v>1</v>
      </c>
      <c r="AA79" s="67">
        <v>0</v>
      </c>
      <c r="AB79" s="67">
        <v>0</v>
      </c>
      <c r="AC79" s="66">
        <v>1</v>
      </c>
      <c r="AD79" s="65">
        <f t="shared" si="63"/>
        <v>100</v>
      </c>
      <c r="AE79" s="65">
        <f t="shared" si="64"/>
        <v>100</v>
      </c>
      <c r="AF79" s="66">
        <f t="shared" si="65"/>
        <v>100</v>
      </c>
      <c r="AG79" s="65">
        <f t="shared" si="66"/>
        <v>83.333333333333343</v>
      </c>
      <c r="AH79" s="65">
        <f t="shared" si="67"/>
        <v>83.333333333333343</v>
      </c>
      <c r="AI79" s="66">
        <f t="shared" si="68"/>
        <v>75</v>
      </c>
      <c r="AJ79" s="65">
        <f t="shared" si="69"/>
        <v>75</v>
      </c>
      <c r="AK79" s="65">
        <f t="shared" si="70"/>
        <v>75</v>
      </c>
      <c r="AL79" s="66">
        <f t="shared" si="71"/>
        <v>66.666666666666671</v>
      </c>
      <c r="AM79" s="65">
        <f t="shared" si="72"/>
        <v>66.666666666666671</v>
      </c>
      <c r="AN79" s="65">
        <f t="shared" si="73"/>
        <v>41.666666666666671</v>
      </c>
      <c r="AO79" s="66">
        <f t="shared" si="74"/>
        <v>50</v>
      </c>
      <c r="AP79" s="65">
        <f t="shared" si="75"/>
        <v>41.666666666666671</v>
      </c>
      <c r="AQ79" s="65">
        <f t="shared" si="76"/>
        <v>25</v>
      </c>
      <c r="AR79" s="66">
        <f t="shared" si="77"/>
        <v>16.666666666666668</v>
      </c>
      <c r="AS79" s="65">
        <f t="shared" si="78"/>
        <v>25</v>
      </c>
      <c r="AT79" s="65">
        <f t="shared" si="79"/>
        <v>8.3333333333333339</v>
      </c>
      <c r="AU79" s="66">
        <f t="shared" si="80"/>
        <v>8.3333333333333339</v>
      </c>
      <c r="AV79" s="65">
        <f t="shared" si="81"/>
        <v>0</v>
      </c>
      <c r="AW79" s="65">
        <f t="shared" si="82"/>
        <v>0</v>
      </c>
      <c r="AX79" s="66">
        <f t="shared" si="83"/>
        <v>8.3333333333333339</v>
      </c>
      <c r="AY79" s="65">
        <f t="shared" si="84"/>
        <v>0</v>
      </c>
      <c r="AZ79" s="65">
        <f t="shared" si="85"/>
        <v>0</v>
      </c>
      <c r="BA79" s="66">
        <f t="shared" si="86"/>
        <v>8.3333333333333339</v>
      </c>
      <c r="BB79" s="68">
        <f t="shared" si="87"/>
        <v>0</v>
      </c>
      <c r="BC79" s="65">
        <f t="shared" si="88"/>
        <v>4.8112522432468872</v>
      </c>
      <c r="BD79" s="65">
        <f t="shared" si="89"/>
        <v>4.8112522432468783</v>
      </c>
      <c r="BE79" s="65">
        <f t="shared" si="90"/>
        <v>12.729376930432867</v>
      </c>
      <c r="BF79" s="65">
        <f t="shared" si="91"/>
        <v>12.729376930432885</v>
      </c>
      <c r="BG79" s="65">
        <f t="shared" si="92"/>
        <v>9.6225044864937601</v>
      </c>
      <c r="BH79" s="65">
        <f t="shared" si="93"/>
        <v>4.8112522432468818</v>
      </c>
      <c r="BI79" s="65">
        <f t="shared" si="94"/>
        <v>4.8112522432468818</v>
      </c>
      <c r="BJ79" s="68">
        <f t="shared" si="100"/>
        <v>0</v>
      </c>
      <c r="BK79" s="65">
        <f t="shared" si="101"/>
        <v>0.80187537387448116</v>
      </c>
      <c r="BL79" s="65">
        <f t="shared" si="102"/>
        <v>0.80187537387447971</v>
      </c>
      <c r="BM79" s="65">
        <f t="shared" si="103"/>
        <v>2.1215628217388112</v>
      </c>
      <c r="BN79" s="65">
        <f t="shared" si="104"/>
        <v>2.1215628217388143</v>
      </c>
      <c r="BO79" s="65">
        <f t="shared" si="105"/>
        <v>1.6037507477489601</v>
      </c>
      <c r="BP79" s="65">
        <f t="shared" si="106"/>
        <v>0.80187537387448027</v>
      </c>
      <c r="BQ79" s="90">
        <f t="shared" si="107"/>
        <v>0.80187537387448027</v>
      </c>
      <c r="BR79" s="69">
        <f t="shared" si="95"/>
        <v>100</v>
      </c>
      <c r="BS79" s="67">
        <f t="shared" si="96"/>
        <v>80.555555555555557</v>
      </c>
      <c r="BT79" s="67">
        <f t="shared" si="97"/>
        <v>72.222222222222229</v>
      </c>
      <c r="BU79" s="67">
        <f t="shared" si="98"/>
        <v>52.777777777777779</v>
      </c>
      <c r="BV79" s="67">
        <f t="shared" ref="BV79:BV110" si="110">AVERAGE(AP79:AR79)</f>
        <v>27.777777777777782</v>
      </c>
      <c r="BW79" s="67">
        <f t="shared" si="60"/>
        <v>13.888888888888891</v>
      </c>
      <c r="BX79" s="67">
        <f t="shared" si="61"/>
        <v>5.5555555555555562</v>
      </c>
      <c r="BY79" s="67">
        <f t="shared" si="62"/>
        <v>2.7777777777777781</v>
      </c>
      <c r="BZ79" s="69">
        <f t="shared" si="109"/>
        <v>0</v>
      </c>
      <c r="CA79" s="67">
        <f t="shared" si="109"/>
        <v>19.444444444444443</v>
      </c>
      <c r="CB79" s="67">
        <f t="shared" si="109"/>
        <v>27.777777777777771</v>
      </c>
      <c r="CC79" s="67">
        <f t="shared" si="108"/>
        <v>47.222222222222221</v>
      </c>
      <c r="CD79" s="67">
        <f t="shared" si="108"/>
        <v>72.222222222222214</v>
      </c>
      <c r="CE79" s="67">
        <f t="shared" si="108"/>
        <v>86.111111111111114</v>
      </c>
      <c r="CF79" s="67">
        <f t="shared" si="108"/>
        <v>94.444444444444443</v>
      </c>
      <c r="CG79" s="116">
        <f t="shared" si="55"/>
        <v>97.222222222222229</v>
      </c>
    </row>
    <row r="80" spans="2:85" x14ac:dyDescent="0.3">
      <c r="B80" s="409"/>
      <c r="C80" s="412"/>
      <c r="D80" s="70" t="s">
        <v>804</v>
      </c>
      <c r="E80" s="65">
        <v>12</v>
      </c>
      <c r="F80" s="65">
        <v>12</v>
      </c>
      <c r="G80" s="66">
        <v>12</v>
      </c>
      <c r="H80" s="65">
        <f t="shared" si="99"/>
        <v>36</v>
      </c>
      <c r="I80" s="67">
        <v>10</v>
      </c>
      <c r="J80" s="67">
        <v>11</v>
      </c>
      <c r="K80" s="66">
        <v>10</v>
      </c>
      <c r="L80" s="67">
        <v>10</v>
      </c>
      <c r="M80" s="67">
        <v>11</v>
      </c>
      <c r="N80" s="66">
        <v>10</v>
      </c>
      <c r="O80" s="67">
        <v>6</v>
      </c>
      <c r="P80" s="67">
        <v>9</v>
      </c>
      <c r="Q80" s="66">
        <v>7</v>
      </c>
      <c r="R80" s="67">
        <v>4</v>
      </c>
      <c r="S80" s="67">
        <v>6</v>
      </c>
      <c r="T80" s="66">
        <v>3</v>
      </c>
      <c r="U80" s="67">
        <v>1</v>
      </c>
      <c r="V80" s="67">
        <v>4</v>
      </c>
      <c r="W80" s="66">
        <v>0</v>
      </c>
      <c r="X80" s="67">
        <v>0</v>
      </c>
      <c r="Y80" s="67">
        <v>1</v>
      </c>
      <c r="Z80" s="66">
        <v>0</v>
      </c>
      <c r="AA80" s="67">
        <v>0</v>
      </c>
      <c r="AB80" s="67">
        <v>0</v>
      </c>
      <c r="AC80" s="66">
        <v>0</v>
      </c>
      <c r="AD80" s="65">
        <f t="shared" si="63"/>
        <v>100</v>
      </c>
      <c r="AE80" s="65">
        <f t="shared" si="64"/>
        <v>100</v>
      </c>
      <c r="AF80" s="66">
        <f t="shared" si="65"/>
        <v>100</v>
      </c>
      <c r="AG80" s="65">
        <f t="shared" si="66"/>
        <v>83.333333333333343</v>
      </c>
      <c r="AH80" s="65">
        <f t="shared" si="67"/>
        <v>91.666666666666671</v>
      </c>
      <c r="AI80" s="66">
        <f t="shared" si="68"/>
        <v>83.333333333333343</v>
      </c>
      <c r="AJ80" s="65">
        <f t="shared" si="69"/>
        <v>83.333333333333343</v>
      </c>
      <c r="AK80" s="65">
        <f t="shared" si="70"/>
        <v>91.666666666666671</v>
      </c>
      <c r="AL80" s="66">
        <f t="shared" si="71"/>
        <v>83.333333333333343</v>
      </c>
      <c r="AM80" s="65">
        <f t="shared" si="72"/>
        <v>50</v>
      </c>
      <c r="AN80" s="65">
        <f t="shared" si="73"/>
        <v>75</v>
      </c>
      <c r="AO80" s="66">
        <f t="shared" si="74"/>
        <v>58.333333333333336</v>
      </c>
      <c r="AP80" s="65">
        <f t="shared" si="75"/>
        <v>33.333333333333336</v>
      </c>
      <c r="AQ80" s="65">
        <f t="shared" si="76"/>
        <v>50</v>
      </c>
      <c r="AR80" s="66">
        <f t="shared" si="77"/>
        <v>25</v>
      </c>
      <c r="AS80" s="65">
        <f t="shared" si="78"/>
        <v>8.3333333333333339</v>
      </c>
      <c r="AT80" s="65">
        <f t="shared" si="79"/>
        <v>33.333333333333336</v>
      </c>
      <c r="AU80" s="66">
        <f t="shared" si="80"/>
        <v>0</v>
      </c>
      <c r="AV80" s="65">
        <f t="shared" si="81"/>
        <v>0</v>
      </c>
      <c r="AW80" s="65">
        <f t="shared" si="82"/>
        <v>8.3333333333333339</v>
      </c>
      <c r="AX80" s="66">
        <f t="shared" si="83"/>
        <v>0</v>
      </c>
      <c r="AY80" s="65">
        <f t="shared" si="84"/>
        <v>0</v>
      </c>
      <c r="AZ80" s="65">
        <f t="shared" si="85"/>
        <v>0</v>
      </c>
      <c r="BA80" s="66">
        <f t="shared" si="86"/>
        <v>0</v>
      </c>
      <c r="BB80" s="68">
        <f t="shared" si="87"/>
        <v>0</v>
      </c>
      <c r="BC80" s="65">
        <f t="shared" si="88"/>
        <v>4.8112522432468792</v>
      </c>
      <c r="BD80" s="65">
        <f t="shared" si="89"/>
        <v>4.8112522432468792</v>
      </c>
      <c r="BE80" s="65">
        <f t="shared" si="90"/>
        <v>12.729376930432831</v>
      </c>
      <c r="BF80" s="65">
        <f t="shared" si="91"/>
        <v>12.729376930432876</v>
      </c>
      <c r="BG80" s="65">
        <f t="shared" si="92"/>
        <v>17.347216662217772</v>
      </c>
      <c r="BH80" s="65">
        <f t="shared" si="93"/>
        <v>4.8112522432468818</v>
      </c>
      <c r="BI80" s="65">
        <f t="shared" si="94"/>
        <v>0</v>
      </c>
      <c r="BJ80" s="68">
        <f t="shared" si="100"/>
        <v>0</v>
      </c>
      <c r="BK80" s="65">
        <f t="shared" si="101"/>
        <v>0.80187537387447982</v>
      </c>
      <c r="BL80" s="65">
        <f t="shared" si="102"/>
        <v>0.80187537387447982</v>
      </c>
      <c r="BM80" s="65">
        <f t="shared" si="103"/>
        <v>2.1215628217388054</v>
      </c>
      <c r="BN80" s="65">
        <f t="shared" si="104"/>
        <v>2.1215628217388125</v>
      </c>
      <c r="BO80" s="65">
        <f t="shared" si="105"/>
        <v>2.8912027770362951</v>
      </c>
      <c r="BP80" s="65">
        <f t="shared" si="106"/>
        <v>0.80187537387448027</v>
      </c>
      <c r="BQ80" s="90">
        <f t="shared" si="107"/>
        <v>0</v>
      </c>
      <c r="BR80" s="69">
        <f t="shared" si="95"/>
        <v>100</v>
      </c>
      <c r="BS80" s="67">
        <f t="shared" si="96"/>
        <v>86.111111111111128</v>
      </c>
      <c r="BT80" s="67">
        <f t="shared" si="97"/>
        <v>86.111111111111128</v>
      </c>
      <c r="BU80" s="67">
        <f t="shared" si="98"/>
        <v>61.111111111111114</v>
      </c>
      <c r="BV80" s="67">
        <f t="shared" si="110"/>
        <v>36.111111111111114</v>
      </c>
      <c r="BW80" s="67">
        <f t="shared" si="60"/>
        <v>13.888888888888891</v>
      </c>
      <c r="BX80" s="67">
        <f t="shared" si="61"/>
        <v>11.111111111111112</v>
      </c>
      <c r="BY80" s="67">
        <f t="shared" si="62"/>
        <v>2.7777777777777781</v>
      </c>
      <c r="BZ80" s="69">
        <f t="shared" si="109"/>
        <v>0</v>
      </c>
      <c r="CA80" s="67">
        <f t="shared" si="109"/>
        <v>13.888888888888872</v>
      </c>
      <c r="CB80" s="67">
        <f t="shared" si="109"/>
        <v>13.888888888888872</v>
      </c>
      <c r="CC80" s="67">
        <f t="shared" si="108"/>
        <v>38.888888888888886</v>
      </c>
      <c r="CD80" s="67">
        <f t="shared" si="108"/>
        <v>63.888888888888886</v>
      </c>
      <c r="CE80" s="67">
        <f t="shared" si="108"/>
        <v>86.111111111111114</v>
      </c>
      <c r="CF80" s="67">
        <f t="shared" si="108"/>
        <v>88.888888888888886</v>
      </c>
      <c r="CG80" s="116">
        <f t="shared" si="55"/>
        <v>97.222222222222229</v>
      </c>
    </row>
    <row r="81" spans="2:85" x14ac:dyDescent="0.3">
      <c r="B81" s="410"/>
      <c r="C81" s="413"/>
      <c r="D81" s="70" t="s">
        <v>805</v>
      </c>
      <c r="E81" s="71">
        <v>12</v>
      </c>
      <c r="F81" s="71">
        <v>12</v>
      </c>
      <c r="G81" s="72">
        <v>12</v>
      </c>
      <c r="H81" s="71">
        <f t="shared" si="99"/>
        <v>36</v>
      </c>
      <c r="I81" s="73">
        <v>11</v>
      </c>
      <c r="J81" s="73">
        <v>9</v>
      </c>
      <c r="K81" s="72">
        <v>11</v>
      </c>
      <c r="L81" s="73">
        <v>11</v>
      </c>
      <c r="M81" s="73">
        <v>9</v>
      </c>
      <c r="N81" s="72">
        <v>10</v>
      </c>
      <c r="O81" s="73">
        <v>9</v>
      </c>
      <c r="P81" s="73">
        <v>6</v>
      </c>
      <c r="Q81" s="72">
        <v>8</v>
      </c>
      <c r="R81" s="73">
        <v>4</v>
      </c>
      <c r="S81" s="73">
        <v>4</v>
      </c>
      <c r="T81" s="72">
        <v>4</v>
      </c>
      <c r="U81" s="73">
        <v>3</v>
      </c>
      <c r="V81" s="73">
        <v>1</v>
      </c>
      <c r="W81" s="72">
        <v>2</v>
      </c>
      <c r="X81" s="73">
        <v>3</v>
      </c>
      <c r="Y81" s="73">
        <v>1</v>
      </c>
      <c r="Z81" s="72">
        <v>1</v>
      </c>
      <c r="AA81" s="73">
        <v>1</v>
      </c>
      <c r="AB81" s="73">
        <v>0</v>
      </c>
      <c r="AC81" s="72">
        <v>1</v>
      </c>
      <c r="AD81" s="71">
        <f t="shared" si="63"/>
        <v>100</v>
      </c>
      <c r="AE81" s="71">
        <f t="shared" si="64"/>
        <v>100</v>
      </c>
      <c r="AF81" s="72">
        <f t="shared" si="65"/>
        <v>100</v>
      </c>
      <c r="AG81" s="71">
        <f t="shared" si="66"/>
        <v>91.666666666666671</v>
      </c>
      <c r="AH81" s="71">
        <f t="shared" si="67"/>
        <v>75</v>
      </c>
      <c r="AI81" s="72">
        <f t="shared" si="68"/>
        <v>91.666666666666671</v>
      </c>
      <c r="AJ81" s="71">
        <f t="shared" si="69"/>
        <v>91.666666666666671</v>
      </c>
      <c r="AK81" s="71">
        <f t="shared" si="70"/>
        <v>75</v>
      </c>
      <c r="AL81" s="72">
        <f t="shared" si="71"/>
        <v>83.333333333333343</v>
      </c>
      <c r="AM81" s="71">
        <f t="shared" si="72"/>
        <v>75</v>
      </c>
      <c r="AN81" s="71">
        <f t="shared" si="73"/>
        <v>50</v>
      </c>
      <c r="AO81" s="72">
        <f t="shared" si="74"/>
        <v>66.666666666666671</v>
      </c>
      <c r="AP81" s="71">
        <f t="shared" si="75"/>
        <v>33.333333333333336</v>
      </c>
      <c r="AQ81" s="71">
        <f t="shared" si="76"/>
        <v>33.333333333333336</v>
      </c>
      <c r="AR81" s="72">
        <f t="shared" si="77"/>
        <v>33.333333333333336</v>
      </c>
      <c r="AS81" s="71">
        <f t="shared" si="78"/>
        <v>25</v>
      </c>
      <c r="AT81" s="71">
        <f t="shared" si="79"/>
        <v>8.3333333333333339</v>
      </c>
      <c r="AU81" s="72">
        <f t="shared" si="80"/>
        <v>16.666666666666668</v>
      </c>
      <c r="AV81" s="71">
        <f t="shared" si="81"/>
        <v>25</v>
      </c>
      <c r="AW81" s="71">
        <f t="shared" si="82"/>
        <v>8.3333333333333339</v>
      </c>
      <c r="AX81" s="72">
        <f t="shared" si="83"/>
        <v>8.3333333333333339</v>
      </c>
      <c r="AY81" s="71">
        <f t="shared" si="84"/>
        <v>8.3333333333333339</v>
      </c>
      <c r="AZ81" s="71">
        <f t="shared" si="85"/>
        <v>0</v>
      </c>
      <c r="BA81" s="72">
        <f t="shared" si="86"/>
        <v>8.3333333333333339</v>
      </c>
      <c r="BB81" s="74">
        <f t="shared" si="87"/>
        <v>0</v>
      </c>
      <c r="BC81" s="71">
        <f t="shared" si="88"/>
        <v>9.6225044864937654</v>
      </c>
      <c r="BD81" s="71">
        <f t="shared" si="89"/>
        <v>8.3333333333333357</v>
      </c>
      <c r="BE81" s="71">
        <f t="shared" si="90"/>
        <v>12.729376930432867</v>
      </c>
      <c r="BF81" s="71">
        <f t="shared" si="91"/>
        <v>0</v>
      </c>
      <c r="BG81" s="71">
        <f t="shared" si="92"/>
        <v>8.3333333333333339</v>
      </c>
      <c r="BH81" s="71">
        <f t="shared" si="93"/>
        <v>9.6225044864937601</v>
      </c>
      <c r="BI81" s="71">
        <f t="shared" si="94"/>
        <v>4.8112522432468818</v>
      </c>
      <c r="BJ81" s="74">
        <f t="shared" si="100"/>
        <v>0</v>
      </c>
      <c r="BK81" s="71">
        <f t="shared" si="101"/>
        <v>1.603750747748961</v>
      </c>
      <c r="BL81" s="71">
        <f t="shared" si="102"/>
        <v>1.3888888888888893</v>
      </c>
      <c r="BM81" s="71">
        <f t="shared" si="103"/>
        <v>2.1215628217388112</v>
      </c>
      <c r="BN81" s="71">
        <f t="shared" si="104"/>
        <v>0</v>
      </c>
      <c r="BO81" s="71">
        <f t="shared" si="105"/>
        <v>1.3888888888888891</v>
      </c>
      <c r="BP81" s="71">
        <f t="shared" si="106"/>
        <v>1.6037507477489601</v>
      </c>
      <c r="BQ81" s="91">
        <f t="shared" si="107"/>
        <v>0.80187537387448027</v>
      </c>
      <c r="BR81" s="75">
        <f t="shared" si="95"/>
        <v>100</v>
      </c>
      <c r="BS81" s="73">
        <f t="shared" si="96"/>
        <v>86.111111111111128</v>
      </c>
      <c r="BT81" s="73">
        <f t="shared" si="97"/>
        <v>83.333333333333343</v>
      </c>
      <c r="BU81" s="73">
        <f t="shared" si="98"/>
        <v>63.888888888888893</v>
      </c>
      <c r="BV81" s="73">
        <f t="shared" si="110"/>
        <v>33.333333333333336</v>
      </c>
      <c r="BW81" s="73">
        <f t="shared" si="60"/>
        <v>16.666666666666668</v>
      </c>
      <c r="BX81" s="73">
        <f t="shared" si="61"/>
        <v>16.666666666666668</v>
      </c>
      <c r="BY81" s="73">
        <f t="shared" si="62"/>
        <v>16.666666666666668</v>
      </c>
      <c r="BZ81" s="75">
        <f t="shared" si="109"/>
        <v>0</v>
      </c>
      <c r="CA81" s="73">
        <f t="shared" si="109"/>
        <v>13.888888888888872</v>
      </c>
      <c r="CB81" s="73">
        <f t="shared" si="109"/>
        <v>16.666666666666657</v>
      </c>
      <c r="CC81" s="73">
        <f t="shared" si="108"/>
        <v>36.111111111111107</v>
      </c>
      <c r="CD81" s="73">
        <f t="shared" si="108"/>
        <v>66.666666666666657</v>
      </c>
      <c r="CE81" s="73">
        <f t="shared" si="108"/>
        <v>83.333333333333329</v>
      </c>
      <c r="CF81" s="73">
        <f t="shared" si="108"/>
        <v>83.333333333333329</v>
      </c>
      <c r="CG81" s="265">
        <f t="shared" si="55"/>
        <v>83.333333333333329</v>
      </c>
    </row>
    <row r="82" spans="2:85" ht="15" customHeight="1" x14ac:dyDescent="0.3">
      <c r="B82" s="408">
        <v>20</v>
      </c>
      <c r="C82" s="411" t="s">
        <v>284</v>
      </c>
      <c r="D82" s="76" t="s">
        <v>802</v>
      </c>
      <c r="E82" s="77">
        <v>12</v>
      </c>
      <c r="F82" s="77">
        <v>12</v>
      </c>
      <c r="G82" s="78">
        <v>12</v>
      </c>
      <c r="H82" s="77">
        <f t="shared" si="99"/>
        <v>36</v>
      </c>
      <c r="I82" s="79">
        <v>8</v>
      </c>
      <c r="J82" s="79">
        <v>11</v>
      </c>
      <c r="K82" s="78">
        <v>10</v>
      </c>
      <c r="L82" s="79">
        <v>5</v>
      </c>
      <c r="M82" s="79">
        <v>9</v>
      </c>
      <c r="N82" s="78">
        <v>5</v>
      </c>
      <c r="O82" s="79">
        <v>2</v>
      </c>
      <c r="P82" s="79">
        <v>2</v>
      </c>
      <c r="Q82" s="78">
        <v>1</v>
      </c>
      <c r="R82" s="79">
        <v>0</v>
      </c>
      <c r="S82" s="79">
        <v>1</v>
      </c>
      <c r="T82" s="78">
        <v>1</v>
      </c>
      <c r="U82" s="79">
        <v>0</v>
      </c>
      <c r="V82" s="79">
        <v>1</v>
      </c>
      <c r="W82" s="78">
        <v>1</v>
      </c>
      <c r="X82" s="79">
        <v>0</v>
      </c>
      <c r="Y82" s="79">
        <v>1</v>
      </c>
      <c r="Z82" s="78">
        <v>1</v>
      </c>
      <c r="AA82" s="79">
        <v>0</v>
      </c>
      <c r="AB82" s="79">
        <v>1</v>
      </c>
      <c r="AC82" s="78">
        <v>1</v>
      </c>
      <c r="AD82" s="77">
        <f t="shared" si="63"/>
        <v>100</v>
      </c>
      <c r="AE82" s="77">
        <f t="shared" si="64"/>
        <v>100</v>
      </c>
      <c r="AF82" s="78">
        <f t="shared" si="65"/>
        <v>100</v>
      </c>
      <c r="AG82" s="77">
        <f t="shared" si="66"/>
        <v>66.666666666666671</v>
      </c>
      <c r="AH82" s="77">
        <f t="shared" si="67"/>
        <v>91.666666666666671</v>
      </c>
      <c r="AI82" s="78">
        <f t="shared" si="68"/>
        <v>83.333333333333343</v>
      </c>
      <c r="AJ82" s="77">
        <f t="shared" si="69"/>
        <v>41.666666666666671</v>
      </c>
      <c r="AK82" s="77">
        <f t="shared" si="70"/>
        <v>75</v>
      </c>
      <c r="AL82" s="78">
        <f t="shared" si="71"/>
        <v>41.666666666666671</v>
      </c>
      <c r="AM82" s="77">
        <f t="shared" si="72"/>
        <v>16.666666666666668</v>
      </c>
      <c r="AN82" s="77">
        <f t="shared" si="73"/>
        <v>16.666666666666668</v>
      </c>
      <c r="AO82" s="78">
        <f t="shared" si="74"/>
        <v>8.3333333333333339</v>
      </c>
      <c r="AP82" s="77">
        <f t="shared" si="75"/>
        <v>0</v>
      </c>
      <c r="AQ82" s="77">
        <f t="shared" si="76"/>
        <v>8.3333333333333339</v>
      </c>
      <c r="AR82" s="78">
        <f t="shared" si="77"/>
        <v>8.3333333333333339</v>
      </c>
      <c r="AS82" s="77">
        <f t="shared" si="78"/>
        <v>0</v>
      </c>
      <c r="AT82" s="77">
        <f t="shared" si="79"/>
        <v>8.3333333333333339</v>
      </c>
      <c r="AU82" s="78">
        <f t="shared" si="80"/>
        <v>8.3333333333333339</v>
      </c>
      <c r="AV82" s="77">
        <f t="shared" si="81"/>
        <v>0</v>
      </c>
      <c r="AW82" s="77">
        <f t="shared" si="82"/>
        <v>8.3333333333333339</v>
      </c>
      <c r="AX82" s="78">
        <f t="shared" si="83"/>
        <v>8.3333333333333339</v>
      </c>
      <c r="AY82" s="77">
        <f t="shared" si="84"/>
        <v>0</v>
      </c>
      <c r="AZ82" s="77">
        <f t="shared" si="85"/>
        <v>8.3333333333333339</v>
      </c>
      <c r="BA82" s="78">
        <f t="shared" si="86"/>
        <v>8.3333333333333339</v>
      </c>
      <c r="BB82" s="80">
        <f t="shared" si="87"/>
        <v>0</v>
      </c>
      <c r="BC82" s="77">
        <f t="shared" si="88"/>
        <v>12.72937693043294</v>
      </c>
      <c r="BD82" s="77">
        <f t="shared" si="89"/>
        <v>19.245008972987502</v>
      </c>
      <c r="BE82" s="77">
        <f t="shared" si="90"/>
        <v>4.8112522432468818</v>
      </c>
      <c r="BF82" s="77">
        <f t="shared" si="91"/>
        <v>4.8112522432468818</v>
      </c>
      <c r="BG82" s="77">
        <f t="shared" si="92"/>
        <v>4.8112522432468818</v>
      </c>
      <c r="BH82" s="77">
        <f t="shared" si="93"/>
        <v>4.8112522432468818</v>
      </c>
      <c r="BI82" s="77">
        <f t="shared" si="94"/>
        <v>4.8112522432468818</v>
      </c>
      <c r="BJ82" s="80">
        <f t="shared" si="100"/>
        <v>0</v>
      </c>
      <c r="BK82" s="77">
        <f t="shared" si="101"/>
        <v>2.1215628217388232</v>
      </c>
      <c r="BL82" s="77">
        <f t="shared" si="102"/>
        <v>3.2075014954979171</v>
      </c>
      <c r="BM82" s="77">
        <f t="shared" si="103"/>
        <v>0.80187537387448027</v>
      </c>
      <c r="BN82" s="77">
        <f t="shared" si="104"/>
        <v>0.80187537387448027</v>
      </c>
      <c r="BO82" s="77">
        <f t="shared" si="105"/>
        <v>0.80187537387448027</v>
      </c>
      <c r="BP82" s="77">
        <f t="shared" si="106"/>
        <v>0.80187537387448027</v>
      </c>
      <c r="BQ82" s="92">
        <f t="shared" si="107"/>
        <v>0.80187537387448027</v>
      </c>
      <c r="BR82" s="81">
        <f t="shared" si="95"/>
        <v>100</v>
      </c>
      <c r="BS82" s="79">
        <f t="shared" si="96"/>
        <v>80.555555555555557</v>
      </c>
      <c r="BT82" s="79">
        <f t="shared" si="97"/>
        <v>52.777777777777779</v>
      </c>
      <c r="BU82" s="79">
        <f t="shared" si="98"/>
        <v>13.888888888888891</v>
      </c>
      <c r="BV82" s="79">
        <f t="shared" si="110"/>
        <v>5.5555555555555562</v>
      </c>
      <c r="BW82" s="79">
        <f t="shared" si="60"/>
        <v>5.5555555555555562</v>
      </c>
      <c r="BX82" s="79">
        <f t="shared" si="61"/>
        <v>5.5555555555555562</v>
      </c>
      <c r="BY82" s="79">
        <f t="shared" si="62"/>
        <v>5.5555555555555562</v>
      </c>
      <c r="BZ82" s="81">
        <f t="shared" si="109"/>
        <v>0</v>
      </c>
      <c r="CA82" s="79">
        <f t="shared" si="109"/>
        <v>19.444444444444443</v>
      </c>
      <c r="CB82" s="79">
        <f t="shared" si="109"/>
        <v>47.222222222222221</v>
      </c>
      <c r="CC82" s="79">
        <f t="shared" si="108"/>
        <v>86.111111111111114</v>
      </c>
      <c r="CD82" s="79">
        <f t="shared" si="108"/>
        <v>94.444444444444443</v>
      </c>
      <c r="CE82" s="79">
        <f t="shared" si="108"/>
        <v>94.444444444444443</v>
      </c>
      <c r="CF82" s="79">
        <f t="shared" si="108"/>
        <v>94.444444444444443</v>
      </c>
      <c r="CG82" s="264">
        <f t="shared" si="55"/>
        <v>94.444444444444443</v>
      </c>
    </row>
    <row r="83" spans="2:85" x14ac:dyDescent="0.3">
      <c r="B83" s="409"/>
      <c r="C83" s="412"/>
      <c r="D83" s="70" t="s">
        <v>803</v>
      </c>
      <c r="E83" s="65">
        <v>12</v>
      </c>
      <c r="F83" s="65">
        <v>12</v>
      </c>
      <c r="G83" s="66">
        <v>12</v>
      </c>
      <c r="H83" s="65">
        <f t="shared" si="99"/>
        <v>36</v>
      </c>
      <c r="I83" s="67">
        <v>8</v>
      </c>
      <c r="J83" s="67">
        <v>9</v>
      </c>
      <c r="K83" s="66">
        <v>9</v>
      </c>
      <c r="L83" s="67">
        <v>5</v>
      </c>
      <c r="M83" s="67">
        <v>6</v>
      </c>
      <c r="N83" s="66">
        <v>7</v>
      </c>
      <c r="O83" s="67">
        <v>4</v>
      </c>
      <c r="P83" s="67">
        <v>5</v>
      </c>
      <c r="Q83" s="66">
        <v>6</v>
      </c>
      <c r="R83" s="67">
        <v>4</v>
      </c>
      <c r="S83" s="67">
        <v>5</v>
      </c>
      <c r="T83" s="66">
        <v>4</v>
      </c>
      <c r="U83" s="67">
        <v>4</v>
      </c>
      <c r="V83" s="67">
        <v>5</v>
      </c>
      <c r="W83" s="66">
        <v>4</v>
      </c>
      <c r="X83" s="67">
        <v>4</v>
      </c>
      <c r="Y83" s="67">
        <v>5</v>
      </c>
      <c r="Z83" s="66">
        <v>4</v>
      </c>
      <c r="AA83" s="67">
        <v>4</v>
      </c>
      <c r="AB83" s="67">
        <v>4</v>
      </c>
      <c r="AC83" s="66">
        <v>4</v>
      </c>
      <c r="AD83" s="65">
        <f t="shared" si="63"/>
        <v>100</v>
      </c>
      <c r="AE83" s="65">
        <f t="shared" si="64"/>
        <v>100</v>
      </c>
      <c r="AF83" s="66">
        <f t="shared" si="65"/>
        <v>100</v>
      </c>
      <c r="AG83" s="65">
        <f t="shared" si="66"/>
        <v>66.666666666666671</v>
      </c>
      <c r="AH83" s="65">
        <f t="shared" si="67"/>
        <v>75</v>
      </c>
      <c r="AI83" s="66">
        <f t="shared" si="68"/>
        <v>75</v>
      </c>
      <c r="AJ83" s="65">
        <f t="shared" si="69"/>
        <v>41.666666666666671</v>
      </c>
      <c r="AK83" s="65">
        <f t="shared" si="70"/>
        <v>50</v>
      </c>
      <c r="AL83" s="66">
        <f t="shared" si="71"/>
        <v>58.333333333333336</v>
      </c>
      <c r="AM83" s="65">
        <f t="shared" si="72"/>
        <v>33.333333333333336</v>
      </c>
      <c r="AN83" s="65">
        <f t="shared" si="73"/>
        <v>41.666666666666671</v>
      </c>
      <c r="AO83" s="66">
        <f t="shared" si="74"/>
        <v>50</v>
      </c>
      <c r="AP83" s="65">
        <f t="shared" si="75"/>
        <v>33.333333333333336</v>
      </c>
      <c r="AQ83" s="65">
        <f t="shared" si="76"/>
        <v>41.666666666666671</v>
      </c>
      <c r="AR83" s="66">
        <f t="shared" si="77"/>
        <v>33.333333333333336</v>
      </c>
      <c r="AS83" s="65">
        <f t="shared" si="78"/>
        <v>33.333333333333336</v>
      </c>
      <c r="AT83" s="65">
        <f t="shared" si="79"/>
        <v>41.666666666666671</v>
      </c>
      <c r="AU83" s="66">
        <f t="shared" si="80"/>
        <v>33.333333333333336</v>
      </c>
      <c r="AV83" s="65">
        <f t="shared" si="81"/>
        <v>33.333333333333336</v>
      </c>
      <c r="AW83" s="65">
        <f t="shared" si="82"/>
        <v>41.666666666666671</v>
      </c>
      <c r="AX83" s="66">
        <f t="shared" si="83"/>
        <v>33.333333333333336</v>
      </c>
      <c r="AY83" s="65">
        <f t="shared" si="84"/>
        <v>33.333333333333336</v>
      </c>
      <c r="AZ83" s="65">
        <f t="shared" si="85"/>
        <v>33.333333333333336</v>
      </c>
      <c r="BA83" s="66">
        <f t="shared" si="86"/>
        <v>33.333333333333336</v>
      </c>
      <c r="BB83" s="68">
        <f t="shared" si="87"/>
        <v>0</v>
      </c>
      <c r="BC83" s="65">
        <f t="shared" si="88"/>
        <v>4.8112522432468783</v>
      </c>
      <c r="BD83" s="65">
        <f t="shared" si="89"/>
        <v>8.3333333333333268</v>
      </c>
      <c r="BE83" s="65">
        <f t="shared" si="90"/>
        <v>8.3333333333333552</v>
      </c>
      <c r="BF83" s="65">
        <f t="shared" si="91"/>
        <v>4.8112522432468703</v>
      </c>
      <c r="BG83" s="65">
        <f t="shared" si="92"/>
        <v>4.8112522432468703</v>
      </c>
      <c r="BH83" s="65">
        <f t="shared" si="93"/>
        <v>4.8112522432468703</v>
      </c>
      <c r="BI83" s="65">
        <f t="shared" si="94"/>
        <v>0</v>
      </c>
      <c r="BJ83" s="68">
        <f t="shared" si="100"/>
        <v>0</v>
      </c>
      <c r="BK83" s="65">
        <f t="shared" si="101"/>
        <v>0.80187537387447971</v>
      </c>
      <c r="BL83" s="65">
        <f t="shared" si="102"/>
        <v>1.3888888888888877</v>
      </c>
      <c r="BM83" s="65">
        <f t="shared" si="103"/>
        <v>1.3888888888888926</v>
      </c>
      <c r="BN83" s="65">
        <f t="shared" si="104"/>
        <v>0.80187537387447838</v>
      </c>
      <c r="BO83" s="65">
        <f t="shared" si="105"/>
        <v>0.80187537387447838</v>
      </c>
      <c r="BP83" s="65">
        <f t="shared" si="106"/>
        <v>0.80187537387447838</v>
      </c>
      <c r="BQ83" s="90">
        <f t="shared" si="107"/>
        <v>0</v>
      </c>
      <c r="BR83" s="69">
        <f t="shared" si="95"/>
        <v>100</v>
      </c>
      <c r="BS83" s="67">
        <f t="shared" si="96"/>
        <v>72.222222222222229</v>
      </c>
      <c r="BT83" s="67">
        <f t="shared" si="97"/>
        <v>50</v>
      </c>
      <c r="BU83" s="67">
        <f t="shared" si="98"/>
        <v>41.666666666666664</v>
      </c>
      <c r="BV83" s="67">
        <f t="shared" si="110"/>
        <v>36.111111111111114</v>
      </c>
      <c r="BW83" s="67">
        <f t="shared" si="60"/>
        <v>36.111111111111114</v>
      </c>
      <c r="BX83" s="67">
        <f t="shared" si="61"/>
        <v>36.111111111111114</v>
      </c>
      <c r="BY83" s="67">
        <f t="shared" si="62"/>
        <v>36.111111111111114</v>
      </c>
      <c r="BZ83" s="69">
        <f t="shared" si="109"/>
        <v>0</v>
      </c>
      <c r="CA83" s="67">
        <f t="shared" si="109"/>
        <v>27.777777777777771</v>
      </c>
      <c r="CB83" s="67">
        <f t="shared" si="109"/>
        <v>50</v>
      </c>
      <c r="CC83" s="67">
        <f t="shared" si="108"/>
        <v>58.333333333333336</v>
      </c>
      <c r="CD83" s="67">
        <f t="shared" si="108"/>
        <v>63.888888888888886</v>
      </c>
      <c r="CE83" s="67">
        <f t="shared" si="108"/>
        <v>63.888888888888886</v>
      </c>
      <c r="CF83" s="67">
        <f t="shared" si="108"/>
        <v>63.888888888888886</v>
      </c>
      <c r="CG83" s="116">
        <f t="shared" si="55"/>
        <v>63.888888888888886</v>
      </c>
    </row>
    <row r="84" spans="2:85" x14ac:dyDescent="0.3">
      <c r="B84" s="409"/>
      <c r="C84" s="412"/>
      <c r="D84" s="70" t="s">
        <v>804</v>
      </c>
      <c r="E84" s="65">
        <v>12</v>
      </c>
      <c r="F84" s="65">
        <v>12</v>
      </c>
      <c r="G84" s="66">
        <v>12</v>
      </c>
      <c r="H84" s="65">
        <f t="shared" si="99"/>
        <v>36</v>
      </c>
      <c r="I84" s="67">
        <v>11</v>
      </c>
      <c r="J84" s="67">
        <v>9</v>
      </c>
      <c r="K84" s="66">
        <v>8</v>
      </c>
      <c r="L84" s="67">
        <v>10</v>
      </c>
      <c r="M84" s="67">
        <v>5</v>
      </c>
      <c r="N84" s="66">
        <v>8</v>
      </c>
      <c r="O84" s="67">
        <v>10</v>
      </c>
      <c r="P84" s="67">
        <v>5</v>
      </c>
      <c r="Q84" s="66">
        <v>8</v>
      </c>
      <c r="R84" s="67">
        <v>7</v>
      </c>
      <c r="S84" s="67">
        <v>5</v>
      </c>
      <c r="T84" s="66">
        <v>6</v>
      </c>
      <c r="U84" s="67">
        <v>7</v>
      </c>
      <c r="V84" s="67">
        <v>5</v>
      </c>
      <c r="W84" s="66">
        <v>6</v>
      </c>
      <c r="X84" s="67">
        <v>6</v>
      </c>
      <c r="Y84" s="67">
        <v>5</v>
      </c>
      <c r="Z84" s="66">
        <v>6</v>
      </c>
      <c r="AA84" s="67">
        <v>5</v>
      </c>
      <c r="AB84" s="67">
        <v>5</v>
      </c>
      <c r="AC84" s="66">
        <v>6</v>
      </c>
      <c r="AD84" s="65">
        <f t="shared" si="63"/>
        <v>100</v>
      </c>
      <c r="AE84" s="65">
        <f t="shared" si="64"/>
        <v>100</v>
      </c>
      <c r="AF84" s="66">
        <f t="shared" si="65"/>
        <v>100</v>
      </c>
      <c r="AG84" s="65">
        <f t="shared" si="66"/>
        <v>91.666666666666671</v>
      </c>
      <c r="AH84" s="65">
        <f t="shared" si="67"/>
        <v>75</v>
      </c>
      <c r="AI84" s="66">
        <f t="shared" si="68"/>
        <v>66.666666666666671</v>
      </c>
      <c r="AJ84" s="65">
        <f t="shared" si="69"/>
        <v>83.333333333333343</v>
      </c>
      <c r="AK84" s="65">
        <f t="shared" si="70"/>
        <v>41.666666666666671</v>
      </c>
      <c r="AL84" s="66">
        <f t="shared" si="71"/>
        <v>66.666666666666671</v>
      </c>
      <c r="AM84" s="65">
        <f t="shared" si="72"/>
        <v>83.333333333333343</v>
      </c>
      <c r="AN84" s="65">
        <f t="shared" si="73"/>
        <v>41.666666666666671</v>
      </c>
      <c r="AO84" s="66">
        <f t="shared" si="74"/>
        <v>66.666666666666671</v>
      </c>
      <c r="AP84" s="65">
        <f t="shared" si="75"/>
        <v>58.333333333333336</v>
      </c>
      <c r="AQ84" s="65">
        <f t="shared" si="76"/>
        <v>41.666666666666671</v>
      </c>
      <c r="AR84" s="66">
        <f t="shared" si="77"/>
        <v>50</v>
      </c>
      <c r="AS84" s="65">
        <f t="shared" si="78"/>
        <v>58.333333333333336</v>
      </c>
      <c r="AT84" s="65">
        <f t="shared" si="79"/>
        <v>41.666666666666671</v>
      </c>
      <c r="AU84" s="66">
        <f t="shared" si="80"/>
        <v>50</v>
      </c>
      <c r="AV84" s="65">
        <f t="shared" si="81"/>
        <v>50</v>
      </c>
      <c r="AW84" s="65">
        <f t="shared" si="82"/>
        <v>41.666666666666671</v>
      </c>
      <c r="AX84" s="66">
        <f t="shared" si="83"/>
        <v>50</v>
      </c>
      <c r="AY84" s="65">
        <f t="shared" si="84"/>
        <v>41.666666666666671</v>
      </c>
      <c r="AZ84" s="65">
        <f t="shared" si="85"/>
        <v>41.666666666666671</v>
      </c>
      <c r="BA84" s="66">
        <f t="shared" si="86"/>
        <v>50</v>
      </c>
      <c r="BB84" s="68">
        <f t="shared" si="87"/>
        <v>0</v>
      </c>
      <c r="BC84" s="65">
        <f t="shared" si="88"/>
        <v>12.729376930432867</v>
      </c>
      <c r="BD84" s="65">
        <f t="shared" si="89"/>
        <v>20.971762320196547</v>
      </c>
      <c r="BE84" s="65">
        <f t="shared" si="90"/>
        <v>20.971762320196547</v>
      </c>
      <c r="BF84" s="65">
        <f t="shared" si="91"/>
        <v>8.3333333333333552</v>
      </c>
      <c r="BG84" s="65">
        <f t="shared" si="92"/>
        <v>8.3333333333333552</v>
      </c>
      <c r="BH84" s="65">
        <f t="shared" si="93"/>
        <v>4.8112522432468783</v>
      </c>
      <c r="BI84" s="65">
        <f t="shared" si="94"/>
        <v>4.8112522432468783</v>
      </c>
      <c r="BJ84" s="68">
        <f t="shared" si="100"/>
        <v>0</v>
      </c>
      <c r="BK84" s="65">
        <f t="shared" si="101"/>
        <v>2.1215628217388112</v>
      </c>
      <c r="BL84" s="65">
        <f t="shared" si="102"/>
        <v>3.4952937200327576</v>
      </c>
      <c r="BM84" s="65">
        <f t="shared" si="103"/>
        <v>3.4952937200327576</v>
      </c>
      <c r="BN84" s="65">
        <f t="shared" si="104"/>
        <v>1.3888888888888926</v>
      </c>
      <c r="BO84" s="65">
        <f t="shared" si="105"/>
        <v>1.3888888888888926</v>
      </c>
      <c r="BP84" s="65">
        <f t="shared" si="106"/>
        <v>0.80187537387447971</v>
      </c>
      <c r="BQ84" s="90">
        <f t="shared" si="107"/>
        <v>0.80187537387447971</v>
      </c>
      <c r="BR84" s="69">
        <f t="shared" si="95"/>
        <v>100</v>
      </c>
      <c r="BS84" s="67">
        <f t="shared" si="96"/>
        <v>77.777777777777786</v>
      </c>
      <c r="BT84" s="67">
        <f t="shared" si="97"/>
        <v>63.888888888888893</v>
      </c>
      <c r="BU84" s="67">
        <f t="shared" si="98"/>
        <v>63.888888888888893</v>
      </c>
      <c r="BV84" s="67">
        <f t="shared" si="110"/>
        <v>50</v>
      </c>
      <c r="BW84" s="67">
        <f t="shared" si="60"/>
        <v>50</v>
      </c>
      <c r="BX84" s="67">
        <f t="shared" si="61"/>
        <v>47.222222222222229</v>
      </c>
      <c r="BY84" s="67">
        <f t="shared" si="62"/>
        <v>47.222222222222229</v>
      </c>
      <c r="BZ84" s="69">
        <f t="shared" si="109"/>
        <v>0</v>
      </c>
      <c r="CA84" s="67">
        <f t="shared" si="109"/>
        <v>22.222222222222214</v>
      </c>
      <c r="CB84" s="67">
        <f t="shared" si="109"/>
        <v>36.111111111111107</v>
      </c>
      <c r="CC84" s="67">
        <f t="shared" si="108"/>
        <v>36.111111111111107</v>
      </c>
      <c r="CD84" s="67">
        <f t="shared" si="108"/>
        <v>50</v>
      </c>
      <c r="CE84" s="67">
        <f t="shared" si="108"/>
        <v>50</v>
      </c>
      <c r="CF84" s="67">
        <f t="shared" si="108"/>
        <v>52.777777777777771</v>
      </c>
      <c r="CG84" s="116">
        <f t="shared" si="55"/>
        <v>52.777777777777771</v>
      </c>
    </row>
    <row r="85" spans="2:85" x14ac:dyDescent="0.3">
      <c r="B85" s="410"/>
      <c r="C85" s="413"/>
      <c r="D85" s="70" t="s">
        <v>805</v>
      </c>
      <c r="E85" s="71">
        <v>12</v>
      </c>
      <c r="F85" s="71">
        <v>12</v>
      </c>
      <c r="G85" s="72">
        <v>12</v>
      </c>
      <c r="H85" s="71">
        <f t="shared" si="99"/>
        <v>36</v>
      </c>
      <c r="I85" s="73">
        <v>12</v>
      </c>
      <c r="J85" s="73">
        <v>12</v>
      </c>
      <c r="K85" s="72">
        <v>10</v>
      </c>
      <c r="L85" s="73">
        <v>11</v>
      </c>
      <c r="M85" s="73">
        <v>11</v>
      </c>
      <c r="N85" s="72">
        <v>7</v>
      </c>
      <c r="O85" s="73">
        <v>11</v>
      </c>
      <c r="P85" s="73">
        <v>11</v>
      </c>
      <c r="Q85" s="72">
        <v>7</v>
      </c>
      <c r="R85" s="73">
        <v>9</v>
      </c>
      <c r="S85" s="73">
        <v>9</v>
      </c>
      <c r="T85" s="72">
        <v>5</v>
      </c>
      <c r="U85" s="73">
        <v>9</v>
      </c>
      <c r="V85" s="73">
        <v>9</v>
      </c>
      <c r="W85" s="72">
        <v>5</v>
      </c>
      <c r="X85" s="73">
        <v>8</v>
      </c>
      <c r="Y85" s="73">
        <v>8</v>
      </c>
      <c r="Z85" s="72">
        <v>5</v>
      </c>
      <c r="AA85" s="73">
        <v>6</v>
      </c>
      <c r="AB85" s="73">
        <v>5</v>
      </c>
      <c r="AC85" s="72">
        <v>5</v>
      </c>
      <c r="AD85" s="71">
        <f t="shared" si="63"/>
        <v>100</v>
      </c>
      <c r="AE85" s="71">
        <f t="shared" si="64"/>
        <v>100</v>
      </c>
      <c r="AF85" s="72">
        <f t="shared" si="65"/>
        <v>100</v>
      </c>
      <c r="AG85" s="71">
        <f t="shared" si="66"/>
        <v>100</v>
      </c>
      <c r="AH85" s="71">
        <f t="shared" si="67"/>
        <v>100</v>
      </c>
      <c r="AI85" s="72">
        <f t="shared" si="68"/>
        <v>83.333333333333343</v>
      </c>
      <c r="AJ85" s="71">
        <f t="shared" si="69"/>
        <v>91.666666666666671</v>
      </c>
      <c r="AK85" s="71">
        <f t="shared" si="70"/>
        <v>91.666666666666671</v>
      </c>
      <c r="AL85" s="72">
        <f t="shared" si="71"/>
        <v>58.333333333333336</v>
      </c>
      <c r="AM85" s="71">
        <f t="shared" si="72"/>
        <v>91.666666666666671</v>
      </c>
      <c r="AN85" s="71">
        <f t="shared" si="73"/>
        <v>91.666666666666671</v>
      </c>
      <c r="AO85" s="72">
        <f t="shared" si="74"/>
        <v>58.333333333333336</v>
      </c>
      <c r="AP85" s="71">
        <f t="shared" si="75"/>
        <v>75</v>
      </c>
      <c r="AQ85" s="71">
        <f t="shared" si="76"/>
        <v>75</v>
      </c>
      <c r="AR85" s="72">
        <f t="shared" si="77"/>
        <v>41.666666666666671</v>
      </c>
      <c r="AS85" s="71">
        <f t="shared" si="78"/>
        <v>75</v>
      </c>
      <c r="AT85" s="71">
        <f t="shared" si="79"/>
        <v>75</v>
      </c>
      <c r="AU85" s="72">
        <f t="shared" si="80"/>
        <v>41.666666666666671</v>
      </c>
      <c r="AV85" s="71">
        <f t="shared" si="81"/>
        <v>66.666666666666671</v>
      </c>
      <c r="AW85" s="71">
        <f t="shared" si="82"/>
        <v>66.666666666666671</v>
      </c>
      <c r="AX85" s="72">
        <f t="shared" si="83"/>
        <v>41.666666666666671</v>
      </c>
      <c r="AY85" s="71">
        <f t="shared" si="84"/>
        <v>50</v>
      </c>
      <c r="AZ85" s="71">
        <f t="shared" si="85"/>
        <v>41.666666666666671</v>
      </c>
      <c r="BA85" s="72">
        <f t="shared" si="86"/>
        <v>41.666666666666671</v>
      </c>
      <c r="BB85" s="74">
        <f t="shared" si="87"/>
        <v>0</v>
      </c>
      <c r="BC85" s="71">
        <f t="shared" si="88"/>
        <v>9.6225044864937566</v>
      </c>
      <c r="BD85" s="71">
        <f t="shared" si="89"/>
        <v>19.245008972987527</v>
      </c>
      <c r="BE85" s="71">
        <f t="shared" si="90"/>
        <v>19.245008972987527</v>
      </c>
      <c r="BF85" s="71">
        <f t="shared" si="91"/>
        <v>19.245008972987502</v>
      </c>
      <c r="BG85" s="71">
        <f t="shared" si="92"/>
        <v>19.245008972987502</v>
      </c>
      <c r="BH85" s="71">
        <f t="shared" si="93"/>
        <v>14.433756729740665</v>
      </c>
      <c r="BI85" s="71">
        <f t="shared" si="94"/>
        <v>4.8112522432468783</v>
      </c>
      <c r="BJ85" s="74">
        <f t="shared" si="100"/>
        <v>0</v>
      </c>
      <c r="BK85" s="71">
        <f t="shared" si="101"/>
        <v>1.6037507477489594</v>
      </c>
      <c r="BL85" s="71">
        <f t="shared" si="102"/>
        <v>3.2075014954979211</v>
      </c>
      <c r="BM85" s="71">
        <f t="shared" si="103"/>
        <v>3.2075014954979211</v>
      </c>
      <c r="BN85" s="71">
        <f t="shared" si="104"/>
        <v>3.2075014954979171</v>
      </c>
      <c r="BO85" s="71">
        <f t="shared" si="105"/>
        <v>3.2075014954979171</v>
      </c>
      <c r="BP85" s="71">
        <f t="shared" si="106"/>
        <v>2.405626121623444</v>
      </c>
      <c r="BQ85" s="91">
        <f t="shared" si="107"/>
        <v>0.80187537387447971</v>
      </c>
      <c r="BR85" s="75">
        <f t="shared" si="95"/>
        <v>100</v>
      </c>
      <c r="BS85" s="73">
        <f t="shared" si="96"/>
        <v>94.444444444444457</v>
      </c>
      <c r="BT85" s="73">
        <f t="shared" si="97"/>
        <v>80.555555555555557</v>
      </c>
      <c r="BU85" s="73">
        <f t="shared" si="98"/>
        <v>80.555555555555557</v>
      </c>
      <c r="BV85" s="73">
        <f t="shared" si="110"/>
        <v>63.888888888888893</v>
      </c>
      <c r="BW85" s="73">
        <f t="shared" si="60"/>
        <v>63.888888888888893</v>
      </c>
      <c r="BX85" s="73">
        <f t="shared" si="61"/>
        <v>61.111111111111114</v>
      </c>
      <c r="BY85" s="73">
        <f t="shared" si="62"/>
        <v>58.333333333333336</v>
      </c>
      <c r="BZ85" s="75">
        <f t="shared" si="109"/>
        <v>0</v>
      </c>
      <c r="CA85" s="73">
        <f t="shared" si="109"/>
        <v>5.5555555555555429</v>
      </c>
      <c r="CB85" s="73">
        <f t="shared" si="109"/>
        <v>19.444444444444443</v>
      </c>
      <c r="CC85" s="73">
        <f t="shared" si="108"/>
        <v>19.444444444444443</v>
      </c>
      <c r="CD85" s="73">
        <f t="shared" si="108"/>
        <v>36.111111111111107</v>
      </c>
      <c r="CE85" s="73">
        <f t="shared" si="108"/>
        <v>36.111111111111107</v>
      </c>
      <c r="CF85" s="73">
        <f t="shared" si="108"/>
        <v>38.888888888888886</v>
      </c>
      <c r="CG85" s="265">
        <f t="shared" si="55"/>
        <v>41.666666666666664</v>
      </c>
    </row>
    <row r="86" spans="2:85" ht="15" customHeight="1" x14ac:dyDescent="0.3">
      <c r="B86" s="408">
        <v>21</v>
      </c>
      <c r="C86" s="411" t="s">
        <v>41</v>
      </c>
      <c r="D86" s="76" t="s">
        <v>802</v>
      </c>
      <c r="E86" s="77">
        <v>12</v>
      </c>
      <c r="F86" s="77">
        <v>12</v>
      </c>
      <c r="G86" s="78">
        <v>12</v>
      </c>
      <c r="H86" s="77">
        <f>SUM(E86:G86)</f>
        <v>36</v>
      </c>
      <c r="I86" s="79">
        <v>7</v>
      </c>
      <c r="J86" s="79">
        <v>7</v>
      </c>
      <c r="K86" s="78">
        <v>6</v>
      </c>
      <c r="L86" s="79">
        <v>4</v>
      </c>
      <c r="M86" s="79">
        <v>3</v>
      </c>
      <c r="N86" s="78">
        <v>2</v>
      </c>
      <c r="O86" s="79">
        <v>2</v>
      </c>
      <c r="P86" s="79">
        <v>2</v>
      </c>
      <c r="Q86" s="78">
        <v>1</v>
      </c>
      <c r="R86" s="79">
        <v>0</v>
      </c>
      <c r="S86" s="79">
        <v>0</v>
      </c>
      <c r="T86" s="78">
        <v>1</v>
      </c>
      <c r="U86" s="79">
        <v>0</v>
      </c>
      <c r="V86" s="79">
        <v>0</v>
      </c>
      <c r="W86" s="78">
        <v>1</v>
      </c>
      <c r="X86" s="79">
        <v>0</v>
      </c>
      <c r="Y86" s="79">
        <v>0</v>
      </c>
      <c r="Z86" s="78">
        <v>0</v>
      </c>
      <c r="AA86" s="79">
        <v>0</v>
      </c>
      <c r="AB86" s="79">
        <v>0</v>
      </c>
      <c r="AC86" s="78">
        <v>0</v>
      </c>
      <c r="AD86" s="77">
        <f t="shared" ref="AD86:AF89" si="111">100/E86*E86</f>
        <v>100</v>
      </c>
      <c r="AE86" s="77">
        <f t="shared" si="111"/>
        <v>100</v>
      </c>
      <c r="AF86" s="78">
        <f t="shared" si="111"/>
        <v>100</v>
      </c>
      <c r="AG86" s="77">
        <f t="shared" ref="AG86:AI89" si="112">100/E86*I86</f>
        <v>58.333333333333336</v>
      </c>
      <c r="AH86" s="77">
        <f t="shared" si="112"/>
        <v>58.333333333333336</v>
      </c>
      <c r="AI86" s="78">
        <f t="shared" si="112"/>
        <v>50</v>
      </c>
      <c r="AJ86" s="77">
        <f t="shared" ref="AJ86:AL89" si="113">100/E86*L86</f>
        <v>33.333333333333336</v>
      </c>
      <c r="AK86" s="77">
        <f t="shared" si="113"/>
        <v>25</v>
      </c>
      <c r="AL86" s="78">
        <f t="shared" si="113"/>
        <v>16.666666666666668</v>
      </c>
      <c r="AM86" s="77">
        <f t="shared" ref="AM86:AO89" si="114">100/E86*O86</f>
        <v>16.666666666666668</v>
      </c>
      <c r="AN86" s="77">
        <f t="shared" si="114"/>
        <v>16.666666666666668</v>
      </c>
      <c r="AO86" s="78">
        <f t="shared" si="114"/>
        <v>8.3333333333333339</v>
      </c>
      <c r="AP86" s="77">
        <f t="shared" ref="AP86:AR89" si="115">100/E86*R86</f>
        <v>0</v>
      </c>
      <c r="AQ86" s="77">
        <f t="shared" si="115"/>
        <v>0</v>
      </c>
      <c r="AR86" s="78">
        <f t="shared" si="115"/>
        <v>8.3333333333333339</v>
      </c>
      <c r="AS86" s="77">
        <f t="shared" ref="AS86:AU89" si="116">100/E86*U86</f>
        <v>0</v>
      </c>
      <c r="AT86" s="77">
        <f t="shared" si="116"/>
        <v>0</v>
      </c>
      <c r="AU86" s="78">
        <f t="shared" si="116"/>
        <v>8.3333333333333339</v>
      </c>
      <c r="AV86" s="77">
        <f t="shared" ref="AV86:AX89" si="117">100/E86*X86</f>
        <v>0</v>
      </c>
      <c r="AW86" s="77">
        <f t="shared" si="117"/>
        <v>0</v>
      </c>
      <c r="AX86" s="78">
        <f t="shared" si="117"/>
        <v>0</v>
      </c>
      <c r="AY86" s="77">
        <f t="shared" ref="AY86:BA89" si="118">100/E86*AA86</f>
        <v>0</v>
      </c>
      <c r="AZ86" s="77">
        <f t="shared" si="118"/>
        <v>0</v>
      </c>
      <c r="BA86" s="78">
        <f t="shared" si="118"/>
        <v>0</v>
      </c>
      <c r="BB86" s="80">
        <f>STDEV(AD86:AF86)</f>
        <v>0</v>
      </c>
      <c r="BC86" s="77">
        <f>STDEV(AG86:AI86)</f>
        <v>4.8112522432468827</v>
      </c>
      <c r="BD86" s="77">
        <f>STDEV(AJ86:AL86)</f>
        <v>8.333333333333341</v>
      </c>
      <c r="BE86" s="77">
        <f>STDEV(AM86:AO86)</f>
        <v>4.8112522432468818</v>
      </c>
      <c r="BF86" s="77">
        <f>STDEV(AP86:AR86)</f>
        <v>4.8112522432468818</v>
      </c>
      <c r="BG86" s="77">
        <f>STDEV(AS86:AU86)</f>
        <v>4.8112522432468818</v>
      </c>
      <c r="BH86" s="77">
        <f>STDEV(AV86:AX86)</f>
        <v>0</v>
      </c>
      <c r="BI86" s="77">
        <f>STDEV(AY86:BA86)</f>
        <v>0</v>
      </c>
      <c r="BJ86" s="80">
        <f t="shared" ref="BJ86:BQ89" si="119">BB86/SQRT($H86)</f>
        <v>0</v>
      </c>
      <c r="BK86" s="77">
        <f t="shared" si="119"/>
        <v>0.80187537387448049</v>
      </c>
      <c r="BL86" s="77">
        <f t="shared" si="119"/>
        <v>1.3888888888888902</v>
      </c>
      <c r="BM86" s="77">
        <f t="shared" si="119"/>
        <v>0.80187537387448027</v>
      </c>
      <c r="BN86" s="77">
        <f t="shared" si="119"/>
        <v>0.80187537387448027</v>
      </c>
      <c r="BO86" s="77">
        <f t="shared" si="119"/>
        <v>0.80187537387448027</v>
      </c>
      <c r="BP86" s="77">
        <f t="shared" si="119"/>
        <v>0</v>
      </c>
      <c r="BQ86" s="92">
        <f t="shared" si="119"/>
        <v>0</v>
      </c>
      <c r="BR86" s="81">
        <f>AVERAGE(AD86:AF86)</f>
        <v>100</v>
      </c>
      <c r="BS86" s="79">
        <f>AVERAGE(AG86:AI86)</f>
        <v>55.555555555555564</v>
      </c>
      <c r="BT86" s="79">
        <f>AVERAGE(AJ86:AL86)</f>
        <v>25</v>
      </c>
      <c r="BU86" s="79">
        <f>AVERAGE(AM86:AO86)</f>
        <v>13.888888888888891</v>
      </c>
      <c r="BV86" s="79">
        <f>AVERAGE(AP86:AR86)</f>
        <v>2.7777777777777781</v>
      </c>
      <c r="BW86" s="79">
        <f t="shared" ref="BW86:BY89" si="120">AVERAGE(AS86:AU86)</f>
        <v>2.7777777777777781</v>
      </c>
      <c r="BX86" s="79">
        <f t="shared" si="120"/>
        <v>2.7777777777777781</v>
      </c>
      <c r="BY86" s="79">
        <f t="shared" si="120"/>
        <v>2.7777777777777781</v>
      </c>
      <c r="BZ86" s="81">
        <f t="shared" ref="BZ86:CG89" si="121">100-BR86</f>
        <v>0</v>
      </c>
      <c r="CA86" s="79">
        <f t="shared" si="121"/>
        <v>44.444444444444436</v>
      </c>
      <c r="CB86" s="79">
        <f t="shared" si="121"/>
        <v>75</v>
      </c>
      <c r="CC86" s="79">
        <f t="shared" si="121"/>
        <v>86.111111111111114</v>
      </c>
      <c r="CD86" s="79">
        <f t="shared" si="121"/>
        <v>97.222222222222229</v>
      </c>
      <c r="CE86" s="79">
        <f t="shared" si="121"/>
        <v>97.222222222222229</v>
      </c>
      <c r="CF86" s="79">
        <f t="shared" si="121"/>
        <v>97.222222222222229</v>
      </c>
      <c r="CG86" s="264">
        <f t="shared" si="121"/>
        <v>97.222222222222229</v>
      </c>
    </row>
    <row r="87" spans="2:85" x14ac:dyDescent="0.3">
      <c r="B87" s="409"/>
      <c r="C87" s="412"/>
      <c r="D87" s="70" t="s">
        <v>803</v>
      </c>
      <c r="E87" s="65">
        <v>12</v>
      </c>
      <c r="F87" s="65">
        <v>12</v>
      </c>
      <c r="G87" s="66">
        <v>12</v>
      </c>
      <c r="H87" s="65">
        <f>SUM(E87:G87)</f>
        <v>36</v>
      </c>
      <c r="I87" s="67">
        <v>7</v>
      </c>
      <c r="J87" s="67">
        <v>9</v>
      </c>
      <c r="K87" s="66">
        <v>11</v>
      </c>
      <c r="L87" s="67">
        <v>7</v>
      </c>
      <c r="M87" s="67">
        <v>6</v>
      </c>
      <c r="N87" s="66">
        <v>7</v>
      </c>
      <c r="O87" s="67">
        <v>6</v>
      </c>
      <c r="P87" s="67">
        <v>5</v>
      </c>
      <c r="Q87" s="66">
        <v>8</v>
      </c>
      <c r="R87" s="67">
        <v>3</v>
      </c>
      <c r="S87" s="67">
        <v>2</v>
      </c>
      <c r="T87" s="66">
        <v>2</v>
      </c>
      <c r="U87" s="67">
        <v>3</v>
      </c>
      <c r="V87" s="67">
        <v>1</v>
      </c>
      <c r="W87" s="66">
        <v>2</v>
      </c>
      <c r="X87" s="67">
        <v>1</v>
      </c>
      <c r="Y87" s="67">
        <v>1</v>
      </c>
      <c r="Z87" s="66">
        <v>1</v>
      </c>
      <c r="AA87" s="67">
        <v>1</v>
      </c>
      <c r="AB87" s="67">
        <v>0</v>
      </c>
      <c r="AC87" s="66">
        <v>0</v>
      </c>
      <c r="AD87" s="65">
        <f t="shared" si="111"/>
        <v>100</v>
      </c>
      <c r="AE87" s="65">
        <f t="shared" si="111"/>
        <v>100</v>
      </c>
      <c r="AF87" s="66">
        <f t="shared" si="111"/>
        <v>100</v>
      </c>
      <c r="AG87" s="65">
        <f t="shared" si="112"/>
        <v>58.333333333333336</v>
      </c>
      <c r="AH87" s="65">
        <f t="shared" si="112"/>
        <v>75</v>
      </c>
      <c r="AI87" s="66">
        <f t="shared" si="112"/>
        <v>91.666666666666671</v>
      </c>
      <c r="AJ87" s="65">
        <f t="shared" si="113"/>
        <v>58.333333333333336</v>
      </c>
      <c r="AK87" s="65">
        <f t="shared" si="113"/>
        <v>50</v>
      </c>
      <c r="AL87" s="66">
        <f t="shared" si="113"/>
        <v>58.333333333333336</v>
      </c>
      <c r="AM87" s="65">
        <f t="shared" si="114"/>
        <v>50</v>
      </c>
      <c r="AN87" s="65">
        <f t="shared" si="114"/>
        <v>41.666666666666671</v>
      </c>
      <c r="AO87" s="66">
        <f t="shared" si="114"/>
        <v>66.666666666666671</v>
      </c>
      <c r="AP87" s="65">
        <f t="shared" si="115"/>
        <v>25</v>
      </c>
      <c r="AQ87" s="65">
        <f t="shared" si="115"/>
        <v>16.666666666666668</v>
      </c>
      <c r="AR87" s="66">
        <f t="shared" si="115"/>
        <v>16.666666666666668</v>
      </c>
      <c r="AS87" s="65">
        <f t="shared" si="116"/>
        <v>25</v>
      </c>
      <c r="AT87" s="65">
        <f t="shared" si="116"/>
        <v>8.3333333333333339</v>
      </c>
      <c r="AU87" s="66">
        <f t="shared" si="116"/>
        <v>16.666666666666668</v>
      </c>
      <c r="AV87" s="65">
        <f t="shared" si="117"/>
        <v>8.3333333333333339</v>
      </c>
      <c r="AW87" s="65">
        <f t="shared" si="117"/>
        <v>8.3333333333333339</v>
      </c>
      <c r="AX87" s="66">
        <f t="shared" si="117"/>
        <v>8.3333333333333339</v>
      </c>
      <c r="AY87" s="65">
        <f t="shared" si="118"/>
        <v>8.3333333333333339</v>
      </c>
      <c r="AZ87" s="65">
        <f t="shared" si="118"/>
        <v>0</v>
      </c>
      <c r="BA87" s="66">
        <f t="shared" si="118"/>
        <v>0</v>
      </c>
      <c r="BB87" s="68">
        <f>STDEV(AD87:AF87)</f>
        <v>0</v>
      </c>
      <c r="BC87" s="65">
        <f>STDEV(AG87:AI87)</f>
        <v>16.666666666666654</v>
      </c>
      <c r="BD87" s="65">
        <f>STDEV(AJ87:AL87)</f>
        <v>4.8112522432468827</v>
      </c>
      <c r="BE87" s="65">
        <f>STDEV(AM87:AO87)</f>
        <v>12.729376930432867</v>
      </c>
      <c r="BF87" s="65">
        <f>STDEV(AP87:AR87)</f>
        <v>4.8112522432468703</v>
      </c>
      <c r="BG87" s="65">
        <f>STDEV(AS87:AU87)</f>
        <v>8.3333333333333339</v>
      </c>
      <c r="BH87" s="65">
        <f>STDEV(AV87:AX87)</f>
        <v>0</v>
      </c>
      <c r="BI87" s="65">
        <f>STDEV(AY87:BA87)</f>
        <v>4.8112522432468818</v>
      </c>
      <c r="BJ87" s="68">
        <f t="shared" si="119"/>
        <v>0</v>
      </c>
      <c r="BK87" s="65">
        <f t="shared" si="119"/>
        <v>2.7777777777777755</v>
      </c>
      <c r="BL87" s="65">
        <f t="shared" si="119"/>
        <v>0.80187537387448049</v>
      </c>
      <c r="BM87" s="65">
        <f t="shared" si="119"/>
        <v>2.1215628217388112</v>
      </c>
      <c r="BN87" s="65">
        <f t="shared" si="119"/>
        <v>0.80187537387447838</v>
      </c>
      <c r="BO87" s="65">
        <f t="shared" si="119"/>
        <v>1.3888888888888891</v>
      </c>
      <c r="BP87" s="65">
        <f t="shared" si="119"/>
        <v>0</v>
      </c>
      <c r="BQ87" s="90">
        <f t="shared" si="119"/>
        <v>0.80187537387448027</v>
      </c>
      <c r="BR87" s="69">
        <f>AVERAGE(AD87:AF87)</f>
        <v>100</v>
      </c>
      <c r="BS87" s="67">
        <f>AVERAGE(AG87:AI87)</f>
        <v>75</v>
      </c>
      <c r="BT87" s="67">
        <f>AVERAGE(AJ87:AL87)</f>
        <v>55.555555555555564</v>
      </c>
      <c r="BU87" s="67">
        <f>AVERAGE(AM87:AO87)</f>
        <v>52.777777777777779</v>
      </c>
      <c r="BV87" s="67">
        <f>AVERAGE(AP87:AR87)</f>
        <v>19.444444444444446</v>
      </c>
      <c r="BW87" s="67">
        <f t="shared" si="120"/>
        <v>16.666666666666668</v>
      </c>
      <c r="BX87" s="67">
        <f t="shared" si="120"/>
        <v>11.111111111111112</v>
      </c>
      <c r="BY87" s="67">
        <f t="shared" si="120"/>
        <v>11.111111111111112</v>
      </c>
      <c r="BZ87" s="69">
        <f t="shared" si="121"/>
        <v>0</v>
      </c>
      <c r="CA87" s="67">
        <f t="shared" si="121"/>
        <v>25</v>
      </c>
      <c r="CB87" s="67">
        <f t="shared" si="121"/>
        <v>44.444444444444436</v>
      </c>
      <c r="CC87" s="67">
        <f t="shared" si="121"/>
        <v>47.222222222222221</v>
      </c>
      <c r="CD87" s="67">
        <f t="shared" si="121"/>
        <v>80.555555555555557</v>
      </c>
      <c r="CE87" s="67">
        <f t="shared" si="121"/>
        <v>83.333333333333329</v>
      </c>
      <c r="CF87" s="67">
        <f t="shared" si="121"/>
        <v>88.888888888888886</v>
      </c>
      <c r="CG87" s="116">
        <f t="shared" si="121"/>
        <v>88.888888888888886</v>
      </c>
    </row>
    <row r="88" spans="2:85" x14ac:dyDescent="0.3">
      <c r="B88" s="409"/>
      <c r="C88" s="412"/>
      <c r="D88" s="70" t="s">
        <v>804</v>
      </c>
      <c r="E88" s="65">
        <v>12</v>
      </c>
      <c r="F88" s="65">
        <v>12</v>
      </c>
      <c r="G88" s="66">
        <v>12</v>
      </c>
      <c r="H88" s="65">
        <f>SUM(E88:G88)</f>
        <v>36</v>
      </c>
      <c r="I88" s="67">
        <v>10</v>
      </c>
      <c r="J88" s="67">
        <v>10</v>
      </c>
      <c r="K88" s="66">
        <v>10</v>
      </c>
      <c r="L88" s="67">
        <v>10</v>
      </c>
      <c r="M88" s="67">
        <v>10</v>
      </c>
      <c r="N88" s="66">
        <v>9</v>
      </c>
      <c r="O88" s="67">
        <v>9</v>
      </c>
      <c r="P88" s="67">
        <v>9</v>
      </c>
      <c r="Q88" s="66">
        <v>9</v>
      </c>
      <c r="R88" s="67">
        <v>8</v>
      </c>
      <c r="S88" s="67">
        <v>8</v>
      </c>
      <c r="T88" s="66">
        <v>8</v>
      </c>
      <c r="U88" s="67">
        <v>8</v>
      </c>
      <c r="V88" s="67">
        <v>8</v>
      </c>
      <c r="W88" s="66">
        <v>7</v>
      </c>
      <c r="X88" s="67">
        <v>8</v>
      </c>
      <c r="Y88" s="67">
        <v>8</v>
      </c>
      <c r="Z88" s="66">
        <v>7</v>
      </c>
      <c r="AA88" s="67">
        <v>8</v>
      </c>
      <c r="AB88" s="67">
        <v>8</v>
      </c>
      <c r="AC88" s="66">
        <v>7</v>
      </c>
      <c r="AD88" s="65">
        <f t="shared" si="111"/>
        <v>100</v>
      </c>
      <c r="AE88" s="65">
        <f t="shared" si="111"/>
        <v>100</v>
      </c>
      <c r="AF88" s="66">
        <f t="shared" si="111"/>
        <v>100</v>
      </c>
      <c r="AG88" s="65">
        <f t="shared" si="112"/>
        <v>83.333333333333343</v>
      </c>
      <c r="AH88" s="65">
        <f t="shared" si="112"/>
        <v>83.333333333333343</v>
      </c>
      <c r="AI88" s="66">
        <f t="shared" si="112"/>
        <v>83.333333333333343</v>
      </c>
      <c r="AJ88" s="65">
        <f t="shared" si="113"/>
        <v>83.333333333333343</v>
      </c>
      <c r="AK88" s="65">
        <f t="shared" si="113"/>
        <v>83.333333333333343</v>
      </c>
      <c r="AL88" s="66">
        <f t="shared" si="113"/>
        <v>75</v>
      </c>
      <c r="AM88" s="65">
        <f t="shared" si="114"/>
        <v>75</v>
      </c>
      <c r="AN88" s="65">
        <f t="shared" si="114"/>
        <v>75</v>
      </c>
      <c r="AO88" s="66">
        <f t="shared" si="114"/>
        <v>75</v>
      </c>
      <c r="AP88" s="65">
        <f t="shared" si="115"/>
        <v>66.666666666666671</v>
      </c>
      <c r="AQ88" s="65">
        <f t="shared" si="115"/>
        <v>66.666666666666671</v>
      </c>
      <c r="AR88" s="66">
        <f t="shared" si="115"/>
        <v>66.666666666666671</v>
      </c>
      <c r="AS88" s="65">
        <f t="shared" si="116"/>
        <v>66.666666666666671</v>
      </c>
      <c r="AT88" s="65">
        <f t="shared" si="116"/>
        <v>66.666666666666671</v>
      </c>
      <c r="AU88" s="66">
        <f t="shared" si="116"/>
        <v>58.333333333333336</v>
      </c>
      <c r="AV88" s="65">
        <f t="shared" si="117"/>
        <v>66.666666666666671</v>
      </c>
      <c r="AW88" s="65">
        <f t="shared" si="117"/>
        <v>66.666666666666671</v>
      </c>
      <c r="AX88" s="66">
        <f t="shared" si="117"/>
        <v>58.333333333333336</v>
      </c>
      <c r="AY88" s="65">
        <f t="shared" si="118"/>
        <v>66.666666666666671</v>
      </c>
      <c r="AZ88" s="65">
        <f t="shared" si="118"/>
        <v>66.666666666666671</v>
      </c>
      <c r="BA88" s="66">
        <f t="shared" si="118"/>
        <v>58.333333333333336</v>
      </c>
      <c r="BB88" s="68">
        <f>STDEV(AD88:AF88)</f>
        <v>0</v>
      </c>
      <c r="BC88" s="65">
        <f>STDEV(AG88:AI88)</f>
        <v>0</v>
      </c>
      <c r="BD88" s="65">
        <f>STDEV(AJ88:AL88)</f>
        <v>4.8112522432468872</v>
      </c>
      <c r="BE88" s="65">
        <f>STDEV(AM88:AO88)</f>
        <v>0</v>
      </c>
      <c r="BF88" s="65">
        <f>STDEV(AP88:AR88)</f>
        <v>0</v>
      </c>
      <c r="BG88" s="65">
        <f>STDEV(AS88:AU88)</f>
        <v>4.8112522432468827</v>
      </c>
      <c r="BH88" s="65">
        <f>STDEV(AV88:AX88)</f>
        <v>4.8112522432468827</v>
      </c>
      <c r="BI88" s="65">
        <f>STDEV(AY88:BA88)</f>
        <v>4.8112522432468827</v>
      </c>
      <c r="BJ88" s="68">
        <f t="shared" si="119"/>
        <v>0</v>
      </c>
      <c r="BK88" s="65">
        <f t="shared" si="119"/>
        <v>0</v>
      </c>
      <c r="BL88" s="65">
        <f t="shared" si="119"/>
        <v>0.80187537387448116</v>
      </c>
      <c r="BM88" s="65">
        <f t="shared" si="119"/>
        <v>0</v>
      </c>
      <c r="BN88" s="65">
        <f t="shared" si="119"/>
        <v>0</v>
      </c>
      <c r="BO88" s="65">
        <f t="shared" si="119"/>
        <v>0.80187537387448049</v>
      </c>
      <c r="BP88" s="65">
        <f t="shared" si="119"/>
        <v>0.80187537387448049</v>
      </c>
      <c r="BQ88" s="90">
        <f t="shared" si="119"/>
        <v>0.80187537387448049</v>
      </c>
      <c r="BR88" s="69">
        <f>AVERAGE(AD88:AF88)</f>
        <v>100</v>
      </c>
      <c r="BS88" s="67">
        <f>AVERAGE(AG88:AI88)</f>
        <v>83.333333333333343</v>
      </c>
      <c r="BT88" s="67">
        <f>AVERAGE(AJ88:AL88)</f>
        <v>80.555555555555557</v>
      </c>
      <c r="BU88" s="67">
        <f>AVERAGE(AM88:AO88)</f>
        <v>75</v>
      </c>
      <c r="BV88" s="67">
        <f>AVERAGE(AP88:AR88)</f>
        <v>66.666666666666671</v>
      </c>
      <c r="BW88" s="67">
        <f t="shared" si="120"/>
        <v>63.888888888888893</v>
      </c>
      <c r="BX88" s="67">
        <f t="shared" si="120"/>
        <v>63.888888888888893</v>
      </c>
      <c r="BY88" s="67">
        <f t="shared" si="120"/>
        <v>63.888888888888893</v>
      </c>
      <c r="BZ88" s="69">
        <f t="shared" si="121"/>
        <v>0</v>
      </c>
      <c r="CA88" s="67">
        <f t="shared" si="121"/>
        <v>16.666666666666657</v>
      </c>
      <c r="CB88" s="67">
        <f t="shared" si="121"/>
        <v>19.444444444444443</v>
      </c>
      <c r="CC88" s="67">
        <f t="shared" si="121"/>
        <v>25</v>
      </c>
      <c r="CD88" s="67">
        <f t="shared" si="121"/>
        <v>33.333333333333329</v>
      </c>
      <c r="CE88" s="67">
        <f t="shared" si="121"/>
        <v>36.111111111111107</v>
      </c>
      <c r="CF88" s="67">
        <f t="shared" si="121"/>
        <v>36.111111111111107</v>
      </c>
      <c r="CG88" s="116">
        <f t="shared" si="121"/>
        <v>36.111111111111107</v>
      </c>
    </row>
    <row r="89" spans="2:85" x14ac:dyDescent="0.3">
      <c r="B89" s="410"/>
      <c r="C89" s="413"/>
      <c r="D89" s="70" t="s">
        <v>805</v>
      </c>
      <c r="E89" s="71">
        <v>12</v>
      </c>
      <c r="F89" s="71">
        <v>12</v>
      </c>
      <c r="G89" s="72">
        <v>12</v>
      </c>
      <c r="H89" s="71">
        <f>SUM(E89:G89)</f>
        <v>36</v>
      </c>
      <c r="I89" s="73">
        <v>10</v>
      </c>
      <c r="J89" s="73">
        <v>10</v>
      </c>
      <c r="K89" s="72">
        <v>9</v>
      </c>
      <c r="L89" s="73">
        <v>9</v>
      </c>
      <c r="M89" s="73">
        <v>9</v>
      </c>
      <c r="N89" s="72">
        <v>9</v>
      </c>
      <c r="O89" s="73">
        <v>8</v>
      </c>
      <c r="P89" s="73">
        <v>9</v>
      </c>
      <c r="Q89" s="72">
        <v>9</v>
      </c>
      <c r="R89" s="73">
        <v>8</v>
      </c>
      <c r="S89" s="73">
        <v>9</v>
      </c>
      <c r="T89" s="72">
        <v>8</v>
      </c>
      <c r="U89" s="73">
        <v>7</v>
      </c>
      <c r="V89" s="73">
        <v>9</v>
      </c>
      <c r="W89" s="72">
        <v>8</v>
      </c>
      <c r="X89" s="73">
        <v>7</v>
      </c>
      <c r="Y89" s="73">
        <v>9</v>
      </c>
      <c r="Z89" s="72">
        <v>8</v>
      </c>
      <c r="AA89" s="73">
        <v>7</v>
      </c>
      <c r="AB89" s="73">
        <v>9</v>
      </c>
      <c r="AC89" s="72">
        <v>8</v>
      </c>
      <c r="AD89" s="71">
        <f t="shared" si="111"/>
        <v>100</v>
      </c>
      <c r="AE89" s="71">
        <f t="shared" si="111"/>
        <v>100</v>
      </c>
      <c r="AF89" s="72">
        <f t="shared" si="111"/>
        <v>100</v>
      </c>
      <c r="AG89" s="71">
        <f t="shared" si="112"/>
        <v>83.333333333333343</v>
      </c>
      <c r="AH89" s="71">
        <f t="shared" si="112"/>
        <v>83.333333333333343</v>
      </c>
      <c r="AI89" s="72">
        <f t="shared" si="112"/>
        <v>75</v>
      </c>
      <c r="AJ89" s="71">
        <f t="shared" si="113"/>
        <v>75</v>
      </c>
      <c r="AK89" s="71">
        <f t="shared" si="113"/>
        <v>75</v>
      </c>
      <c r="AL89" s="72">
        <f t="shared" si="113"/>
        <v>75</v>
      </c>
      <c r="AM89" s="71">
        <f t="shared" si="114"/>
        <v>66.666666666666671</v>
      </c>
      <c r="AN89" s="71">
        <f t="shared" si="114"/>
        <v>75</v>
      </c>
      <c r="AO89" s="72">
        <f t="shared" si="114"/>
        <v>75</v>
      </c>
      <c r="AP89" s="71">
        <f t="shared" si="115"/>
        <v>66.666666666666671</v>
      </c>
      <c r="AQ89" s="71">
        <f t="shared" si="115"/>
        <v>75</v>
      </c>
      <c r="AR89" s="72">
        <f t="shared" si="115"/>
        <v>66.666666666666671</v>
      </c>
      <c r="AS89" s="71">
        <f t="shared" si="116"/>
        <v>58.333333333333336</v>
      </c>
      <c r="AT89" s="71">
        <f t="shared" si="116"/>
        <v>75</v>
      </c>
      <c r="AU89" s="72">
        <f t="shared" si="116"/>
        <v>66.666666666666671</v>
      </c>
      <c r="AV89" s="71">
        <f t="shared" si="117"/>
        <v>58.333333333333336</v>
      </c>
      <c r="AW89" s="71">
        <f t="shared" si="117"/>
        <v>75</v>
      </c>
      <c r="AX89" s="72">
        <f t="shared" si="117"/>
        <v>66.666666666666671</v>
      </c>
      <c r="AY89" s="71">
        <f t="shared" si="118"/>
        <v>58.333333333333336</v>
      </c>
      <c r="AZ89" s="71">
        <f t="shared" si="118"/>
        <v>75</v>
      </c>
      <c r="BA89" s="72">
        <f t="shared" si="118"/>
        <v>66.666666666666671</v>
      </c>
      <c r="BB89" s="74">
        <f>STDEV(AD89:AF89)</f>
        <v>0</v>
      </c>
      <c r="BC89" s="71">
        <f>STDEV(AG89:AI89)</f>
        <v>4.8112522432468872</v>
      </c>
      <c r="BD89" s="71">
        <f>STDEV(AJ89:AL89)</f>
        <v>0</v>
      </c>
      <c r="BE89" s="71">
        <f>STDEV(AM89:AO89)</f>
        <v>4.8112522432468783</v>
      </c>
      <c r="BF89" s="71">
        <f>STDEV(AP89:AR89)</f>
        <v>4.8112522432468792</v>
      </c>
      <c r="BG89" s="71">
        <f>STDEV(AS89:AU89)</f>
        <v>8.3333333333333268</v>
      </c>
      <c r="BH89" s="71">
        <f>STDEV(AV89:AX89)</f>
        <v>8.3333333333333268</v>
      </c>
      <c r="BI89" s="71">
        <f>STDEV(AY89:BA89)</f>
        <v>8.3333333333333268</v>
      </c>
      <c r="BJ89" s="74">
        <f t="shared" si="119"/>
        <v>0</v>
      </c>
      <c r="BK89" s="71">
        <f t="shared" si="119"/>
        <v>0.80187537387448116</v>
      </c>
      <c r="BL89" s="71">
        <f t="shared" si="119"/>
        <v>0</v>
      </c>
      <c r="BM89" s="71">
        <f t="shared" si="119"/>
        <v>0.80187537387447971</v>
      </c>
      <c r="BN89" s="71">
        <f t="shared" si="119"/>
        <v>0.80187537387447982</v>
      </c>
      <c r="BO89" s="71">
        <f t="shared" si="119"/>
        <v>1.3888888888888877</v>
      </c>
      <c r="BP89" s="71">
        <f t="shared" si="119"/>
        <v>1.3888888888888877</v>
      </c>
      <c r="BQ89" s="91">
        <f t="shared" si="119"/>
        <v>1.3888888888888877</v>
      </c>
      <c r="BR89" s="75">
        <f>AVERAGE(AD89:AF89)</f>
        <v>100</v>
      </c>
      <c r="BS89" s="73">
        <f>AVERAGE(AG89:AI89)</f>
        <v>80.555555555555557</v>
      </c>
      <c r="BT89" s="73">
        <f>AVERAGE(AJ89:AL89)</f>
        <v>75</v>
      </c>
      <c r="BU89" s="73">
        <f>AVERAGE(AM89:AO89)</f>
        <v>72.222222222222229</v>
      </c>
      <c r="BV89" s="73">
        <f>AVERAGE(AP89:AR89)</f>
        <v>69.444444444444457</v>
      </c>
      <c r="BW89" s="73">
        <f t="shared" si="120"/>
        <v>66.666666666666671</v>
      </c>
      <c r="BX89" s="73">
        <f t="shared" si="120"/>
        <v>66.666666666666671</v>
      </c>
      <c r="BY89" s="73">
        <f t="shared" si="120"/>
        <v>66.666666666666671</v>
      </c>
      <c r="BZ89" s="75">
        <f t="shared" si="121"/>
        <v>0</v>
      </c>
      <c r="CA89" s="73">
        <f t="shared" si="121"/>
        <v>19.444444444444443</v>
      </c>
      <c r="CB89" s="73">
        <f t="shared" si="121"/>
        <v>25</v>
      </c>
      <c r="CC89" s="73">
        <f t="shared" si="121"/>
        <v>27.777777777777771</v>
      </c>
      <c r="CD89" s="73">
        <f t="shared" si="121"/>
        <v>30.555555555555543</v>
      </c>
      <c r="CE89" s="73">
        <f t="shared" si="121"/>
        <v>33.333333333333329</v>
      </c>
      <c r="CF89" s="73">
        <f t="shared" si="121"/>
        <v>33.333333333333329</v>
      </c>
      <c r="CG89" s="265">
        <f t="shared" si="121"/>
        <v>33.333333333333329</v>
      </c>
    </row>
    <row r="90" spans="2:85" ht="15" customHeight="1" x14ac:dyDescent="0.3">
      <c r="B90" s="408">
        <v>22</v>
      </c>
      <c r="C90" s="411" t="s">
        <v>294</v>
      </c>
      <c r="D90" s="76" t="s">
        <v>802</v>
      </c>
      <c r="E90" s="77">
        <v>12</v>
      </c>
      <c r="F90" s="77">
        <v>12</v>
      </c>
      <c r="G90" s="78">
        <v>12</v>
      </c>
      <c r="H90" s="77">
        <f t="shared" si="99"/>
        <v>36</v>
      </c>
      <c r="I90" s="79">
        <v>8</v>
      </c>
      <c r="J90" s="79">
        <v>10</v>
      </c>
      <c r="K90" s="78">
        <v>10</v>
      </c>
      <c r="L90" s="79">
        <v>7</v>
      </c>
      <c r="M90" s="79">
        <v>8</v>
      </c>
      <c r="N90" s="78">
        <v>6</v>
      </c>
      <c r="O90" s="79">
        <v>2</v>
      </c>
      <c r="P90" s="79">
        <v>3</v>
      </c>
      <c r="Q90" s="78">
        <v>3</v>
      </c>
      <c r="R90" s="79">
        <v>1</v>
      </c>
      <c r="S90" s="79">
        <v>2</v>
      </c>
      <c r="T90" s="78">
        <v>2</v>
      </c>
      <c r="U90" s="79">
        <v>0</v>
      </c>
      <c r="V90" s="79">
        <v>1</v>
      </c>
      <c r="W90" s="78">
        <v>1</v>
      </c>
      <c r="X90" s="79">
        <v>0</v>
      </c>
      <c r="Y90" s="79">
        <v>1</v>
      </c>
      <c r="Z90" s="78">
        <v>1</v>
      </c>
      <c r="AA90" s="79">
        <v>0</v>
      </c>
      <c r="AB90" s="79">
        <v>1</v>
      </c>
      <c r="AC90" s="78">
        <v>1</v>
      </c>
      <c r="AD90" s="77">
        <f t="shared" si="63"/>
        <v>100</v>
      </c>
      <c r="AE90" s="77">
        <f t="shared" si="64"/>
        <v>100</v>
      </c>
      <c r="AF90" s="78">
        <f t="shared" si="65"/>
        <v>100</v>
      </c>
      <c r="AG90" s="77">
        <f t="shared" si="66"/>
        <v>66.666666666666671</v>
      </c>
      <c r="AH90" s="77">
        <f t="shared" si="67"/>
        <v>83.333333333333343</v>
      </c>
      <c r="AI90" s="78">
        <f t="shared" si="68"/>
        <v>83.333333333333343</v>
      </c>
      <c r="AJ90" s="77">
        <f t="shared" si="69"/>
        <v>58.333333333333336</v>
      </c>
      <c r="AK90" s="77">
        <f t="shared" si="70"/>
        <v>66.666666666666671</v>
      </c>
      <c r="AL90" s="78">
        <f t="shared" si="71"/>
        <v>50</v>
      </c>
      <c r="AM90" s="77">
        <f t="shared" si="72"/>
        <v>16.666666666666668</v>
      </c>
      <c r="AN90" s="77">
        <f t="shared" si="73"/>
        <v>25</v>
      </c>
      <c r="AO90" s="78">
        <f t="shared" si="74"/>
        <v>25</v>
      </c>
      <c r="AP90" s="77">
        <f t="shared" si="75"/>
        <v>8.3333333333333339</v>
      </c>
      <c r="AQ90" s="77">
        <f t="shared" si="76"/>
        <v>16.666666666666668</v>
      </c>
      <c r="AR90" s="78">
        <f t="shared" si="77"/>
        <v>16.666666666666668</v>
      </c>
      <c r="AS90" s="77">
        <f t="shared" si="78"/>
        <v>0</v>
      </c>
      <c r="AT90" s="77">
        <f t="shared" si="79"/>
        <v>8.3333333333333339</v>
      </c>
      <c r="AU90" s="78">
        <f t="shared" si="80"/>
        <v>8.3333333333333339</v>
      </c>
      <c r="AV90" s="77">
        <f t="shared" si="81"/>
        <v>0</v>
      </c>
      <c r="AW90" s="77">
        <f t="shared" si="82"/>
        <v>8.3333333333333339</v>
      </c>
      <c r="AX90" s="78">
        <f t="shared" si="83"/>
        <v>8.3333333333333339</v>
      </c>
      <c r="AY90" s="77">
        <f t="shared" si="84"/>
        <v>0</v>
      </c>
      <c r="AZ90" s="77">
        <f t="shared" si="85"/>
        <v>8.3333333333333339</v>
      </c>
      <c r="BA90" s="78">
        <f t="shared" si="86"/>
        <v>8.3333333333333339</v>
      </c>
      <c r="BB90" s="80">
        <f t="shared" si="87"/>
        <v>0</v>
      </c>
      <c r="BC90" s="77">
        <f t="shared" si="88"/>
        <v>9.6225044864937868</v>
      </c>
      <c r="BD90" s="77">
        <f t="shared" si="89"/>
        <v>8.3333333333333268</v>
      </c>
      <c r="BE90" s="77">
        <f t="shared" si="90"/>
        <v>4.8112522432468703</v>
      </c>
      <c r="BF90" s="77">
        <f t="shared" si="91"/>
        <v>4.8112522432468818</v>
      </c>
      <c r="BG90" s="77">
        <f t="shared" si="92"/>
        <v>4.8112522432468818</v>
      </c>
      <c r="BH90" s="77">
        <f t="shared" si="93"/>
        <v>4.8112522432468818</v>
      </c>
      <c r="BI90" s="77">
        <f t="shared" si="94"/>
        <v>4.8112522432468818</v>
      </c>
      <c r="BJ90" s="80">
        <f t="shared" si="100"/>
        <v>0</v>
      </c>
      <c r="BK90" s="77">
        <f t="shared" si="101"/>
        <v>1.6037507477489645</v>
      </c>
      <c r="BL90" s="77">
        <f t="shared" si="102"/>
        <v>1.3888888888888877</v>
      </c>
      <c r="BM90" s="77">
        <f t="shared" si="103"/>
        <v>0.80187537387447838</v>
      </c>
      <c r="BN90" s="77">
        <f t="shared" si="104"/>
        <v>0.80187537387448027</v>
      </c>
      <c r="BO90" s="77">
        <f t="shared" si="105"/>
        <v>0.80187537387448027</v>
      </c>
      <c r="BP90" s="77">
        <f t="shared" si="106"/>
        <v>0.80187537387448027</v>
      </c>
      <c r="BQ90" s="92">
        <f t="shared" si="107"/>
        <v>0.80187537387448027</v>
      </c>
      <c r="BR90" s="81">
        <f t="shared" si="95"/>
        <v>100</v>
      </c>
      <c r="BS90" s="79">
        <f t="shared" si="96"/>
        <v>77.777777777777786</v>
      </c>
      <c r="BT90" s="79">
        <f t="shared" si="97"/>
        <v>58.333333333333336</v>
      </c>
      <c r="BU90" s="79">
        <f t="shared" si="98"/>
        <v>22.222222222222225</v>
      </c>
      <c r="BV90" s="79">
        <f t="shared" si="110"/>
        <v>13.888888888888891</v>
      </c>
      <c r="BW90" s="79">
        <f t="shared" ref="BW90:BW118" si="122">AVERAGE(AS90:AU90)</f>
        <v>5.5555555555555562</v>
      </c>
      <c r="BX90" s="79">
        <f t="shared" ref="BX90:BX121" si="123">AVERAGE(AT90:AV90)</f>
        <v>5.5555555555555562</v>
      </c>
      <c r="BY90" s="79">
        <f t="shared" ref="BY90:BY121" si="124">AVERAGE(AU90:AW90)</f>
        <v>5.5555555555555562</v>
      </c>
      <c r="BZ90" s="81">
        <f t="shared" si="109"/>
        <v>0</v>
      </c>
      <c r="CA90" s="79">
        <f t="shared" si="109"/>
        <v>22.222222222222214</v>
      </c>
      <c r="CB90" s="79">
        <f t="shared" si="109"/>
        <v>41.666666666666664</v>
      </c>
      <c r="CC90" s="79">
        <f t="shared" si="108"/>
        <v>77.777777777777771</v>
      </c>
      <c r="CD90" s="79">
        <f t="shared" si="108"/>
        <v>86.111111111111114</v>
      </c>
      <c r="CE90" s="79">
        <f t="shared" si="108"/>
        <v>94.444444444444443</v>
      </c>
      <c r="CF90" s="79">
        <f t="shared" si="108"/>
        <v>94.444444444444443</v>
      </c>
      <c r="CG90" s="264">
        <f t="shared" si="55"/>
        <v>94.444444444444443</v>
      </c>
    </row>
    <row r="91" spans="2:85" x14ac:dyDescent="0.3">
      <c r="B91" s="409"/>
      <c r="C91" s="412"/>
      <c r="D91" s="70" t="s">
        <v>803</v>
      </c>
      <c r="E91" s="65">
        <v>12</v>
      </c>
      <c r="F91" s="65">
        <v>12</v>
      </c>
      <c r="G91" s="66">
        <v>12</v>
      </c>
      <c r="H91" s="65">
        <f t="shared" si="99"/>
        <v>36</v>
      </c>
      <c r="I91" s="67">
        <v>9</v>
      </c>
      <c r="J91" s="67">
        <v>10</v>
      </c>
      <c r="K91" s="66">
        <v>11</v>
      </c>
      <c r="L91" s="67">
        <v>7</v>
      </c>
      <c r="M91" s="67">
        <v>8</v>
      </c>
      <c r="N91" s="66">
        <v>10</v>
      </c>
      <c r="O91" s="67">
        <v>5</v>
      </c>
      <c r="P91" s="67">
        <v>7</v>
      </c>
      <c r="Q91" s="66">
        <v>9</v>
      </c>
      <c r="R91" s="67">
        <v>5</v>
      </c>
      <c r="S91" s="67">
        <v>7</v>
      </c>
      <c r="T91" s="66">
        <v>8</v>
      </c>
      <c r="U91" s="67">
        <v>5</v>
      </c>
      <c r="V91" s="67">
        <v>6</v>
      </c>
      <c r="W91" s="66">
        <v>8</v>
      </c>
      <c r="X91" s="67">
        <v>5</v>
      </c>
      <c r="Y91" s="67">
        <v>6</v>
      </c>
      <c r="Z91" s="66">
        <v>7</v>
      </c>
      <c r="AA91" s="67">
        <v>5</v>
      </c>
      <c r="AB91" s="67">
        <v>6</v>
      </c>
      <c r="AC91" s="66">
        <v>7</v>
      </c>
      <c r="AD91" s="65">
        <f t="shared" si="63"/>
        <v>100</v>
      </c>
      <c r="AE91" s="65">
        <f t="shared" si="64"/>
        <v>100</v>
      </c>
      <c r="AF91" s="66">
        <f t="shared" si="65"/>
        <v>100</v>
      </c>
      <c r="AG91" s="65">
        <f t="shared" si="66"/>
        <v>75</v>
      </c>
      <c r="AH91" s="65">
        <f t="shared" si="67"/>
        <v>83.333333333333343</v>
      </c>
      <c r="AI91" s="66">
        <f t="shared" si="68"/>
        <v>91.666666666666671</v>
      </c>
      <c r="AJ91" s="65">
        <f t="shared" si="69"/>
        <v>58.333333333333336</v>
      </c>
      <c r="AK91" s="65">
        <f t="shared" si="70"/>
        <v>66.666666666666671</v>
      </c>
      <c r="AL91" s="66">
        <f t="shared" si="71"/>
        <v>83.333333333333343</v>
      </c>
      <c r="AM91" s="65">
        <f t="shared" si="72"/>
        <v>41.666666666666671</v>
      </c>
      <c r="AN91" s="65">
        <f t="shared" si="73"/>
        <v>58.333333333333336</v>
      </c>
      <c r="AO91" s="66">
        <f t="shared" si="74"/>
        <v>75</v>
      </c>
      <c r="AP91" s="65">
        <f t="shared" si="75"/>
        <v>41.666666666666671</v>
      </c>
      <c r="AQ91" s="65">
        <f t="shared" si="76"/>
        <v>58.333333333333336</v>
      </c>
      <c r="AR91" s="66">
        <f t="shared" si="77"/>
        <v>66.666666666666671</v>
      </c>
      <c r="AS91" s="65">
        <f t="shared" si="78"/>
        <v>41.666666666666671</v>
      </c>
      <c r="AT91" s="65">
        <f t="shared" si="79"/>
        <v>50</v>
      </c>
      <c r="AU91" s="66">
        <f t="shared" si="80"/>
        <v>66.666666666666671</v>
      </c>
      <c r="AV91" s="65">
        <f t="shared" si="81"/>
        <v>41.666666666666671</v>
      </c>
      <c r="AW91" s="65">
        <f t="shared" si="82"/>
        <v>50</v>
      </c>
      <c r="AX91" s="66">
        <f t="shared" si="83"/>
        <v>58.333333333333336</v>
      </c>
      <c r="AY91" s="65">
        <f t="shared" si="84"/>
        <v>41.666666666666671</v>
      </c>
      <c r="AZ91" s="65">
        <f t="shared" si="85"/>
        <v>50</v>
      </c>
      <c r="BA91" s="66">
        <f t="shared" si="86"/>
        <v>58.333333333333336</v>
      </c>
      <c r="BB91" s="68">
        <f t="shared" si="87"/>
        <v>0</v>
      </c>
      <c r="BC91" s="65">
        <f t="shared" si="88"/>
        <v>8.3333333333333357</v>
      </c>
      <c r="BD91" s="65">
        <f t="shared" si="89"/>
        <v>12.729376930432904</v>
      </c>
      <c r="BE91" s="65">
        <f t="shared" si="90"/>
        <v>16.666666666666682</v>
      </c>
      <c r="BF91" s="65">
        <f t="shared" si="91"/>
        <v>12.729376930432904</v>
      </c>
      <c r="BG91" s="65">
        <f t="shared" si="92"/>
        <v>12.729376930432867</v>
      </c>
      <c r="BH91" s="65">
        <f t="shared" si="93"/>
        <v>8.3333333333333268</v>
      </c>
      <c r="BI91" s="65">
        <f t="shared" si="94"/>
        <v>8.3333333333333268</v>
      </c>
      <c r="BJ91" s="68">
        <f t="shared" si="100"/>
        <v>0</v>
      </c>
      <c r="BK91" s="65">
        <f t="shared" si="101"/>
        <v>1.3888888888888893</v>
      </c>
      <c r="BL91" s="65">
        <f t="shared" si="102"/>
        <v>2.1215628217388174</v>
      </c>
      <c r="BM91" s="65">
        <f t="shared" si="103"/>
        <v>2.7777777777777803</v>
      </c>
      <c r="BN91" s="65">
        <f t="shared" si="104"/>
        <v>2.1215628217388174</v>
      </c>
      <c r="BO91" s="65">
        <f t="shared" si="105"/>
        <v>2.1215628217388112</v>
      </c>
      <c r="BP91" s="65">
        <f t="shared" si="106"/>
        <v>1.3888888888888877</v>
      </c>
      <c r="BQ91" s="90">
        <f t="shared" si="107"/>
        <v>1.3888888888888877</v>
      </c>
      <c r="BR91" s="69">
        <f t="shared" si="95"/>
        <v>100</v>
      </c>
      <c r="BS91" s="67">
        <f t="shared" si="96"/>
        <v>83.333333333333329</v>
      </c>
      <c r="BT91" s="67">
        <f t="shared" si="97"/>
        <v>69.444444444444443</v>
      </c>
      <c r="BU91" s="67">
        <f t="shared" si="98"/>
        <v>58.333333333333336</v>
      </c>
      <c r="BV91" s="67">
        <f t="shared" si="110"/>
        <v>55.555555555555564</v>
      </c>
      <c r="BW91" s="67">
        <f t="shared" si="122"/>
        <v>52.777777777777779</v>
      </c>
      <c r="BX91" s="67">
        <f t="shared" si="123"/>
        <v>52.777777777777779</v>
      </c>
      <c r="BY91" s="67">
        <f t="shared" si="124"/>
        <v>52.777777777777779</v>
      </c>
      <c r="BZ91" s="69">
        <f t="shared" si="109"/>
        <v>0</v>
      </c>
      <c r="CA91" s="67">
        <f t="shared" si="109"/>
        <v>16.666666666666671</v>
      </c>
      <c r="CB91" s="67">
        <f t="shared" si="109"/>
        <v>30.555555555555557</v>
      </c>
      <c r="CC91" s="67">
        <f t="shared" si="108"/>
        <v>41.666666666666664</v>
      </c>
      <c r="CD91" s="67">
        <f t="shared" si="108"/>
        <v>44.444444444444436</v>
      </c>
      <c r="CE91" s="67">
        <f t="shared" si="108"/>
        <v>47.222222222222221</v>
      </c>
      <c r="CF91" s="67">
        <f t="shared" si="108"/>
        <v>47.222222222222221</v>
      </c>
      <c r="CG91" s="116">
        <f t="shared" si="55"/>
        <v>47.222222222222221</v>
      </c>
    </row>
    <row r="92" spans="2:85" x14ac:dyDescent="0.3">
      <c r="B92" s="409"/>
      <c r="C92" s="412"/>
      <c r="D92" s="70" t="s">
        <v>804</v>
      </c>
      <c r="E92" s="65">
        <v>12</v>
      </c>
      <c r="F92" s="65">
        <v>12</v>
      </c>
      <c r="G92" s="66">
        <v>12</v>
      </c>
      <c r="H92" s="65">
        <f t="shared" si="99"/>
        <v>36</v>
      </c>
      <c r="I92" s="67">
        <v>9</v>
      </c>
      <c r="J92" s="67">
        <v>10</v>
      </c>
      <c r="K92" s="66">
        <v>11</v>
      </c>
      <c r="L92" s="67">
        <v>8</v>
      </c>
      <c r="M92" s="67">
        <v>8</v>
      </c>
      <c r="N92" s="66">
        <v>8</v>
      </c>
      <c r="O92" s="67">
        <v>7</v>
      </c>
      <c r="P92" s="67">
        <v>6</v>
      </c>
      <c r="Q92" s="66">
        <v>6</v>
      </c>
      <c r="R92" s="67">
        <v>6</v>
      </c>
      <c r="S92" s="67">
        <v>5</v>
      </c>
      <c r="T92" s="66">
        <v>6</v>
      </c>
      <c r="U92" s="67">
        <v>6</v>
      </c>
      <c r="V92" s="67">
        <v>5</v>
      </c>
      <c r="W92" s="66">
        <v>6</v>
      </c>
      <c r="X92" s="67">
        <v>6</v>
      </c>
      <c r="Y92" s="67">
        <v>3</v>
      </c>
      <c r="Z92" s="66">
        <v>6</v>
      </c>
      <c r="AA92" s="67">
        <v>5</v>
      </c>
      <c r="AB92" s="67">
        <v>3</v>
      </c>
      <c r="AC92" s="66">
        <v>4</v>
      </c>
      <c r="AD92" s="65">
        <f t="shared" si="63"/>
        <v>100</v>
      </c>
      <c r="AE92" s="65">
        <f t="shared" si="64"/>
        <v>100</v>
      </c>
      <c r="AF92" s="66">
        <f t="shared" si="65"/>
        <v>100</v>
      </c>
      <c r="AG92" s="65">
        <f t="shared" si="66"/>
        <v>75</v>
      </c>
      <c r="AH92" s="65">
        <f t="shared" si="67"/>
        <v>83.333333333333343</v>
      </c>
      <c r="AI92" s="66">
        <f t="shared" si="68"/>
        <v>91.666666666666671</v>
      </c>
      <c r="AJ92" s="65">
        <f t="shared" si="69"/>
        <v>66.666666666666671</v>
      </c>
      <c r="AK92" s="65">
        <f t="shared" si="70"/>
        <v>66.666666666666671</v>
      </c>
      <c r="AL92" s="66">
        <f t="shared" si="71"/>
        <v>66.666666666666671</v>
      </c>
      <c r="AM92" s="65">
        <f t="shared" si="72"/>
        <v>58.333333333333336</v>
      </c>
      <c r="AN92" s="65">
        <f t="shared" si="73"/>
        <v>50</v>
      </c>
      <c r="AO92" s="66">
        <f t="shared" si="74"/>
        <v>50</v>
      </c>
      <c r="AP92" s="65">
        <f t="shared" si="75"/>
        <v>50</v>
      </c>
      <c r="AQ92" s="65">
        <f t="shared" si="76"/>
        <v>41.666666666666671</v>
      </c>
      <c r="AR92" s="66">
        <f t="shared" si="77"/>
        <v>50</v>
      </c>
      <c r="AS92" s="65">
        <f t="shared" si="78"/>
        <v>50</v>
      </c>
      <c r="AT92" s="65">
        <f t="shared" si="79"/>
        <v>41.666666666666671</v>
      </c>
      <c r="AU92" s="66">
        <f t="shared" si="80"/>
        <v>50</v>
      </c>
      <c r="AV92" s="65">
        <f t="shared" si="81"/>
        <v>50</v>
      </c>
      <c r="AW92" s="65">
        <f t="shared" si="82"/>
        <v>25</v>
      </c>
      <c r="AX92" s="66">
        <f t="shared" si="83"/>
        <v>50</v>
      </c>
      <c r="AY92" s="65">
        <f t="shared" si="84"/>
        <v>41.666666666666671</v>
      </c>
      <c r="AZ92" s="65">
        <f t="shared" si="85"/>
        <v>25</v>
      </c>
      <c r="BA92" s="66">
        <f t="shared" si="86"/>
        <v>33.333333333333336</v>
      </c>
      <c r="BB92" s="68">
        <f t="shared" si="87"/>
        <v>0</v>
      </c>
      <c r="BC92" s="65">
        <f t="shared" si="88"/>
        <v>8.3333333333333357</v>
      </c>
      <c r="BD92" s="65">
        <f t="shared" si="89"/>
        <v>0</v>
      </c>
      <c r="BE92" s="65">
        <f t="shared" si="90"/>
        <v>4.8112522432468827</v>
      </c>
      <c r="BF92" s="65">
        <f t="shared" si="91"/>
        <v>4.8112522432468783</v>
      </c>
      <c r="BG92" s="65">
        <f t="shared" si="92"/>
        <v>4.8112522432468783</v>
      </c>
      <c r="BH92" s="65">
        <f t="shared" si="93"/>
        <v>14.433756729740649</v>
      </c>
      <c r="BI92" s="65">
        <f t="shared" si="94"/>
        <v>8.333333333333341</v>
      </c>
      <c r="BJ92" s="68">
        <f t="shared" si="100"/>
        <v>0</v>
      </c>
      <c r="BK92" s="65">
        <f t="shared" si="101"/>
        <v>1.3888888888888893</v>
      </c>
      <c r="BL92" s="65">
        <f t="shared" si="102"/>
        <v>0</v>
      </c>
      <c r="BM92" s="65">
        <f t="shared" si="103"/>
        <v>0.80187537387448049</v>
      </c>
      <c r="BN92" s="65">
        <f t="shared" si="104"/>
        <v>0.80187537387447971</v>
      </c>
      <c r="BO92" s="65">
        <f t="shared" si="105"/>
        <v>0.80187537387447971</v>
      </c>
      <c r="BP92" s="65">
        <f t="shared" si="106"/>
        <v>2.4056261216234414</v>
      </c>
      <c r="BQ92" s="90">
        <f t="shared" si="107"/>
        <v>1.3888888888888902</v>
      </c>
      <c r="BR92" s="69">
        <f t="shared" si="95"/>
        <v>100</v>
      </c>
      <c r="BS92" s="67">
        <f t="shared" si="96"/>
        <v>83.333333333333329</v>
      </c>
      <c r="BT92" s="67">
        <f t="shared" si="97"/>
        <v>66.666666666666671</v>
      </c>
      <c r="BU92" s="67">
        <f t="shared" si="98"/>
        <v>52.777777777777779</v>
      </c>
      <c r="BV92" s="67">
        <f t="shared" si="110"/>
        <v>47.222222222222229</v>
      </c>
      <c r="BW92" s="67">
        <f t="shared" si="122"/>
        <v>47.222222222222229</v>
      </c>
      <c r="BX92" s="67">
        <f t="shared" si="123"/>
        <v>47.222222222222229</v>
      </c>
      <c r="BY92" s="67">
        <f t="shared" si="124"/>
        <v>41.666666666666664</v>
      </c>
      <c r="BZ92" s="69">
        <f t="shared" si="109"/>
        <v>0</v>
      </c>
      <c r="CA92" s="67">
        <f t="shared" si="109"/>
        <v>16.666666666666671</v>
      </c>
      <c r="CB92" s="67">
        <f t="shared" si="109"/>
        <v>33.333333333333329</v>
      </c>
      <c r="CC92" s="67">
        <f t="shared" si="108"/>
        <v>47.222222222222221</v>
      </c>
      <c r="CD92" s="67">
        <f t="shared" si="108"/>
        <v>52.777777777777771</v>
      </c>
      <c r="CE92" s="67">
        <f t="shared" si="108"/>
        <v>52.777777777777771</v>
      </c>
      <c r="CF92" s="67">
        <f t="shared" si="108"/>
        <v>52.777777777777771</v>
      </c>
      <c r="CG92" s="116">
        <f t="shared" si="55"/>
        <v>58.333333333333336</v>
      </c>
    </row>
    <row r="93" spans="2:85" x14ac:dyDescent="0.3">
      <c r="B93" s="410"/>
      <c r="C93" s="413"/>
      <c r="D93" s="70" t="s">
        <v>805</v>
      </c>
      <c r="E93" s="71">
        <v>12</v>
      </c>
      <c r="F93" s="71">
        <v>12</v>
      </c>
      <c r="G93" s="72">
        <v>12</v>
      </c>
      <c r="H93" s="71">
        <f t="shared" si="99"/>
        <v>36</v>
      </c>
      <c r="I93" s="73">
        <v>12</v>
      </c>
      <c r="J93" s="73">
        <v>9</v>
      </c>
      <c r="K93" s="72">
        <v>11</v>
      </c>
      <c r="L93" s="73">
        <v>11</v>
      </c>
      <c r="M93" s="73">
        <v>8</v>
      </c>
      <c r="N93" s="72">
        <v>9</v>
      </c>
      <c r="O93" s="73">
        <v>11</v>
      </c>
      <c r="P93" s="73">
        <v>8</v>
      </c>
      <c r="Q93" s="72">
        <v>9</v>
      </c>
      <c r="R93" s="73">
        <v>9</v>
      </c>
      <c r="S93" s="73">
        <v>7</v>
      </c>
      <c r="T93" s="72">
        <v>7</v>
      </c>
      <c r="U93" s="73">
        <v>7</v>
      </c>
      <c r="V93" s="73">
        <v>6</v>
      </c>
      <c r="W93" s="72">
        <v>6</v>
      </c>
      <c r="X93" s="73">
        <v>7</v>
      </c>
      <c r="Y93" s="73">
        <v>5</v>
      </c>
      <c r="Z93" s="72">
        <v>4</v>
      </c>
      <c r="AA93" s="73">
        <v>5</v>
      </c>
      <c r="AB93" s="73">
        <v>5</v>
      </c>
      <c r="AC93" s="72">
        <v>4</v>
      </c>
      <c r="AD93" s="71">
        <f t="shared" si="63"/>
        <v>100</v>
      </c>
      <c r="AE93" s="71">
        <f t="shared" si="64"/>
        <v>100</v>
      </c>
      <c r="AF93" s="72">
        <f t="shared" si="65"/>
        <v>100</v>
      </c>
      <c r="AG93" s="71">
        <f t="shared" si="66"/>
        <v>100</v>
      </c>
      <c r="AH93" s="71">
        <f t="shared" si="67"/>
        <v>75</v>
      </c>
      <c r="AI93" s="72">
        <f t="shared" si="68"/>
        <v>91.666666666666671</v>
      </c>
      <c r="AJ93" s="71">
        <f t="shared" si="69"/>
        <v>91.666666666666671</v>
      </c>
      <c r="AK93" s="71">
        <f t="shared" si="70"/>
        <v>66.666666666666671</v>
      </c>
      <c r="AL93" s="72">
        <f t="shared" si="71"/>
        <v>75</v>
      </c>
      <c r="AM93" s="71">
        <f t="shared" si="72"/>
        <v>91.666666666666671</v>
      </c>
      <c r="AN93" s="71">
        <f t="shared" si="73"/>
        <v>66.666666666666671</v>
      </c>
      <c r="AO93" s="72">
        <f t="shared" si="74"/>
        <v>75</v>
      </c>
      <c r="AP93" s="71">
        <f t="shared" si="75"/>
        <v>75</v>
      </c>
      <c r="AQ93" s="71">
        <f t="shared" si="76"/>
        <v>58.333333333333336</v>
      </c>
      <c r="AR93" s="72">
        <f t="shared" si="77"/>
        <v>58.333333333333336</v>
      </c>
      <c r="AS93" s="71">
        <f t="shared" si="78"/>
        <v>58.333333333333336</v>
      </c>
      <c r="AT93" s="71">
        <f t="shared" si="79"/>
        <v>50</v>
      </c>
      <c r="AU93" s="72">
        <f t="shared" si="80"/>
        <v>50</v>
      </c>
      <c r="AV93" s="71">
        <f t="shared" si="81"/>
        <v>58.333333333333336</v>
      </c>
      <c r="AW93" s="71">
        <f t="shared" si="82"/>
        <v>41.666666666666671</v>
      </c>
      <c r="AX93" s="72">
        <f t="shared" si="83"/>
        <v>33.333333333333336</v>
      </c>
      <c r="AY93" s="71">
        <f t="shared" si="84"/>
        <v>41.666666666666671</v>
      </c>
      <c r="AZ93" s="71">
        <f t="shared" si="85"/>
        <v>41.666666666666671</v>
      </c>
      <c r="BA93" s="72">
        <f t="shared" si="86"/>
        <v>33.333333333333336</v>
      </c>
      <c r="BB93" s="74">
        <f t="shared" si="87"/>
        <v>0</v>
      </c>
      <c r="BC93" s="71">
        <f t="shared" si="88"/>
        <v>12.729376930432867</v>
      </c>
      <c r="BD93" s="71">
        <f t="shared" si="89"/>
        <v>12.72937693043294</v>
      </c>
      <c r="BE93" s="71">
        <f t="shared" si="90"/>
        <v>12.72937693043294</v>
      </c>
      <c r="BF93" s="71">
        <f t="shared" si="91"/>
        <v>9.6225044864936926</v>
      </c>
      <c r="BG93" s="71">
        <f t="shared" si="92"/>
        <v>4.8112522432468827</v>
      </c>
      <c r="BH93" s="71">
        <f t="shared" si="93"/>
        <v>12.729376930432885</v>
      </c>
      <c r="BI93" s="71">
        <f t="shared" si="94"/>
        <v>4.8112522432468463</v>
      </c>
      <c r="BJ93" s="74">
        <f t="shared" si="100"/>
        <v>0</v>
      </c>
      <c r="BK93" s="71">
        <f t="shared" si="101"/>
        <v>2.1215628217388112</v>
      </c>
      <c r="BL93" s="71">
        <f t="shared" si="102"/>
        <v>2.1215628217388232</v>
      </c>
      <c r="BM93" s="71">
        <f t="shared" si="103"/>
        <v>2.1215628217388232</v>
      </c>
      <c r="BN93" s="71">
        <f t="shared" si="104"/>
        <v>1.6037507477489488</v>
      </c>
      <c r="BO93" s="71">
        <f t="shared" si="105"/>
        <v>0.80187537387448049</v>
      </c>
      <c r="BP93" s="71">
        <f t="shared" si="106"/>
        <v>2.1215628217388143</v>
      </c>
      <c r="BQ93" s="91">
        <f t="shared" si="107"/>
        <v>0.80187537387447438</v>
      </c>
      <c r="BR93" s="75">
        <f t="shared" si="95"/>
        <v>100</v>
      </c>
      <c r="BS93" s="73">
        <f t="shared" si="96"/>
        <v>88.8888888888889</v>
      </c>
      <c r="BT93" s="73">
        <f t="shared" si="97"/>
        <v>77.777777777777786</v>
      </c>
      <c r="BU93" s="73">
        <f t="shared" si="98"/>
        <v>77.777777777777786</v>
      </c>
      <c r="BV93" s="73">
        <f t="shared" si="110"/>
        <v>63.888888888888893</v>
      </c>
      <c r="BW93" s="73">
        <f t="shared" si="122"/>
        <v>52.777777777777779</v>
      </c>
      <c r="BX93" s="73">
        <f t="shared" si="123"/>
        <v>52.777777777777779</v>
      </c>
      <c r="BY93" s="73">
        <f t="shared" si="124"/>
        <v>50</v>
      </c>
      <c r="BZ93" s="75">
        <f t="shared" si="109"/>
        <v>0</v>
      </c>
      <c r="CA93" s="73">
        <f t="shared" si="109"/>
        <v>11.1111111111111</v>
      </c>
      <c r="CB93" s="73">
        <f t="shared" si="109"/>
        <v>22.222222222222214</v>
      </c>
      <c r="CC93" s="73">
        <f t="shared" si="108"/>
        <v>22.222222222222214</v>
      </c>
      <c r="CD93" s="73">
        <f t="shared" si="108"/>
        <v>36.111111111111107</v>
      </c>
      <c r="CE93" s="73">
        <f t="shared" si="108"/>
        <v>47.222222222222221</v>
      </c>
      <c r="CF93" s="73">
        <f t="shared" si="108"/>
        <v>47.222222222222221</v>
      </c>
      <c r="CG93" s="265">
        <f t="shared" si="108"/>
        <v>50</v>
      </c>
    </row>
    <row r="94" spans="2:85" ht="15" customHeight="1" x14ac:dyDescent="0.3">
      <c r="B94" s="408">
        <v>23</v>
      </c>
      <c r="C94" s="411" t="s">
        <v>309</v>
      </c>
      <c r="D94" s="76" t="s">
        <v>802</v>
      </c>
      <c r="E94" s="77">
        <v>14</v>
      </c>
      <c r="F94" s="77">
        <v>12</v>
      </c>
      <c r="G94" s="78">
        <v>15</v>
      </c>
      <c r="H94" s="77">
        <f t="shared" si="99"/>
        <v>41</v>
      </c>
      <c r="I94" s="79">
        <v>14</v>
      </c>
      <c r="J94" s="79">
        <v>12</v>
      </c>
      <c r="K94" s="78">
        <v>15</v>
      </c>
      <c r="L94" s="79">
        <v>10</v>
      </c>
      <c r="M94" s="79">
        <v>9</v>
      </c>
      <c r="N94" s="78">
        <v>6</v>
      </c>
      <c r="O94" s="79">
        <v>7</v>
      </c>
      <c r="P94" s="79">
        <v>6</v>
      </c>
      <c r="Q94" s="78">
        <v>6</v>
      </c>
      <c r="R94" s="79">
        <v>3</v>
      </c>
      <c r="S94" s="79">
        <v>4</v>
      </c>
      <c r="T94" s="78">
        <v>4</v>
      </c>
      <c r="U94" s="79">
        <v>1</v>
      </c>
      <c r="V94" s="79">
        <v>3</v>
      </c>
      <c r="W94" s="78">
        <v>3</v>
      </c>
      <c r="X94" s="79">
        <v>0</v>
      </c>
      <c r="Y94" s="79">
        <v>0</v>
      </c>
      <c r="Z94" s="78">
        <v>1</v>
      </c>
      <c r="AA94" s="79">
        <v>0</v>
      </c>
      <c r="AB94" s="79">
        <v>0</v>
      </c>
      <c r="AC94" s="78">
        <v>0</v>
      </c>
      <c r="AD94" s="77">
        <f t="shared" si="63"/>
        <v>100</v>
      </c>
      <c r="AE94" s="77">
        <f t="shared" si="64"/>
        <v>100</v>
      </c>
      <c r="AF94" s="78">
        <f t="shared" si="65"/>
        <v>100</v>
      </c>
      <c r="AG94" s="77">
        <f t="shared" si="66"/>
        <v>100</v>
      </c>
      <c r="AH94" s="77">
        <f t="shared" si="67"/>
        <v>100</v>
      </c>
      <c r="AI94" s="78">
        <f t="shared" si="68"/>
        <v>100</v>
      </c>
      <c r="AJ94" s="77">
        <f t="shared" si="69"/>
        <v>71.428571428571431</v>
      </c>
      <c r="AK94" s="77">
        <f t="shared" si="70"/>
        <v>75</v>
      </c>
      <c r="AL94" s="78">
        <f t="shared" si="71"/>
        <v>40</v>
      </c>
      <c r="AM94" s="77">
        <f t="shared" si="72"/>
        <v>50</v>
      </c>
      <c r="AN94" s="77">
        <f t="shared" si="73"/>
        <v>50</v>
      </c>
      <c r="AO94" s="78">
        <f t="shared" si="74"/>
        <v>40</v>
      </c>
      <c r="AP94" s="77">
        <f t="shared" si="75"/>
        <v>21.428571428571431</v>
      </c>
      <c r="AQ94" s="77">
        <f t="shared" si="76"/>
        <v>33.333333333333336</v>
      </c>
      <c r="AR94" s="78">
        <f t="shared" si="77"/>
        <v>26.666666666666668</v>
      </c>
      <c r="AS94" s="77">
        <f t="shared" si="78"/>
        <v>7.1428571428571432</v>
      </c>
      <c r="AT94" s="77">
        <f t="shared" si="79"/>
        <v>25</v>
      </c>
      <c r="AU94" s="78">
        <f t="shared" si="80"/>
        <v>20</v>
      </c>
      <c r="AV94" s="77">
        <f t="shared" si="81"/>
        <v>0</v>
      </c>
      <c r="AW94" s="77">
        <f t="shared" si="82"/>
        <v>0</v>
      </c>
      <c r="AX94" s="78">
        <f t="shared" si="83"/>
        <v>6.666666666666667</v>
      </c>
      <c r="AY94" s="77">
        <f t="shared" si="84"/>
        <v>0</v>
      </c>
      <c r="AZ94" s="77">
        <f t="shared" si="85"/>
        <v>0</v>
      </c>
      <c r="BA94" s="78">
        <f t="shared" si="86"/>
        <v>0</v>
      </c>
      <c r="BB94" s="80">
        <f t="shared" si="87"/>
        <v>0</v>
      </c>
      <c r="BC94" s="77">
        <f t="shared" si="88"/>
        <v>0</v>
      </c>
      <c r="BD94" s="77">
        <f t="shared" si="89"/>
        <v>19.25924108958964</v>
      </c>
      <c r="BE94" s="77">
        <f t="shared" si="90"/>
        <v>5.7735026918962706</v>
      </c>
      <c r="BF94" s="77">
        <f t="shared" si="91"/>
        <v>5.9666495648293925</v>
      </c>
      <c r="BG94" s="77">
        <f t="shared" si="92"/>
        <v>9.2121629153109978</v>
      </c>
      <c r="BH94" s="77">
        <f t="shared" si="93"/>
        <v>3.8490017945975055</v>
      </c>
      <c r="BI94" s="77">
        <f t="shared" si="94"/>
        <v>0</v>
      </c>
      <c r="BJ94" s="80">
        <f t="shared" si="100"/>
        <v>0</v>
      </c>
      <c r="BK94" s="77">
        <f t="shared" si="101"/>
        <v>0</v>
      </c>
      <c r="BL94" s="77">
        <f t="shared" si="102"/>
        <v>3.0077881320808304</v>
      </c>
      <c r="BM94" s="77">
        <f t="shared" si="103"/>
        <v>0.90166963466743433</v>
      </c>
      <c r="BN94" s="77">
        <f t="shared" si="104"/>
        <v>0.93183410841042058</v>
      </c>
      <c r="BO94" s="77">
        <f t="shared" si="105"/>
        <v>1.4386981376148269</v>
      </c>
      <c r="BP94" s="77">
        <f t="shared" si="106"/>
        <v>0.60111308977828826</v>
      </c>
      <c r="BQ94" s="92">
        <f t="shared" si="107"/>
        <v>0</v>
      </c>
      <c r="BR94" s="81">
        <f t="shared" si="95"/>
        <v>100</v>
      </c>
      <c r="BS94" s="79">
        <f t="shared" si="96"/>
        <v>100</v>
      </c>
      <c r="BT94" s="79">
        <f t="shared" si="97"/>
        <v>62.142857142857146</v>
      </c>
      <c r="BU94" s="79">
        <f t="shared" si="98"/>
        <v>46.666666666666664</v>
      </c>
      <c r="BV94" s="79">
        <f t="shared" si="110"/>
        <v>27.142857142857142</v>
      </c>
      <c r="BW94" s="79">
        <f t="shared" si="122"/>
        <v>17.380952380952383</v>
      </c>
      <c r="BX94" s="79">
        <f t="shared" si="123"/>
        <v>15</v>
      </c>
      <c r="BY94" s="79">
        <f t="shared" si="124"/>
        <v>6.666666666666667</v>
      </c>
      <c r="BZ94" s="81">
        <f t="shared" si="109"/>
        <v>0</v>
      </c>
      <c r="CA94" s="79">
        <f t="shared" si="109"/>
        <v>0</v>
      </c>
      <c r="CB94" s="79">
        <f t="shared" si="109"/>
        <v>37.857142857142854</v>
      </c>
      <c r="CC94" s="79">
        <f t="shared" si="108"/>
        <v>53.333333333333336</v>
      </c>
      <c r="CD94" s="79">
        <f t="shared" si="108"/>
        <v>72.857142857142861</v>
      </c>
      <c r="CE94" s="79">
        <f t="shared" si="108"/>
        <v>82.61904761904762</v>
      </c>
      <c r="CF94" s="79">
        <f t="shared" si="108"/>
        <v>85</v>
      </c>
      <c r="CG94" s="264">
        <f t="shared" si="108"/>
        <v>93.333333333333329</v>
      </c>
    </row>
    <row r="95" spans="2:85" x14ac:dyDescent="0.3">
      <c r="B95" s="409"/>
      <c r="C95" s="412"/>
      <c r="D95" s="70" t="s">
        <v>803</v>
      </c>
      <c r="E95" s="65">
        <v>11</v>
      </c>
      <c r="F95" s="65">
        <v>13</v>
      </c>
      <c r="G95" s="66">
        <v>12</v>
      </c>
      <c r="H95" s="65">
        <f t="shared" si="99"/>
        <v>36</v>
      </c>
      <c r="I95" s="67">
        <v>10</v>
      </c>
      <c r="J95" s="67">
        <v>13</v>
      </c>
      <c r="K95" s="66">
        <v>11</v>
      </c>
      <c r="L95" s="67">
        <v>9</v>
      </c>
      <c r="M95" s="67">
        <v>7</v>
      </c>
      <c r="N95" s="66">
        <v>8</v>
      </c>
      <c r="O95" s="67">
        <v>3</v>
      </c>
      <c r="P95" s="67">
        <v>4</v>
      </c>
      <c r="Q95" s="66">
        <v>5</v>
      </c>
      <c r="R95" s="67">
        <v>3</v>
      </c>
      <c r="S95" s="67">
        <v>2</v>
      </c>
      <c r="T95" s="66">
        <v>2</v>
      </c>
      <c r="U95" s="67">
        <v>1</v>
      </c>
      <c r="V95" s="67">
        <v>0</v>
      </c>
      <c r="W95" s="66">
        <v>1</v>
      </c>
      <c r="X95" s="67">
        <v>0</v>
      </c>
      <c r="Y95" s="67">
        <v>0</v>
      </c>
      <c r="Z95" s="66">
        <v>0</v>
      </c>
      <c r="AA95" s="67">
        <v>0</v>
      </c>
      <c r="AB95" s="67">
        <v>0</v>
      </c>
      <c r="AC95" s="66">
        <v>0</v>
      </c>
      <c r="AD95" s="65">
        <f t="shared" si="63"/>
        <v>100.00000000000001</v>
      </c>
      <c r="AE95" s="65">
        <f t="shared" si="64"/>
        <v>100</v>
      </c>
      <c r="AF95" s="66">
        <f t="shared" si="65"/>
        <v>100</v>
      </c>
      <c r="AG95" s="65">
        <f t="shared" si="66"/>
        <v>90.909090909090921</v>
      </c>
      <c r="AH95" s="65">
        <f t="shared" si="67"/>
        <v>100</v>
      </c>
      <c r="AI95" s="66">
        <f t="shared" si="68"/>
        <v>91.666666666666671</v>
      </c>
      <c r="AJ95" s="65">
        <f t="shared" si="69"/>
        <v>81.818181818181827</v>
      </c>
      <c r="AK95" s="65">
        <f t="shared" si="70"/>
        <v>53.846153846153847</v>
      </c>
      <c r="AL95" s="66">
        <f t="shared" si="71"/>
        <v>66.666666666666671</v>
      </c>
      <c r="AM95" s="65">
        <f t="shared" si="72"/>
        <v>27.272727272727273</v>
      </c>
      <c r="AN95" s="65">
        <f t="shared" si="73"/>
        <v>30.76923076923077</v>
      </c>
      <c r="AO95" s="66">
        <f t="shared" si="74"/>
        <v>41.666666666666671</v>
      </c>
      <c r="AP95" s="65">
        <f t="shared" si="75"/>
        <v>27.272727272727273</v>
      </c>
      <c r="AQ95" s="65">
        <f t="shared" si="76"/>
        <v>15.384615384615385</v>
      </c>
      <c r="AR95" s="66">
        <f t="shared" si="77"/>
        <v>16.666666666666668</v>
      </c>
      <c r="AS95" s="65">
        <f t="shared" si="78"/>
        <v>9.0909090909090917</v>
      </c>
      <c r="AT95" s="65">
        <f t="shared" si="79"/>
        <v>0</v>
      </c>
      <c r="AU95" s="66">
        <f t="shared" si="80"/>
        <v>8.3333333333333339</v>
      </c>
      <c r="AV95" s="65">
        <f t="shared" si="81"/>
        <v>0</v>
      </c>
      <c r="AW95" s="65">
        <f t="shared" si="82"/>
        <v>0</v>
      </c>
      <c r="AX95" s="66">
        <f t="shared" si="83"/>
        <v>0</v>
      </c>
      <c r="AY95" s="65">
        <f t="shared" si="84"/>
        <v>0</v>
      </c>
      <c r="AZ95" s="65">
        <f t="shared" si="85"/>
        <v>0</v>
      </c>
      <c r="BA95" s="66">
        <f t="shared" si="86"/>
        <v>0</v>
      </c>
      <c r="BB95" s="68">
        <f t="shared" si="87"/>
        <v>1.0048591735576161E-14</v>
      </c>
      <c r="BC95" s="65">
        <f t="shared" si="88"/>
        <v>5.04418796854499</v>
      </c>
      <c r="BD95" s="65">
        <f t="shared" si="89"/>
        <v>14.002192145252527</v>
      </c>
      <c r="BE95" s="65">
        <f t="shared" si="90"/>
        <v>7.5073867747726313</v>
      </c>
      <c r="BF95" s="65">
        <f t="shared" si="91"/>
        <v>6.525071919571813</v>
      </c>
      <c r="BG95" s="65">
        <f t="shared" si="92"/>
        <v>5.0441879685449962</v>
      </c>
      <c r="BH95" s="65">
        <f t="shared" si="93"/>
        <v>0</v>
      </c>
      <c r="BI95" s="65">
        <f t="shared" si="94"/>
        <v>0</v>
      </c>
      <c r="BJ95" s="68">
        <f t="shared" si="100"/>
        <v>1.6747652892626936E-15</v>
      </c>
      <c r="BK95" s="65">
        <f t="shared" si="101"/>
        <v>0.84069799475749829</v>
      </c>
      <c r="BL95" s="65">
        <f t="shared" si="102"/>
        <v>2.3336986908754214</v>
      </c>
      <c r="BM95" s="65">
        <f t="shared" si="103"/>
        <v>1.2512311291287719</v>
      </c>
      <c r="BN95" s="65">
        <f t="shared" si="104"/>
        <v>1.0875119865953022</v>
      </c>
      <c r="BO95" s="65">
        <f t="shared" si="105"/>
        <v>0.8406979947574994</v>
      </c>
      <c r="BP95" s="65">
        <f t="shared" si="106"/>
        <v>0</v>
      </c>
      <c r="BQ95" s="90">
        <f t="shared" si="107"/>
        <v>0</v>
      </c>
      <c r="BR95" s="69">
        <f t="shared" si="95"/>
        <v>100</v>
      </c>
      <c r="BS95" s="67">
        <f t="shared" si="96"/>
        <v>94.191919191919212</v>
      </c>
      <c r="BT95" s="67">
        <f t="shared" si="97"/>
        <v>67.443667443667451</v>
      </c>
      <c r="BU95" s="67">
        <f t="shared" si="98"/>
        <v>33.236208236208235</v>
      </c>
      <c r="BV95" s="67">
        <f t="shared" si="110"/>
        <v>19.774669774669775</v>
      </c>
      <c r="BW95" s="67">
        <f t="shared" si="122"/>
        <v>5.8080808080808088</v>
      </c>
      <c r="BX95" s="67">
        <f t="shared" si="123"/>
        <v>2.7777777777777781</v>
      </c>
      <c r="BY95" s="67">
        <f t="shared" si="124"/>
        <v>2.7777777777777781</v>
      </c>
      <c r="BZ95" s="69">
        <f t="shared" si="109"/>
        <v>0</v>
      </c>
      <c r="CA95" s="67">
        <f t="shared" si="109"/>
        <v>5.8080808080807884</v>
      </c>
      <c r="CB95" s="67">
        <f t="shared" si="109"/>
        <v>32.556332556332549</v>
      </c>
      <c r="CC95" s="67">
        <f t="shared" si="108"/>
        <v>66.763791763791772</v>
      </c>
      <c r="CD95" s="67">
        <f t="shared" si="108"/>
        <v>80.225330225330225</v>
      </c>
      <c r="CE95" s="67">
        <f t="shared" si="108"/>
        <v>94.191919191919197</v>
      </c>
      <c r="CF95" s="67">
        <f t="shared" si="108"/>
        <v>97.222222222222229</v>
      </c>
      <c r="CG95" s="116">
        <f t="shared" si="108"/>
        <v>97.222222222222229</v>
      </c>
    </row>
    <row r="96" spans="2:85" x14ac:dyDescent="0.3">
      <c r="B96" s="409"/>
      <c r="C96" s="412"/>
      <c r="D96" s="70" t="s">
        <v>804</v>
      </c>
      <c r="E96" s="65">
        <v>11</v>
      </c>
      <c r="F96" s="65">
        <v>13</v>
      </c>
      <c r="G96" s="66">
        <v>10</v>
      </c>
      <c r="H96" s="65">
        <f t="shared" si="99"/>
        <v>34</v>
      </c>
      <c r="I96" s="67">
        <v>10</v>
      </c>
      <c r="J96" s="67">
        <v>12</v>
      </c>
      <c r="K96" s="66">
        <v>10</v>
      </c>
      <c r="L96" s="67">
        <v>8</v>
      </c>
      <c r="M96" s="67">
        <v>12</v>
      </c>
      <c r="N96" s="66">
        <v>10</v>
      </c>
      <c r="O96" s="67">
        <v>6</v>
      </c>
      <c r="P96" s="67">
        <v>11</v>
      </c>
      <c r="Q96" s="66">
        <v>8</v>
      </c>
      <c r="R96" s="67">
        <v>6</v>
      </c>
      <c r="S96" s="67">
        <v>8</v>
      </c>
      <c r="T96" s="66">
        <v>8</v>
      </c>
      <c r="U96" s="67">
        <v>5</v>
      </c>
      <c r="V96" s="67">
        <v>6</v>
      </c>
      <c r="W96" s="66">
        <v>5</v>
      </c>
      <c r="X96" s="67">
        <v>3</v>
      </c>
      <c r="Y96" s="67">
        <v>4</v>
      </c>
      <c r="Z96" s="66">
        <v>2</v>
      </c>
      <c r="AA96" s="67">
        <v>1</v>
      </c>
      <c r="AB96" s="67">
        <v>1</v>
      </c>
      <c r="AC96" s="66">
        <v>2</v>
      </c>
      <c r="AD96" s="65">
        <f t="shared" si="63"/>
        <v>100.00000000000001</v>
      </c>
      <c r="AE96" s="65">
        <f t="shared" si="64"/>
        <v>100</v>
      </c>
      <c r="AF96" s="66">
        <f t="shared" si="65"/>
        <v>100</v>
      </c>
      <c r="AG96" s="65">
        <f t="shared" si="66"/>
        <v>90.909090909090921</v>
      </c>
      <c r="AH96" s="65">
        <f t="shared" si="67"/>
        <v>92.307692307692307</v>
      </c>
      <c r="AI96" s="66">
        <f t="shared" si="68"/>
        <v>100</v>
      </c>
      <c r="AJ96" s="65">
        <f t="shared" si="69"/>
        <v>72.727272727272734</v>
      </c>
      <c r="AK96" s="65">
        <f t="shared" si="70"/>
        <v>92.307692307692307</v>
      </c>
      <c r="AL96" s="66">
        <f t="shared" si="71"/>
        <v>100</v>
      </c>
      <c r="AM96" s="65">
        <f t="shared" si="72"/>
        <v>54.545454545454547</v>
      </c>
      <c r="AN96" s="65">
        <f t="shared" si="73"/>
        <v>84.615384615384613</v>
      </c>
      <c r="AO96" s="66">
        <f t="shared" si="74"/>
        <v>80</v>
      </c>
      <c r="AP96" s="65">
        <f t="shared" si="75"/>
        <v>54.545454545454547</v>
      </c>
      <c r="AQ96" s="65">
        <f t="shared" si="76"/>
        <v>61.53846153846154</v>
      </c>
      <c r="AR96" s="66">
        <f t="shared" si="77"/>
        <v>80</v>
      </c>
      <c r="AS96" s="65">
        <f t="shared" si="78"/>
        <v>45.45454545454546</v>
      </c>
      <c r="AT96" s="65">
        <f t="shared" si="79"/>
        <v>46.153846153846153</v>
      </c>
      <c r="AU96" s="66">
        <f t="shared" si="80"/>
        <v>50</v>
      </c>
      <c r="AV96" s="65">
        <f t="shared" si="81"/>
        <v>27.272727272727273</v>
      </c>
      <c r="AW96" s="65">
        <f t="shared" si="82"/>
        <v>30.76923076923077</v>
      </c>
      <c r="AX96" s="66">
        <f t="shared" si="83"/>
        <v>20</v>
      </c>
      <c r="AY96" s="65">
        <f t="shared" si="84"/>
        <v>9.0909090909090917</v>
      </c>
      <c r="AZ96" s="65">
        <f t="shared" si="85"/>
        <v>7.6923076923076925</v>
      </c>
      <c r="BA96" s="66">
        <f t="shared" si="86"/>
        <v>20</v>
      </c>
      <c r="BB96" s="68">
        <f t="shared" si="87"/>
        <v>1.0048591735576161E-14</v>
      </c>
      <c r="BC96" s="65">
        <f t="shared" si="88"/>
        <v>4.8951048951048914</v>
      </c>
      <c r="BD96" s="65">
        <f t="shared" si="89"/>
        <v>14.061567488909803</v>
      </c>
      <c r="BE96" s="65">
        <f t="shared" si="90"/>
        <v>16.193807220950923</v>
      </c>
      <c r="BF96" s="65">
        <f t="shared" si="91"/>
        <v>13.150820211864071</v>
      </c>
      <c r="BG96" s="65">
        <f t="shared" si="92"/>
        <v>2.4475524475524457</v>
      </c>
      <c r="BH96" s="65">
        <f t="shared" si="93"/>
        <v>5.4938515640286543</v>
      </c>
      <c r="BI96" s="65">
        <f t="shared" si="94"/>
        <v>6.738491921736002</v>
      </c>
      <c r="BJ96" s="68">
        <f t="shared" si="100"/>
        <v>1.7233192653260188E-15</v>
      </c>
      <c r="BK96" s="65">
        <f t="shared" si="101"/>
        <v>0.83950356363465795</v>
      </c>
      <c r="BL96" s="65">
        <f t="shared" si="102"/>
        <v>2.4115389292339322</v>
      </c>
      <c r="BM96" s="65">
        <f t="shared" si="103"/>
        <v>2.7772150264636259</v>
      </c>
      <c r="BN96" s="65">
        <f t="shared" si="104"/>
        <v>2.2553470597981962</v>
      </c>
      <c r="BO96" s="65">
        <f t="shared" si="105"/>
        <v>0.41975178181732897</v>
      </c>
      <c r="BP96" s="65">
        <f t="shared" si="106"/>
        <v>0.94218777021387345</v>
      </c>
      <c r="BQ96" s="90">
        <f t="shared" si="107"/>
        <v>1.1556418305719496</v>
      </c>
      <c r="BR96" s="69">
        <f t="shared" si="95"/>
        <v>100</v>
      </c>
      <c r="BS96" s="67">
        <f t="shared" si="96"/>
        <v>94.405594405594414</v>
      </c>
      <c r="BT96" s="67">
        <f t="shared" si="97"/>
        <v>88.344988344988337</v>
      </c>
      <c r="BU96" s="67">
        <f t="shared" si="98"/>
        <v>73.053613053613049</v>
      </c>
      <c r="BV96" s="67">
        <f t="shared" si="110"/>
        <v>65.361305361305355</v>
      </c>
      <c r="BW96" s="67">
        <f t="shared" si="122"/>
        <v>47.202797202797207</v>
      </c>
      <c r="BX96" s="67">
        <f t="shared" si="123"/>
        <v>41.142191142191145</v>
      </c>
      <c r="BY96" s="67">
        <f t="shared" si="124"/>
        <v>36.01398601398602</v>
      </c>
      <c r="BZ96" s="69">
        <f t="shared" si="109"/>
        <v>0</v>
      </c>
      <c r="CA96" s="67">
        <f t="shared" si="109"/>
        <v>5.5944055944055862</v>
      </c>
      <c r="CB96" s="67">
        <f t="shared" si="109"/>
        <v>11.655011655011663</v>
      </c>
      <c r="CC96" s="67">
        <f t="shared" si="108"/>
        <v>26.946386946386951</v>
      </c>
      <c r="CD96" s="67">
        <f t="shared" si="108"/>
        <v>34.638694638694645</v>
      </c>
      <c r="CE96" s="67">
        <f t="shared" si="108"/>
        <v>52.797202797202793</v>
      </c>
      <c r="CF96" s="67">
        <f t="shared" si="108"/>
        <v>58.857808857808855</v>
      </c>
      <c r="CG96" s="116">
        <f t="shared" si="108"/>
        <v>63.98601398601398</v>
      </c>
    </row>
    <row r="97" spans="2:85" x14ac:dyDescent="0.3">
      <c r="B97" s="410"/>
      <c r="C97" s="413"/>
      <c r="D97" s="70" t="s">
        <v>805</v>
      </c>
      <c r="E97" s="71">
        <v>11</v>
      </c>
      <c r="F97" s="71">
        <v>10</v>
      </c>
      <c r="G97" s="72">
        <v>13</v>
      </c>
      <c r="H97" s="71">
        <f t="shared" si="99"/>
        <v>34</v>
      </c>
      <c r="I97" s="73">
        <v>11</v>
      </c>
      <c r="J97" s="73">
        <v>10</v>
      </c>
      <c r="K97" s="72">
        <v>13</v>
      </c>
      <c r="L97" s="73">
        <v>10</v>
      </c>
      <c r="M97" s="73">
        <v>9</v>
      </c>
      <c r="N97" s="72">
        <v>13</v>
      </c>
      <c r="O97" s="73">
        <v>10</v>
      </c>
      <c r="P97" s="73">
        <v>9</v>
      </c>
      <c r="Q97" s="72">
        <v>12</v>
      </c>
      <c r="R97" s="73">
        <v>10</v>
      </c>
      <c r="S97" s="73">
        <v>9</v>
      </c>
      <c r="T97" s="72">
        <v>12</v>
      </c>
      <c r="U97" s="73">
        <v>9</v>
      </c>
      <c r="V97" s="73">
        <v>9</v>
      </c>
      <c r="W97" s="72">
        <v>12</v>
      </c>
      <c r="X97" s="73">
        <v>7</v>
      </c>
      <c r="Y97" s="73">
        <v>9</v>
      </c>
      <c r="Z97" s="72">
        <v>10</v>
      </c>
      <c r="AA97" s="73">
        <v>7</v>
      </c>
      <c r="AB97" s="73">
        <v>8</v>
      </c>
      <c r="AC97" s="72">
        <v>9</v>
      </c>
      <c r="AD97" s="71">
        <f t="shared" si="63"/>
        <v>100.00000000000001</v>
      </c>
      <c r="AE97" s="71">
        <f t="shared" si="64"/>
        <v>100</v>
      </c>
      <c r="AF97" s="72">
        <f t="shared" si="65"/>
        <v>100</v>
      </c>
      <c r="AG97" s="71">
        <f t="shared" si="66"/>
        <v>100.00000000000001</v>
      </c>
      <c r="AH97" s="71">
        <f t="shared" si="67"/>
        <v>100</v>
      </c>
      <c r="AI97" s="72">
        <f t="shared" si="68"/>
        <v>100</v>
      </c>
      <c r="AJ97" s="71">
        <f t="shared" si="69"/>
        <v>90.909090909090921</v>
      </c>
      <c r="AK97" s="71">
        <f t="shared" si="70"/>
        <v>90</v>
      </c>
      <c r="AL97" s="72">
        <f t="shared" si="71"/>
        <v>100</v>
      </c>
      <c r="AM97" s="71">
        <f t="shared" si="72"/>
        <v>90.909090909090921</v>
      </c>
      <c r="AN97" s="71">
        <f t="shared" si="73"/>
        <v>90</v>
      </c>
      <c r="AO97" s="72">
        <f t="shared" si="74"/>
        <v>92.307692307692307</v>
      </c>
      <c r="AP97" s="71">
        <f t="shared" si="75"/>
        <v>90.909090909090921</v>
      </c>
      <c r="AQ97" s="71">
        <f t="shared" si="76"/>
        <v>90</v>
      </c>
      <c r="AR97" s="72">
        <f t="shared" si="77"/>
        <v>92.307692307692307</v>
      </c>
      <c r="AS97" s="71">
        <f t="shared" si="78"/>
        <v>81.818181818181827</v>
      </c>
      <c r="AT97" s="71">
        <f t="shared" si="79"/>
        <v>90</v>
      </c>
      <c r="AU97" s="72">
        <f t="shared" si="80"/>
        <v>92.307692307692307</v>
      </c>
      <c r="AV97" s="71">
        <f t="shared" si="81"/>
        <v>63.63636363636364</v>
      </c>
      <c r="AW97" s="71">
        <f t="shared" si="82"/>
        <v>90</v>
      </c>
      <c r="AX97" s="72">
        <f t="shared" si="83"/>
        <v>76.92307692307692</v>
      </c>
      <c r="AY97" s="71">
        <f t="shared" si="84"/>
        <v>63.63636363636364</v>
      </c>
      <c r="AZ97" s="71">
        <f t="shared" si="85"/>
        <v>80</v>
      </c>
      <c r="BA97" s="72">
        <f t="shared" si="86"/>
        <v>69.230769230769226</v>
      </c>
      <c r="BB97" s="74">
        <f t="shared" si="87"/>
        <v>1.0048591735576161E-14</v>
      </c>
      <c r="BC97" s="71">
        <f t="shared" si="88"/>
        <v>1.0048591735576161E-14</v>
      </c>
      <c r="BD97" s="71">
        <f t="shared" si="89"/>
        <v>5.5297841184529242</v>
      </c>
      <c r="BE97" s="71">
        <f t="shared" si="90"/>
        <v>1.162466912801088</v>
      </c>
      <c r="BF97" s="71">
        <f t="shared" si="91"/>
        <v>1.162466912801088</v>
      </c>
      <c r="BG97" s="71">
        <f t="shared" si="92"/>
        <v>5.5120689227800099</v>
      </c>
      <c r="BH97" s="71">
        <f t="shared" si="93"/>
        <v>13.181957299260413</v>
      </c>
      <c r="BI97" s="71">
        <f t="shared" si="94"/>
        <v>8.3170738079064961</v>
      </c>
      <c r="BJ97" s="74">
        <f t="shared" si="100"/>
        <v>1.7233192653260188E-15</v>
      </c>
      <c r="BK97" s="71">
        <f t="shared" si="101"/>
        <v>1.7233192653260188E-15</v>
      </c>
      <c r="BL97" s="71">
        <f t="shared" si="102"/>
        <v>0.94835015245819199</v>
      </c>
      <c r="BM97" s="71">
        <f t="shared" si="103"/>
        <v>0.19936143082036678</v>
      </c>
      <c r="BN97" s="71">
        <f t="shared" si="104"/>
        <v>0.19936143082036678</v>
      </c>
      <c r="BO97" s="71">
        <f t="shared" si="105"/>
        <v>0.94531202146476445</v>
      </c>
      <c r="BP97" s="71">
        <f t="shared" si="106"/>
        <v>2.2606870262321275</v>
      </c>
      <c r="BQ97" s="91">
        <f t="shared" si="107"/>
        <v>1.4263663905817823</v>
      </c>
      <c r="BR97" s="75">
        <f t="shared" si="95"/>
        <v>100</v>
      </c>
      <c r="BS97" s="73">
        <f t="shared" si="96"/>
        <v>100</v>
      </c>
      <c r="BT97" s="73">
        <f t="shared" si="97"/>
        <v>93.63636363636364</v>
      </c>
      <c r="BU97" s="73">
        <f t="shared" si="98"/>
        <v>91.072261072261085</v>
      </c>
      <c r="BV97" s="73">
        <f t="shared" si="110"/>
        <v>91.072261072261085</v>
      </c>
      <c r="BW97" s="73">
        <f t="shared" si="122"/>
        <v>88.04195804195804</v>
      </c>
      <c r="BX97" s="73">
        <f t="shared" si="123"/>
        <v>81.981351981351978</v>
      </c>
      <c r="BY97" s="73">
        <f t="shared" si="124"/>
        <v>81.981351981351978</v>
      </c>
      <c r="BZ97" s="75">
        <f t="shared" si="109"/>
        <v>0</v>
      </c>
      <c r="CA97" s="73">
        <f t="shared" si="109"/>
        <v>0</v>
      </c>
      <c r="CB97" s="73">
        <f t="shared" si="109"/>
        <v>6.3636363636363598</v>
      </c>
      <c r="CC97" s="73">
        <f t="shared" si="108"/>
        <v>8.9277389277389148</v>
      </c>
      <c r="CD97" s="73">
        <f t="shared" si="108"/>
        <v>8.9277389277389148</v>
      </c>
      <c r="CE97" s="73">
        <f t="shared" si="108"/>
        <v>11.95804195804196</v>
      </c>
      <c r="CF97" s="73">
        <f t="shared" si="108"/>
        <v>18.018648018648022</v>
      </c>
      <c r="CG97" s="265">
        <f t="shared" si="108"/>
        <v>18.018648018648022</v>
      </c>
    </row>
    <row r="98" spans="2:85" ht="15" customHeight="1" x14ac:dyDescent="0.3">
      <c r="B98" s="408">
        <v>24</v>
      </c>
      <c r="C98" s="411" t="s">
        <v>323</v>
      </c>
      <c r="D98" s="76" t="s">
        <v>802</v>
      </c>
      <c r="E98" s="77">
        <v>12</v>
      </c>
      <c r="F98" s="77">
        <v>12</v>
      </c>
      <c r="G98" s="78">
        <v>12</v>
      </c>
      <c r="H98" s="77">
        <f t="shared" si="99"/>
        <v>36</v>
      </c>
      <c r="I98" s="79">
        <v>10</v>
      </c>
      <c r="J98" s="79">
        <v>12</v>
      </c>
      <c r="K98" s="78">
        <v>10</v>
      </c>
      <c r="L98" s="79">
        <v>10</v>
      </c>
      <c r="M98" s="79">
        <v>11</v>
      </c>
      <c r="N98" s="78">
        <v>10</v>
      </c>
      <c r="O98" s="79">
        <v>5</v>
      </c>
      <c r="P98" s="79">
        <v>9</v>
      </c>
      <c r="Q98" s="78">
        <v>9</v>
      </c>
      <c r="R98" s="79">
        <v>5</v>
      </c>
      <c r="S98" s="79">
        <v>7</v>
      </c>
      <c r="T98" s="78">
        <v>6</v>
      </c>
      <c r="U98" s="79">
        <v>5</v>
      </c>
      <c r="V98" s="79">
        <v>7</v>
      </c>
      <c r="W98" s="78">
        <v>6</v>
      </c>
      <c r="X98" s="79">
        <v>5</v>
      </c>
      <c r="Y98" s="79">
        <v>6</v>
      </c>
      <c r="Z98" s="78">
        <v>5</v>
      </c>
      <c r="AA98" s="79">
        <v>5</v>
      </c>
      <c r="AB98" s="79">
        <v>5</v>
      </c>
      <c r="AC98" s="78">
        <v>3</v>
      </c>
      <c r="AD98" s="77">
        <f t="shared" si="63"/>
        <v>100</v>
      </c>
      <c r="AE98" s="77">
        <f t="shared" si="64"/>
        <v>100</v>
      </c>
      <c r="AF98" s="78">
        <f t="shared" si="65"/>
        <v>100</v>
      </c>
      <c r="AG98" s="77">
        <f t="shared" si="66"/>
        <v>83.333333333333343</v>
      </c>
      <c r="AH98" s="77">
        <f t="shared" si="67"/>
        <v>100</v>
      </c>
      <c r="AI98" s="78">
        <f t="shared" si="68"/>
        <v>83.333333333333343</v>
      </c>
      <c r="AJ98" s="77">
        <f t="shared" si="69"/>
        <v>83.333333333333343</v>
      </c>
      <c r="AK98" s="77">
        <f t="shared" si="70"/>
        <v>91.666666666666671</v>
      </c>
      <c r="AL98" s="78">
        <f t="shared" si="71"/>
        <v>83.333333333333343</v>
      </c>
      <c r="AM98" s="77">
        <f t="shared" si="72"/>
        <v>41.666666666666671</v>
      </c>
      <c r="AN98" s="77">
        <f t="shared" si="73"/>
        <v>75</v>
      </c>
      <c r="AO98" s="78">
        <f t="shared" si="74"/>
        <v>75</v>
      </c>
      <c r="AP98" s="77">
        <f t="shared" si="75"/>
        <v>41.666666666666671</v>
      </c>
      <c r="AQ98" s="77">
        <f t="shared" si="76"/>
        <v>58.333333333333336</v>
      </c>
      <c r="AR98" s="78">
        <f t="shared" si="77"/>
        <v>50</v>
      </c>
      <c r="AS98" s="77">
        <f t="shared" si="78"/>
        <v>41.666666666666671</v>
      </c>
      <c r="AT98" s="77">
        <f t="shared" si="79"/>
        <v>58.333333333333336</v>
      </c>
      <c r="AU98" s="78">
        <f t="shared" si="80"/>
        <v>50</v>
      </c>
      <c r="AV98" s="77">
        <f t="shared" si="81"/>
        <v>41.666666666666671</v>
      </c>
      <c r="AW98" s="77">
        <f t="shared" si="82"/>
        <v>50</v>
      </c>
      <c r="AX98" s="78">
        <f t="shared" si="83"/>
        <v>41.666666666666671</v>
      </c>
      <c r="AY98" s="77">
        <f t="shared" si="84"/>
        <v>41.666666666666671</v>
      </c>
      <c r="AZ98" s="77">
        <f t="shared" si="85"/>
        <v>41.666666666666671</v>
      </c>
      <c r="BA98" s="78">
        <f t="shared" si="86"/>
        <v>25</v>
      </c>
      <c r="BB98" s="80">
        <f t="shared" si="87"/>
        <v>0</v>
      </c>
      <c r="BC98" s="77">
        <f t="shared" si="88"/>
        <v>9.6225044864937566</v>
      </c>
      <c r="BD98" s="77">
        <f t="shared" si="89"/>
        <v>4.8112522432468792</v>
      </c>
      <c r="BE98" s="77">
        <f t="shared" si="90"/>
        <v>19.245008972987502</v>
      </c>
      <c r="BF98" s="77">
        <f t="shared" si="91"/>
        <v>8.3333333333333552</v>
      </c>
      <c r="BG98" s="77">
        <f t="shared" si="92"/>
        <v>8.3333333333333552</v>
      </c>
      <c r="BH98" s="77">
        <f t="shared" si="93"/>
        <v>4.8112522432468783</v>
      </c>
      <c r="BI98" s="77">
        <f t="shared" si="94"/>
        <v>9.6225044864937512</v>
      </c>
      <c r="BJ98" s="80">
        <f t="shared" si="100"/>
        <v>0</v>
      </c>
      <c r="BK98" s="77">
        <f t="shared" si="101"/>
        <v>1.6037507477489594</v>
      </c>
      <c r="BL98" s="77">
        <f t="shared" si="102"/>
        <v>0.80187537387447982</v>
      </c>
      <c r="BM98" s="77">
        <f t="shared" si="103"/>
        <v>3.2075014954979171</v>
      </c>
      <c r="BN98" s="77">
        <f t="shared" si="104"/>
        <v>1.3888888888888926</v>
      </c>
      <c r="BO98" s="77">
        <f t="shared" si="105"/>
        <v>1.3888888888888926</v>
      </c>
      <c r="BP98" s="77">
        <f t="shared" si="106"/>
        <v>0.80187537387447971</v>
      </c>
      <c r="BQ98" s="92">
        <f t="shared" si="107"/>
        <v>1.6037507477489585</v>
      </c>
      <c r="BR98" s="81">
        <f t="shared" si="95"/>
        <v>100</v>
      </c>
      <c r="BS98" s="79">
        <f t="shared" si="96"/>
        <v>88.8888888888889</v>
      </c>
      <c r="BT98" s="79">
        <f t="shared" si="97"/>
        <v>86.111111111111128</v>
      </c>
      <c r="BU98" s="79">
        <f t="shared" si="98"/>
        <v>63.888888888888893</v>
      </c>
      <c r="BV98" s="79">
        <f t="shared" si="110"/>
        <v>50</v>
      </c>
      <c r="BW98" s="79">
        <f t="shared" si="122"/>
        <v>50</v>
      </c>
      <c r="BX98" s="79">
        <f t="shared" si="123"/>
        <v>50</v>
      </c>
      <c r="BY98" s="79">
        <f t="shared" si="124"/>
        <v>47.222222222222229</v>
      </c>
      <c r="BZ98" s="81">
        <f t="shared" si="109"/>
        <v>0</v>
      </c>
      <c r="CA98" s="79">
        <f t="shared" si="109"/>
        <v>11.1111111111111</v>
      </c>
      <c r="CB98" s="79">
        <f t="shared" si="109"/>
        <v>13.888888888888872</v>
      </c>
      <c r="CC98" s="79">
        <f t="shared" si="108"/>
        <v>36.111111111111107</v>
      </c>
      <c r="CD98" s="79">
        <f t="shared" si="108"/>
        <v>50</v>
      </c>
      <c r="CE98" s="79">
        <f t="shared" si="108"/>
        <v>50</v>
      </c>
      <c r="CF98" s="79">
        <f t="shared" si="108"/>
        <v>50</v>
      </c>
      <c r="CG98" s="264">
        <f t="shared" si="108"/>
        <v>52.777777777777771</v>
      </c>
    </row>
    <row r="99" spans="2:85" x14ac:dyDescent="0.3">
      <c r="B99" s="409"/>
      <c r="C99" s="412"/>
      <c r="D99" s="70" t="s">
        <v>803</v>
      </c>
      <c r="E99" s="65">
        <v>12</v>
      </c>
      <c r="F99" s="65">
        <v>12</v>
      </c>
      <c r="G99" s="66">
        <v>12</v>
      </c>
      <c r="H99" s="65">
        <f t="shared" si="99"/>
        <v>36</v>
      </c>
      <c r="I99" s="67">
        <v>9</v>
      </c>
      <c r="J99" s="67">
        <v>11</v>
      </c>
      <c r="K99" s="66">
        <v>10</v>
      </c>
      <c r="L99" s="67">
        <v>9</v>
      </c>
      <c r="M99" s="67">
        <v>10</v>
      </c>
      <c r="N99" s="66">
        <v>10</v>
      </c>
      <c r="O99" s="67">
        <v>8</v>
      </c>
      <c r="P99" s="67">
        <v>7</v>
      </c>
      <c r="Q99" s="66">
        <v>6</v>
      </c>
      <c r="R99" s="67">
        <v>7</v>
      </c>
      <c r="S99" s="67">
        <v>6</v>
      </c>
      <c r="T99" s="66">
        <v>6</v>
      </c>
      <c r="U99" s="67">
        <v>7</v>
      </c>
      <c r="V99" s="67">
        <v>6</v>
      </c>
      <c r="W99" s="66">
        <v>6</v>
      </c>
      <c r="X99" s="67">
        <v>7</v>
      </c>
      <c r="Y99" s="67">
        <v>4</v>
      </c>
      <c r="Z99" s="66">
        <v>4</v>
      </c>
      <c r="AA99" s="67">
        <v>5</v>
      </c>
      <c r="AB99" s="67">
        <v>6</v>
      </c>
      <c r="AC99" s="66">
        <v>2</v>
      </c>
      <c r="AD99" s="65">
        <f t="shared" si="63"/>
        <v>100</v>
      </c>
      <c r="AE99" s="65">
        <f t="shared" si="64"/>
        <v>100</v>
      </c>
      <c r="AF99" s="66">
        <f t="shared" si="65"/>
        <v>100</v>
      </c>
      <c r="AG99" s="65">
        <f t="shared" si="66"/>
        <v>75</v>
      </c>
      <c r="AH99" s="65">
        <f t="shared" si="67"/>
        <v>91.666666666666671</v>
      </c>
      <c r="AI99" s="66">
        <f t="shared" si="68"/>
        <v>83.333333333333343</v>
      </c>
      <c r="AJ99" s="65">
        <f t="shared" si="69"/>
        <v>75</v>
      </c>
      <c r="AK99" s="65">
        <f t="shared" si="70"/>
        <v>83.333333333333343</v>
      </c>
      <c r="AL99" s="66">
        <f t="shared" si="71"/>
        <v>83.333333333333343</v>
      </c>
      <c r="AM99" s="65">
        <f t="shared" si="72"/>
        <v>66.666666666666671</v>
      </c>
      <c r="AN99" s="65">
        <f t="shared" si="73"/>
        <v>58.333333333333336</v>
      </c>
      <c r="AO99" s="66">
        <f t="shared" si="74"/>
        <v>50</v>
      </c>
      <c r="AP99" s="65">
        <f t="shared" si="75"/>
        <v>58.333333333333336</v>
      </c>
      <c r="AQ99" s="65">
        <f t="shared" si="76"/>
        <v>50</v>
      </c>
      <c r="AR99" s="66">
        <f t="shared" si="77"/>
        <v>50</v>
      </c>
      <c r="AS99" s="65">
        <f t="shared" si="78"/>
        <v>58.333333333333336</v>
      </c>
      <c r="AT99" s="65">
        <f t="shared" si="79"/>
        <v>50</v>
      </c>
      <c r="AU99" s="66">
        <f t="shared" si="80"/>
        <v>50</v>
      </c>
      <c r="AV99" s="65">
        <f t="shared" si="81"/>
        <v>58.333333333333336</v>
      </c>
      <c r="AW99" s="65">
        <f t="shared" si="82"/>
        <v>33.333333333333336</v>
      </c>
      <c r="AX99" s="66">
        <f t="shared" si="83"/>
        <v>33.333333333333336</v>
      </c>
      <c r="AY99" s="65">
        <f t="shared" si="84"/>
        <v>41.666666666666671</v>
      </c>
      <c r="AZ99" s="65">
        <f t="shared" si="85"/>
        <v>50</v>
      </c>
      <c r="BA99" s="66">
        <f t="shared" si="86"/>
        <v>16.666666666666668</v>
      </c>
      <c r="BB99" s="68">
        <f t="shared" si="87"/>
        <v>0</v>
      </c>
      <c r="BC99" s="65">
        <f t="shared" si="88"/>
        <v>8.3333333333333357</v>
      </c>
      <c r="BD99" s="65">
        <f t="shared" si="89"/>
        <v>4.8112522432468872</v>
      </c>
      <c r="BE99" s="65">
        <f t="shared" si="90"/>
        <v>8.3333333333333268</v>
      </c>
      <c r="BF99" s="65">
        <f t="shared" si="91"/>
        <v>4.8112522432468827</v>
      </c>
      <c r="BG99" s="65">
        <f t="shared" si="92"/>
        <v>4.8112522432468827</v>
      </c>
      <c r="BH99" s="65">
        <f t="shared" si="93"/>
        <v>14.433756729740649</v>
      </c>
      <c r="BI99" s="65">
        <f t="shared" si="94"/>
        <v>17.347216662217757</v>
      </c>
      <c r="BJ99" s="68">
        <f t="shared" si="100"/>
        <v>0</v>
      </c>
      <c r="BK99" s="65">
        <f t="shared" si="101"/>
        <v>1.3888888888888893</v>
      </c>
      <c r="BL99" s="65">
        <f t="shared" si="102"/>
        <v>0.80187537387448116</v>
      </c>
      <c r="BM99" s="65">
        <f t="shared" si="103"/>
        <v>1.3888888888888877</v>
      </c>
      <c r="BN99" s="65">
        <f t="shared" si="104"/>
        <v>0.80187537387448049</v>
      </c>
      <c r="BO99" s="65">
        <f t="shared" si="105"/>
        <v>0.80187537387448049</v>
      </c>
      <c r="BP99" s="65">
        <f t="shared" si="106"/>
        <v>2.4056261216234414</v>
      </c>
      <c r="BQ99" s="90">
        <f t="shared" si="107"/>
        <v>2.8912027770362929</v>
      </c>
      <c r="BR99" s="69">
        <f t="shared" si="95"/>
        <v>100</v>
      </c>
      <c r="BS99" s="67">
        <f t="shared" si="96"/>
        <v>83.333333333333343</v>
      </c>
      <c r="BT99" s="67">
        <f t="shared" si="97"/>
        <v>80.555555555555557</v>
      </c>
      <c r="BU99" s="67">
        <f t="shared" si="98"/>
        <v>58.333333333333336</v>
      </c>
      <c r="BV99" s="67">
        <f t="shared" si="110"/>
        <v>52.777777777777779</v>
      </c>
      <c r="BW99" s="67">
        <f t="shared" si="122"/>
        <v>52.777777777777779</v>
      </c>
      <c r="BX99" s="67">
        <f t="shared" si="123"/>
        <v>52.777777777777779</v>
      </c>
      <c r="BY99" s="67">
        <f t="shared" si="124"/>
        <v>47.222222222222229</v>
      </c>
      <c r="BZ99" s="69">
        <f t="shared" si="109"/>
        <v>0</v>
      </c>
      <c r="CA99" s="67">
        <f t="shared" si="109"/>
        <v>16.666666666666657</v>
      </c>
      <c r="CB99" s="67">
        <f t="shared" si="109"/>
        <v>19.444444444444443</v>
      </c>
      <c r="CC99" s="67">
        <f t="shared" si="108"/>
        <v>41.666666666666664</v>
      </c>
      <c r="CD99" s="67">
        <f t="shared" si="108"/>
        <v>47.222222222222221</v>
      </c>
      <c r="CE99" s="67">
        <f t="shared" si="108"/>
        <v>47.222222222222221</v>
      </c>
      <c r="CF99" s="67">
        <f t="shared" si="108"/>
        <v>47.222222222222221</v>
      </c>
      <c r="CG99" s="116">
        <f t="shared" si="108"/>
        <v>52.777777777777771</v>
      </c>
    </row>
    <row r="100" spans="2:85" x14ac:dyDescent="0.3">
      <c r="B100" s="409"/>
      <c r="C100" s="412"/>
      <c r="D100" s="70" t="s">
        <v>804</v>
      </c>
      <c r="E100" s="65">
        <v>12</v>
      </c>
      <c r="F100" s="65">
        <v>12</v>
      </c>
      <c r="G100" s="66">
        <v>12</v>
      </c>
      <c r="H100" s="65">
        <f t="shared" si="99"/>
        <v>36</v>
      </c>
      <c r="I100" s="67">
        <v>11</v>
      </c>
      <c r="J100" s="67">
        <v>10</v>
      </c>
      <c r="K100" s="66">
        <v>11</v>
      </c>
      <c r="L100" s="67">
        <v>11</v>
      </c>
      <c r="M100" s="67">
        <v>10</v>
      </c>
      <c r="N100" s="66">
        <v>11</v>
      </c>
      <c r="O100" s="67">
        <v>9</v>
      </c>
      <c r="P100" s="67">
        <v>9</v>
      </c>
      <c r="Q100" s="66">
        <v>8</v>
      </c>
      <c r="R100" s="67">
        <v>7</v>
      </c>
      <c r="S100" s="67">
        <v>9</v>
      </c>
      <c r="T100" s="66">
        <v>8</v>
      </c>
      <c r="U100" s="67">
        <v>7</v>
      </c>
      <c r="V100" s="67">
        <v>9</v>
      </c>
      <c r="W100" s="66">
        <v>8</v>
      </c>
      <c r="X100" s="67">
        <v>6</v>
      </c>
      <c r="Y100" s="67">
        <v>9</v>
      </c>
      <c r="Z100" s="66">
        <v>6</v>
      </c>
      <c r="AA100" s="67">
        <v>4</v>
      </c>
      <c r="AB100" s="67">
        <v>7</v>
      </c>
      <c r="AC100" s="66">
        <v>5</v>
      </c>
      <c r="AD100" s="65">
        <f t="shared" si="63"/>
        <v>100</v>
      </c>
      <c r="AE100" s="65">
        <f t="shared" si="64"/>
        <v>100</v>
      </c>
      <c r="AF100" s="66">
        <f t="shared" si="65"/>
        <v>100</v>
      </c>
      <c r="AG100" s="65">
        <f t="shared" si="66"/>
        <v>91.666666666666671</v>
      </c>
      <c r="AH100" s="65">
        <f t="shared" si="67"/>
        <v>83.333333333333343</v>
      </c>
      <c r="AI100" s="66">
        <f t="shared" si="68"/>
        <v>91.666666666666671</v>
      </c>
      <c r="AJ100" s="65">
        <f t="shared" si="69"/>
        <v>91.666666666666671</v>
      </c>
      <c r="AK100" s="65">
        <f t="shared" si="70"/>
        <v>83.333333333333343</v>
      </c>
      <c r="AL100" s="66">
        <f t="shared" si="71"/>
        <v>91.666666666666671</v>
      </c>
      <c r="AM100" s="65">
        <f t="shared" si="72"/>
        <v>75</v>
      </c>
      <c r="AN100" s="65">
        <f t="shared" si="73"/>
        <v>75</v>
      </c>
      <c r="AO100" s="66">
        <f t="shared" si="74"/>
        <v>66.666666666666671</v>
      </c>
      <c r="AP100" s="65">
        <f t="shared" si="75"/>
        <v>58.333333333333336</v>
      </c>
      <c r="AQ100" s="65">
        <f t="shared" si="76"/>
        <v>75</v>
      </c>
      <c r="AR100" s="66">
        <f t="shared" si="77"/>
        <v>66.666666666666671</v>
      </c>
      <c r="AS100" s="65">
        <f t="shared" si="78"/>
        <v>58.333333333333336</v>
      </c>
      <c r="AT100" s="65">
        <f t="shared" si="79"/>
        <v>75</v>
      </c>
      <c r="AU100" s="66">
        <f t="shared" si="80"/>
        <v>66.666666666666671</v>
      </c>
      <c r="AV100" s="65">
        <f t="shared" si="81"/>
        <v>50</v>
      </c>
      <c r="AW100" s="65">
        <f t="shared" si="82"/>
        <v>75</v>
      </c>
      <c r="AX100" s="66">
        <f t="shared" si="83"/>
        <v>50</v>
      </c>
      <c r="AY100" s="65">
        <f t="shared" si="84"/>
        <v>33.333333333333336</v>
      </c>
      <c r="AZ100" s="65">
        <f t="shared" si="85"/>
        <v>58.333333333333336</v>
      </c>
      <c r="BA100" s="66">
        <f t="shared" si="86"/>
        <v>41.666666666666671</v>
      </c>
      <c r="BB100" s="68">
        <f t="shared" si="87"/>
        <v>0</v>
      </c>
      <c r="BC100" s="65">
        <f t="shared" si="88"/>
        <v>4.8112522432468783</v>
      </c>
      <c r="BD100" s="65">
        <f t="shared" si="89"/>
        <v>4.8112522432468783</v>
      </c>
      <c r="BE100" s="65">
        <f t="shared" si="90"/>
        <v>4.8112522432468783</v>
      </c>
      <c r="BF100" s="65">
        <f t="shared" si="91"/>
        <v>8.3333333333333268</v>
      </c>
      <c r="BG100" s="65">
        <f t="shared" si="92"/>
        <v>8.3333333333333268</v>
      </c>
      <c r="BH100" s="65">
        <f t="shared" si="93"/>
        <v>14.433756729740633</v>
      </c>
      <c r="BI100" s="65">
        <f t="shared" si="94"/>
        <v>12.729376930432867</v>
      </c>
      <c r="BJ100" s="68">
        <f t="shared" si="100"/>
        <v>0</v>
      </c>
      <c r="BK100" s="65">
        <f t="shared" si="101"/>
        <v>0.80187537387447971</v>
      </c>
      <c r="BL100" s="65">
        <f t="shared" si="102"/>
        <v>0.80187537387447971</v>
      </c>
      <c r="BM100" s="65">
        <f t="shared" si="103"/>
        <v>0.80187537387447971</v>
      </c>
      <c r="BN100" s="65">
        <f t="shared" si="104"/>
        <v>1.3888888888888877</v>
      </c>
      <c r="BO100" s="65">
        <f t="shared" si="105"/>
        <v>1.3888888888888877</v>
      </c>
      <c r="BP100" s="65">
        <f t="shared" si="106"/>
        <v>2.4056261216234387</v>
      </c>
      <c r="BQ100" s="90">
        <f t="shared" si="107"/>
        <v>2.1215628217388112</v>
      </c>
      <c r="BR100" s="69">
        <f t="shared" si="95"/>
        <v>100</v>
      </c>
      <c r="BS100" s="67">
        <f t="shared" si="96"/>
        <v>88.8888888888889</v>
      </c>
      <c r="BT100" s="67">
        <f t="shared" si="97"/>
        <v>88.8888888888889</v>
      </c>
      <c r="BU100" s="67">
        <f t="shared" si="98"/>
        <v>72.222222222222229</v>
      </c>
      <c r="BV100" s="67">
        <f t="shared" si="110"/>
        <v>66.666666666666671</v>
      </c>
      <c r="BW100" s="67">
        <f t="shared" si="122"/>
        <v>66.666666666666671</v>
      </c>
      <c r="BX100" s="67">
        <f t="shared" si="123"/>
        <v>63.888888888888893</v>
      </c>
      <c r="BY100" s="67">
        <f t="shared" si="124"/>
        <v>63.888888888888893</v>
      </c>
      <c r="BZ100" s="69">
        <f t="shared" si="109"/>
        <v>0</v>
      </c>
      <c r="CA100" s="67">
        <f t="shared" si="109"/>
        <v>11.1111111111111</v>
      </c>
      <c r="CB100" s="67">
        <f t="shared" si="109"/>
        <v>11.1111111111111</v>
      </c>
      <c r="CC100" s="67">
        <f t="shared" si="108"/>
        <v>27.777777777777771</v>
      </c>
      <c r="CD100" s="67">
        <f t="shared" si="108"/>
        <v>33.333333333333329</v>
      </c>
      <c r="CE100" s="67">
        <f t="shared" si="108"/>
        <v>33.333333333333329</v>
      </c>
      <c r="CF100" s="67">
        <f t="shared" si="108"/>
        <v>36.111111111111107</v>
      </c>
      <c r="CG100" s="116">
        <f t="shared" si="108"/>
        <v>36.111111111111107</v>
      </c>
    </row>
    <row r="101" spans="2:85" x14ac:dyDescent="0.3">
      <c r="B101" s="410"/>
      <c r="C101" s="413"/>
      <c r="D101" s="70" t="s">
        <v>805</v>
      </c>
      <c r="E101" s="71">
        <v>12</v>
      </c>
      <c r="F101" s="71">
        <v>12</v>
      </c>
      <c r="G101" s="72">
        <v>12</v>
      </c>
      <c r="H101" s="71">
        <f t="shared" si="99"/>
        <v>36</v>
      </c>
      <c r="I101" s="73">
        <v>12</v>
      </c>
      <c r="J101" s="73">
        <v>11</v>
      </c>
      <c r="K101" s="72">
        <v>12</v>
      </c>
      <c r="L101" s="73">
        <v>12</v>
      </c>
      <c r="M101" s="73">
        <v>11</v>
      </c>
      <c r="N101" s="72">
        <v>12</v>
      </c>
      <c r="O101" s="73">
        <v>11</v>
      </c>
      <c r="P101" s="73">
        <v>10</v>
      </c>
      <c r="Q101" s="72">
        <v>10</v>
      </c>
      <c r="R101" s="73">
        <v>11</v>
      </c>
      <c r="S101" s="73">
        <v>10</v>
      </c>
      <c r="T101" s="72">
        <v>10</v>
      </c>
      <c r="U101" s="73">
        <v>11</v>
      </c>
      <c r="V101" s="73">
        <v>10</v>
      </c>
      <c r="W101" s="72">
        <v>10</v>
      </c>
      <c r="X101" s="73">
        <v>9</v>
      </c>
      <c r="Y101" s="73">
        <v>8</v>
      </c>
      <c r="Z101" s="72">
        <v>8</v>
      </c>
      <c r="AA101" s="73">
        <v>4</v>
      </c>
      <c r="AB101" s="73">
        <v>3</v>
      </c>
      <c r="AC101" s="72">
        <v>1</v>
      </c>
      <c r="AD101" s="71">
        <f t="shared" si="63"/>
        <v>100</v>
      </c>
      <c r="AE101" s="71">
        <f t="shared" si="64"/>
        <v>100</v>
      </c>
      <c r="AF101" s="72">
        <f t="shared" si="65"/>
        <v>100</v>
      </c>
      <c r="AG101" s="71">
        <f t="shared" si="66"/>
        <v>100</v>
      </c>
      <c r="AH101" s="71">
        <f t="shared" si="67"/>
        <v>91.666666666666671</v>
      </c>
      <c r="AI101" s="72">
        <f t="shared" si="68"/>
        <v>100</v>
      </c>
      <c r="AJ101" s="71">
        <f t="shared" si="69"/>
        <v>100</v>
      </c>
      <c r="AK101" s="71">
        <f t="shared" si="70"/>
        <v>91.666666666666671</v>
      </c>
      <c r="AL101" s="72">
        <f t="shared" si="71"/>
        <v>100</v>
      </c>
      <c r="AM101" s="71">
        <f t="shared" si="72"/>
        <v>91.666666666666671</v>
      </c>
      <c r="AN101" s="71">
        <f t="shared" si="73"/>
        <v>83.333333333333343</v>
      </c>
      <c r="AO101" s="72">
        <f t="shared" si="74"/>
        <v>83.333333333333343</v>
      </c>
      <c r="AP101" s="71">
        <f t="shared" si="75"/>
        <v>91.666666666666671</v>
      </c>
      <c r="AQ101" s="71">
        <f t="shared" si="76"/>
        <v>83.333333333333343</v>
      </c>
      <c r="AR101" s="72">
        <f t="shared" si="77"/>
        <v>83.333333333333343</v>
      </c>
      <c r="AS101" s="71">
        <f t="shared" si="78"/>
        <v>91.666666666666671</v>
      </c>
      <c r="AT101" s="71">
        <f t="shared" si="79"/>
        <v>83.333333333333343</v>
      </c>
      <c r="AU101" s="72">
        <f t="shared" si="80"/>
        <v>83.333333333333343</v>
      </c>
      <c r="AV101" s="71">
        <f t="shared" si="81"/>
        <v>75</v>
      </c>
      <c r="AW101" s="71">
        <f t="shared" si="82"/>
        <v>66.666666666666671</v>
      </c>
      <c r="AX101" s="72">
        <f t="shared" si="83"/>
        <v>66.666666666666671</v>
      </c>
      <c r="AY101" s="71">
        <f t="shared" si="84"/>
        <v>33.333333333333336</v>
      </c>
      <c r="AZ101" s="71">
        <f t="shared" si="85"/>
        <v>25</v>
      </c>
      <c r="BA101" s="72">
        <f t="shared" si="86"/>
        <v>8.3333333333333339</v>
      </c>
      <c r="BB101" s="74">
        <f t="shared" si="87"/>
        <v>0</v>
      </c>
      <c r="BC101" s="71">
        <f t="shared" si="88"/>
        <v>4.8112522432468783</v>
      </c>
      <c r="BD101" s="71">
        <f t="shared" si="89"/>
        <v>4.8112522432468783</v>
      </c>
      <c r="BE101" s="71">
        <f t="shared" si="90"/>
        <v>4.8112522432468792</v>
      </c>
      <c r="BF101" s="71">
        <f t="shared" si="91"/>
        <v>4.8112522432468792</v>
      </c>
      <c r="BG101" s="71">
        <f t="shared" si="92"/>
        <v>4.8112522432468792</v>
      </c>
      <c r="BH101" s="71">
        <f t="shared" si="93"/>
        <v>4.8112522432468792</v>
      </c>
      <c r="BI101" s="71">
        <f t="shared" si="94"/>
        <v>12.729376930432885</v>
      </c>
      <c r="BJ101" s="74">
        <f t="shared" si="100"/>
        <v>0</v>
      </c>
      <c r="BK101" s="71">
        <f t="shared" si="101"/>
        <v>0.80187537387447971</v>
      </c>
      <c r="BL101" s="71">
        <f t="shared" si="102"/>
        <v>0.80187537387447971</v>
      </c>
      <c r="BM101" s="71">
        <f t="shared" si="103"/>
        <v>0.80187537387447982</v>
      </c>
      <c r="BN101" s="71">
        <f t="shared" si="104"/>
        <v>0.80187537387447982</v>
      </c>
      <c r="BO101" s="71">
        <f t="shared" si="105"/>
        <v>0.80187537387447982</v>
      </c>
      <c r="BP101" s="71">
        <f t="shared" si="106"/>
        <v>0.80187537387447982</v>
      </c>
      <c r="BQ101" s="91">
        <f t="shared" si="107"/>
        <v>2.1215628217388143</v>
      </c>
      <c r="BR101" s="75">
        <f t="shared" si="95"/>
        <v>100</v>
      </c>
      <c r="BS101" s="73">
        <f t="shared" si="96"/>
        <v>97.222222222222229</v>
      </c>
      <c r="BT101" s="73">
        <f t="shared" si="97"/>
        <v>97.222222222222229</v>
      </c>
      <c r="BU101" s="73">
        <f t="shared" si="98"/>
        <v>86.111111111111128</v>
      </c>
      <c r="BV101" s="73">
        <f t="shared" si="110"/>
        <v>86.111111111111128</v>
      </c>
      <c r="BW101" s="73">
        <f t="shared" si="122"/>
        <v>86.111111111111128</v>
      </c>
      <c r="BX101" s="73">
        <f t="shared" si="123"/>
        <v>80.555555555555557</v>
      </c>
      <c r="BY101" s="73">
        <f t="shared" si="124"/>
        <v>75</v>
      </c>
      <c r="BZ101" s="75">
        <f t="shared" si="109"/>
        <v>0</v>
      </c>
      <c r="CA101" s="73">
        <f t="shared" si="109"/>
        <v>2.7777777777777715</v>
      </c>
      <c r="CB101" s="73">
        <f t="shared" si="109"/>
        <v>2.7777777777777715</v>
      </c>
      <c r="CC101" s="73">
        <f t="shared" si="108"/>
        <v>13.888888888888872</v>
      </c>
      <c r="CD101" s="73">
        <f t="shared" si="108"/>
        <v>13.888888888888872</v>
      </c>
      <c r="CE101" s="73">
        <f t="shared" si="108"/>
        <v>13.888888888888872</v>
      </c>
      <c r="CF101" s="73">
        <f t="shared" si="108"/>
        <v>19.444444444444443</v>
      </c>
      <c r="CG101" s="265">
        <f t="shared" si="108"/>
        <v>25</v>
      </c>
    </row>
    <row r="102" spans="2:85" ht="15" customHeight="1" x14ac:dyDescent="0.3">
      <c r="B102" s="408">
        <v>25</v>
      </c>
      <c r="C102" s="411" t="s">
        <v>334</v>
      </c>
      <c r="D102" s="76" t="s">
        <v>802</v>
      </c>
      <c r="E102" s="77">
        <v>12</v>
      </c>
      <c r="F102" s="77">
        <v>12</v>
      </c>
      <c r="G102" s="78">
        <v>12</v>
      </c>
      <c r="H102" s="77">
        <f t="shared" si="99"/>
        <v>36</v>
      </c>
      <c r="I102" s="79">
        <v>8</v>
      </c>
      <c r="J102" s="79">
        <v>4</v>
      </c>
      <c r="K102" s="78">
        <v>6</v>
      </c>
      <c r="L102" s="79">
        <v>2</v>
      </c>
      <c r="M102" s="79">
        <v>1</v>
      </c>
      <c r="N102" s="78">
        <v>3</v>
      </c>
      <c r="O102" s="79">
        <v>0</v>
      </c>
      <c r="P102" s="79">
        <v>0</v>
      </c>
      <c r="Q102" s="78">
        <v>0</v>
      </c>
      <c r="R102" s="79">
        <v>0</v>
      </c>
      <c r="S102" s="79">
        <v>0</v>
      </c>
      <c r="T102" s="78">
        <v>0</v>
      </c>
      <c r="U102" s="79">
        <v>0</v>
      </c>
      <c r="V102" s="79">
        <v>0</v>
      </c>
      <c r="W102" s="78">
        <v>0</v>
      </c>
      <c r="X102" s="79">
        <v>0</v>
      </c>
      <c r="Y102" s="79">
        <v>0</v>
      </c>
      <c r="Z102" s="78">
        <v>0</v>
      </c>
      <c r="AA102" s="79">
        <v>0</v>
      </c>
      <c r="AB102" s="79">
        <v>0</v>
      </c>
      <c r="AC102" s="78">
        <v>0</v>
      </c>
      <c r="AD102" s="77">
        <f t="shared" si="63"/>
        <v>100</v>
      </c>
      <c r="AE102" s="77">
        <f t="shared" si="64"/>
        <v>100</v>
      </c>
      <c r="AF102" s="78">
        <f t="shared" si="65"/>
        <v>100</v>
      </c>
      <c r="AG102" s="77">
        <f t="shared" si="66"/>
        <v>66.666666666666671</v>
      </c>
      <c r="AH102" s="77">
        <f t="shared" si="67"/>
        <v>33.333333333333336</v>
      </c>
      <c r="AI102" s="78">
        <f t="shared" si="68"/>
        <v>50</v>
      </c>
      <c r="AJ102" s="77">
        <f t="shared" si="69"/>
        <v>16.666666666666668</v>
      </c>
      <c r="AK102" s="77">
        <f t="shared" si="70"/>
        <v>8.3333333333333339</v>
      </c>
      <c r="AL102" s="78">
        <f t="shared" si="71"/>
        <v>25</v>
      </c>
      <c r="AM102" s="77">
        <f t="shared" si="72"/>
        <v>0</v>
      </c>
      <c r="AN102" s="77">
        <f t="shared" si="73"/>
        <v>0</v>
      </c>
      <c r="AO102" s="78">
        <f t="shared" si="74"/>
        <v>0</v>
      </c>
      <c r="AP102" s="77">
        <f t="shared" si="75"/>
        <v>0</v>
      </c>
      <c r="AQ102" s="77">
        <f t="shared" si="76"/>
        <v>0</v>
      </c>
      <c r="AR102" s="78">
        <f t="shared" si="77"/>
        <v>0</v>
      </c>
      <c r="AS102" s="77">
        <f t="shared" si="78"/>
        <v>0</v>
      </c>
      <c r="AT102" s="77">
        <f t="shared" si="79"/>
        <v>0</v>
      </c>
      <c r="AU102" s="78">
        <f t="shared" si="80"/>
        <v>0</v>
      </c>
      <c r="AV102" s="77">
        <f t="shared" si="81"/>
        <v>0</v>
      </c>
      <c r="AW102" s="77">
        <f t="shared" si="82"/>
        <v>0</v>
      </c>
      <c r="AX102" s="78">
        <f t="shared" si="83"/>
        <v>0</v>
      </c>
      <c r="AY102" s="77">
        <f t="shared" si="84"/>
        <v>0</v>
      </c>
      <c r="AZ102" s="77">
        <f t="shared" si="85"/>
        <v>0</v>
      </c>
      <c r="BA102" s="78">
        <f t="shared" si="86"/>
        <v>0</v>
      </c>
      <c r="BB102" s="80">
        <f t="shared" si="87"/>
        <v>0</v>
      </c>
      <c r="BC102" s="77">
        <f t="shared" si="88"/>
        <v>16.666666666666682</v>
      </c>
      <c r="BD102" s="77">
        <f t="shared" si="89"/>
        <v>8.3333333333333339</v>
      </c>
      <c r="BE102" s="77">
        <f t="shared" si="90"/>
        <v>0</v>
      </c>
      <c r="BF102" s="77">
        <f t="shared" si="91"/>
        <v>0</v>
      </c>
      <c r="BG102" s="77">
        <f t="shared" si="92"/>
        <v>0</v>
      </c>
      <c r="BH102" s="77">
        <f t="shared" si="93"/>
        <v>0</v>
      </c>
      <c r="BI102" s="77">
        <f t="shared" si="94"/>
        <v>0</v>
      </c>
      <c r="BJ102" s="80">
        <f t="shared" si="100"/>
        <v>0</v>
      </c>
      <c r="BK102" s="77">
        <f t="shared" si="101"/>
        <v>2.7777777777777803</v>
      </c>
      <c r="BL102" s="77">
        <f t="shared" si="102"/>
        <v>1.3888888888888891</v>
      </c>
      <c r="BM102" s="77">
        <f t="shared" si="103"/>
        <v>0</v>
      </c>
      <c r="BN102" s="77">
        <f t="shared" si="104"/>
        <v>0</v>
      </c>
      <c r="BO102" s="77">
        <f t="shared" si="105"/>
        <v>0</v>
      </c>
      <c r="BP102" s="77">
        <f t="shared" si="106"/>
        <v>0</v>
      </c>
      <c r="BQ102" s="92">
        <f t="shared" si="107"/>
        <v>0</v>
      </c>
      <c r="BR102" s="81">
        <f t="shared" si="95"/>
        <v>100</v>
      </c>
      <c r="BS102" s="79">
        <f t="shared" si="96"/>
        <v>50</v>
      </c>
      <c r="BT102" s="79">
        <f t="shared" si="97"/>
        <v>16.666666666666668</v>
      </c>
      <c r="BU102" s="79">
        <f t="shared" si="98"/>
        <v>0</v>
      </c>
      <c r="BV102" s="79">
        <f t="shared" si="110"/>
        <v>0</v>
      </c>
      <c r="BW102" s="79">
        <f t="shared" si="122"/>
        <v>0</v>
      </c>
      <c r="BX102" s="79">
        <f t="shared" si="123"/>
        <v>0</v>
      </c>
      <c r="BY102" s="79">
        <f t="shared" si="124"/>
        <v>0</v>
      </c>
      <c r="BZ102" s="81">
        <f t="shared" si="109"/>
        <v>0</v>
      </c>
      <c r="CA102" s="79">
        <f t="shared" si="109"/>
        <v>50</v>
      </c>
      <c r="CB102" s="79">
        <f t="shared" si="109"/>
        <v>83.333333333333329</v>
      </c>
      <c r="CC102" s="79">
        <f t="shared" si="108"/>
        <v>100</v>
      </c>
      <c r="CD102" s="79">
        <f t="shared" si="108"/>
        <v>100</v>
      </c>
      <c r="CE102" s="79">
        <f t="shared" si="108"/>
        <v>100</v>
      </c>
      <c r="CF102" s="79">
        <f t="shared" si="108"/>
        <v>100</v>
      </c>
      <c r="CG102" s="264">
        <f t="shared" si="108"/>
        <v>100</v>
      </c>
    </row>
    <row r="103" spans="2:85" x14ac:dyDescent="0.3">
      <c r="B103" s="409"/>
      <c r="C103" s="412"/>
      <c r="D103" s="70" t="s">
        <v>803</v>
      </c>
      <c r="E103" s="65">
        <v>12</v>
      </c>
      <c r="F103" s="65">
        <v>12</v>
      </c>
      <c r="G103" s="66">
        <v>12</v>
      </c>
      <c r="H103" s="65">
        <f t="shared" si="99"/>
        <v>36</v>
      </c>
      <c r="I103" s="67">
        <v>4</v>
      </c>
      <c r="J103" s="67">
        <v>5</v>
      </c>
      <c r="K103" s="66">
        <v>4</v>
      </c>
      <c r="L103" s="67">
        <v>3</v>
      </c>
      <c r="M103" s="67">
        <v>3</v>
      </c>
      <c r="N103" s="66">
        <v>2</v>
      </c>
      <c r="O103" s="67">
        <v>1</v>
      </c>
      <c r="P103" s="67">
        <v>1</v>
      </c>
      <c r="Q103" s="66">
        <v>0</v>
      </c>
      <c r="R103" s="67">
        <v>0</v>
      </c>
      <c r="S103" s="67">
        <v>0</v>
      </c>
      <c r="T103" s="66">
        <v>0</v>
      </c>
      <c r="U103" s="67">
        <v>0</v>
      </c>
      <c r="V103" s="67">
        <v>0</v>
      </c>
      <c r="W103" s="66">
        <v>0</v>
      </c>
      <c r="X103" s="67">
        <v>0</v>
      </c>
      <c r="Y103" s="67">
        <v>0</v>
      </c>
      <c r="Z103" s="66">
        <v>0</v>
      </c>
      <c r="AA103" s="67">
        <v>0</v>
      </c>
      <c r="AB103" s="67">
        <v>0</v>
      </c>
      <c r="AC103" s="66">
        <v>0</v>
      </c>
      <c r="AD103" s="65">
        <f t="shared" si="63"/>
        <v>100</v>
      </c>
      <c r="AE103" s="65">
        <f t="shared" si="64"/>
        <v>100</v>
      </c>
      <c r="AF103" s="66">
        <f t="shared" si="65"/>
        <v>100</v>
      </c>
      <c r="AG103" s="65">
        <f t="shared" si="66"/>
        <v>33.333333333333336</v>
      </c>
      <c r="AH103" s="65">
        <f t="shared" si="67"/>
        <v>41.666666666666671</v>
      </c>
      <c r="AI103" s="66">
        <f t="shared" si="68"/>
        <v>33.333333333333336</v>
      </c>
      <c r="AJ103" s="65">
        <f t="shared" si="69"/>
        <v>25</v>
      </c>
      <c r="AK103" s="65">
        <f t="shared" si="70"/>
        <v>25</v>
      </c>
      <c r="AL103" s="66">
        <f t="shared" si="71"/>
        <v>16.666666666666668</v>
      </c>
      <c r="AM103" s="65">
        <f t="shared" si="72"/>
        <v>8.3333333333333339</v>
      </c>
      <c r="AN103" s="65">
        <f t="shared" si="73"/>
        <v>8.3333333333333339</v>
      </c>
      <c r="AO103" s="66">
        <f t="shared" si="74"/>
        <v>0</v>
      </c>
      <c r="AP103" s="65">
        <f t="shared" si="75"/>
        <v>0</v>
      </c>
      <c r="AQ103" s="65">
        <f t="shared" si="76"/>
        <v>0</v>
      </c>
      <c r="AR103" s="66">
        <f t="shared" si="77"/>
        <v>0</v>
      </c>
      <c r="AS103" s="65">
        <f t="shared" si="78"/>
        <v>0</v>
      </c>
      <c r="AT103" s="65">
        <f t="shared" si="79"/>
        <v>0</v>
      </c>
      <c r="AU103" s="66">
        <f t="shared" si="80"/>
        <v>0</v>
      </c>
      <c r="AV103" s="65">
        <f t="shared" si="81"/>
        <v>0</v>
      </c>
      <c r="AW103" s="65">
        <f t="shared" si="82"/>
        <v>0</v>
      </c>
      <c r="AX103" s="66">
        <f t="shared" si="83"/>
        <v>0</v>
      </c>
      <c r="AY103" s="65">
        <f t="shared" si="84"/>
        <v>0</v>
      </c>
      <c r="AZ103" s="65">
        <f t="shared" si="85"/>
        <v>0</v>
      </c>
      <c r="BA103" s="66">
        <f t="shared" si="86"/>
        <v>0</v>
      </c>
      <c r="BB103" s="68">
        <f t="shared" si="87"/>
        <v>0</v>
      </c>
      <c r="BC103" s="65">
        <f t="shared" si="88"/>
        <v>4.8112522432468703</v>
      </c>
      <c r="BD103" s="65">
        <f t="shared" si="89"/>
        <v>4.8112522432468703</v>
      </c>
      <c r="BE103" s="65">
        <f t="shared" si="90"/>
        <v>4.8112522432468818</v>
      </c>
      <c r="BF103" s="65">
        <f t="shared" si="91"/>
        <v>0</v>
      </c>
      <c r="BG103" s="65">
        <f t="shared" si="92"/>
        <v>0</v>
      </c>
      <c r="BH103" s="65">
        <f t="shared" si="93"/>
        <v>0</v>
      </c>
      <c r="BI103" s="65">
        <f t="shared" si="94"/>
        <v>0</v>
      </c>
      <c r="BJ103" s="68">
        <f t="shared" si="100"/>
        <v>0</v>
      </c>
      <c r="BK103" s="65">
        <f t="shared" si="101"/>
        <v>0.80187537387447838</v>
      </c>
      <c r="BL103" s="65">
        <f t="shared" si="102"/>
        <v>0.80187537387447838</v>
      </c>
      <c r="BM103" s="65">
        <f t="shared" si="103"/>
        <v>0.80187537387448027</v>
      </c>
      <c r="BN103" s="65">
        <f t="shared" si="104"/>
        <v>0</v>
      </c>
      <c r="BO103" s="65">
        <f t="shared" si="105"/>
        <v>0</v>
      </c>
      <c r="BP103" s="65">
        <f t="shared" si="106"/>
        <v>0</v>
      </c>
      <c r="BQ103" s="90">
        <f t="shared" si="107"/>
        <v>0</v>
      </c>
      <c r="BR103" s="69">
        <f t="shared" si="95"/>
        <v>100</v>
      </c>
      <c r="BS103" s="67">
        <f t="shared" si="96"/>
        <v>36.111111111111114</v>
      </c>
      <c r="BT103" s="67">
        <f t="shared" si="97"/>
        <v>22.222222222222225</v>
      </c>
      <c r="BU103" s="67">
        <f t="shared" si="98"/>
        <v>5.5555555555555562</v>
      </c>
      <c r="BV103" s="67">
        <f t="shared" si="110"/>
        <v>0</v>
      </c>
      <c r="BW103" s="67">
        <f t="shared" si="122"/>
        <v>0</v>
      </c>
      <c r="BX103" s="67">
        <f t="shared" si="123"/>
        <v>0</v>
      </c>
      <c r="BY103" s="67">
        <f t="shared" si="124"/>
        <v>0</v>
      </c>
      <c r="BZ103" s="69">
        <f t="shared" si="109"/>
        <v>0</v>
      </c>
      <c r="CA103" s="67">
        <f t="shared" si="109"/>
        <v>63.888888888888886</v>
      </c>
      <c r="CB103" s="67">
        <f t="shared" si="109"/>
        <v>77.777777777777771</v>
      </c>
      <c r="CC103" s="67">
        <f t="shared" si="108"/>
        <v>94.444444444444443</v>
      </c>
      <c r="CD103" s="67">
        <f t="shared" si="108"/>
        <v>100</v>
      </c>
      <c r="CE103" s="67">
        <f t="shared" si="108"/>
        <v>100</v>
      </c>
      <c r="CF103" s="67">
        <f t="shared" si="108"/>
        <v>100</v>
      </c>
      <c r="CG103" s="116">
        <f t="shared" si="108"/>
        <v>100</v>
      </c>
    </row>
    <row r="104" spans="2:85" x14ac:dyDescent="0.3">
      <c r="B104" s="409"/>
      <c r="C104" s="412"/>
      <c r="D104" s="70" t="s">
        <v>804</v>
      </c>
      <c r="E104" s="65">
        <v>12</v>
      </c>
      <c r="F104" s="65">
        <v>12</v>
      </c>
      <c r="G104" s="66">
        <v>12</v>
      </c>
      <c r="H104" s="65">
        <f t="shared" si="99"/>
        <v>36</v>
      </c>
      <c r="I104" s="67">
        <v>7</v>
      </c>
      <c r="J104" s="67">
        <v>5</v>
      </c>
      <c r="K104" s="66">
        <v>5</v>
      </c>
      <c r="L104" s="67">
        <v>5</v>
      </c>
      <c r="M104" s="67">
        <v>5</v>
      </c>
      <c r="N104" s="66">
        <v>4</v>
      </c>
      <c r="O104" s="67">
        <v>4</v>
      </c>
      <c r="P104" s="67">
        <v>4</v>
      </c>
      <c r="Q104" s="66">
        <v>1</v>
      </c>
      <c r="R104" s="67">
        <v>3</v>
      </c>
      <c r="S104" s="67">
        <v>3</v>
      </c>
      <c r="T104" s="66">
        <v>1</v>
      </c>
      <c r="U104" s="67">
        <v>2</v>
      </c>
      <c r="V104" s="67">
        <v>2</v>
      </c>
      <c r="W104" s="66">
        <v>1</v>
      </c>
      <c r="X104" s="67">
        <v>2</v>
      </c>
      <c r="Y104" s="67">
        <v>2</v>
      </c>
      <c r="Z104" s="66">
        <v>1</v>
      </c>
      <c r="AA104" s="67">
        <v>2</v>
      </c>
      <c r="AB104" s="67">
        <v>1</v>
      </c>
      <c r="AC104" s="66">
        <v>1</v>
      </c>
      <c r="AD104" s="65">
        <f t="shared" si="63"/>
        <v>100</v>
      </c>
      <c r="AE104" s="65">
        <f t="shared" si="64"/>
        <v>100</v>
      </c>
      <c r="AF104" s="66">
        <f t="shared" si="65"/>
        <v>100</v>
      </c>
      <c r="AG104" s="65">
        <f t="shared" si="66"/>
        <v>58.333333333333336</v>
      </c>
      <c r="AH104" s="65">
        <f t="shared" si="67"/>
        <v>41.666666666666671</v>
      </c>
      <c r="AI104" s="66">
        <f t="shared" si="68"/>
        <v>41.666666666666671</v>
      </c>
      <c r="AJ104" s="65">
        <f t="shared" si="69"/>
        <v>41.666666666666671</v>
      </c>
      <c r="AK104" s="65">
        <f t="shared" si="70"/>
        <v>41.666666666666671</v>
      </c>
      <c r="AL104" s="66">
        <f t="shared" si="71"/>
        <v>33.333333333333336</v>
      </c>
      <c r="AM104" s="65">
        <f t="shared" si="72"/>
        <v>33.333333333333336</v>
      </c>
      <c r="AN104" s="65">
        <f t="shared" si="73"/>
        <v>33.333333333333336</v>
      </c>
      <c r="AO104" s="66">
        <f t="shared" si="74"/>
        <v>8.3333333333333339</v>
      </c>
      <c r="AP104" s="65">
        <f t="shared" si="75"/>
        <v>25</v>
      </c>
      <c r="AQ104" s="65">
        <f t="shared" si="76"/>
        <v>25</v>
      </c>
      <c r="AR104" s="66">
        <f t="shared" si="77"/>
        <v>8.3333333333333339</v>
      </c>
      <c r="AS104" s="65">
        <f t="shared" si="78"/>
        <v>16.666666666666668</v>
      </c>
      <c r="AT104" s="65">
        <f t="shared" si="79"/>
        <v>16.666666666666668</v>
      </c>
      <c r="AU104" s="66">
        <f t="shared" si="80"/>
        <v>8.3333333333333339</v>
      </c>
      <c r="AV104" s="65">
        <f t="shared" si="81"/>
        <v>16.666666666666668</v>
      </c>
      <c r="AW104" s="65">
        <f t="shared" si="82"/>
        <v>16.666666666666668</v>
      </c>
      <c r="AX104" s="66">
        <f t="shared" si="83"/>
        <v>8.3333333333333339</v>
      </c>
      <c r="AY104" s="65">
        <f t="shared" si="84"/>
        <v>16.666666666666668</v>
      </c>
      <c r="AZ104" s="65">
        <f t="shared" si="85"/>
        <v>8.3333333333333339</v>
      </c>
      <c r="BA104" s="66">
        <f t="shared" si="86"/>
        <v>8.3333333333333339</v>
      </c>
      <c r="BB104" s="68">
        <f t="shared" si="87"/>
        <v>0</v>
      </c>
      <c r="BC104" s="65">
        <f t="shared" si="88"/>
        <v>9.6225044864937406</v>
      </c>
      <c r="BD104" s="65">
        <f t="shared" si="89"/>
        <v>4.8112522432468463</v>
      </c>
      <c r="BE104" s="65">
        <f t="shared" si="90"/>
        <v>14.433756729740649</v>
      </c>
      <c r="BF104" s="65">
        <f t="shared" si="91"/>
        <v>9.6225044864937583</v>
      </c>
      <c r="BG104" s="65">
        <f t="shared" si="92"/>
        <v>4.8112522432468818</v>
      </c>
      <c r="BH104" s="65">
        <f t="shared" si="93"/>
        <v>4.8112522432468818</v>
      </c>
      <c r="BI104" s="65">
        <f t="shared" si="94"/>
        <v>4.8112522432468818</v>
      </c>
      <c r="BJ104" s="68">
        <f t="shared" si="100"/>
        <v>0</v>
      </c>
      <c r="BK104" s="65">
        <f t="shared" si="101"/>
        <v>1.6037507477489568</v>
      </c>
      <c r="BL104" s="65">
        <f t="shared" si="102"/>
        <v>0.80187537387447438</v>
      </c>
      <c r="BM104" s="65">
        <f t="shared" si="103"/>
        <v>2.4056261216234414</v>
      </c>
      <c r="BN104" s="65">
        <f t="shared" si="104"/>
        <v>1.6037507477489596</v>
      </c>
      <c r="BO104" s="65">
        <f t="shared" si="105"/>
        <v>0.80187537387448027</v>
      </c>
      <c r="BP104" s="65">
        <f t="shared" si="106"/>
        <v>0.80187537387448027</v>
      </c>
      <c r="BQ104" s="90">
        <f t="shared" si="107"/>
        <v>0.80187537387448027</v>
      </c>
      <c r="BR104" s="69">
        <f t="shared" si="95"/>
        <v>100</v>
      </c>
      <c r="BS104" s="67">
        <f t="shared" si="96"/>
        <v>47.222222222222229</v>
      </c>
      <c r="BT104" s="67">
        <f t="shared" si="97"/>
        <v>38.888888888888893</v>
      </c>
      <c r="BU104" s="67">
        <f t="shared" si="98"/>
        <v>25</v>
      </c>
      <c r="BV104" s="67">
        <f t="shared" si="110"/>
        <v>19.444444444444446</v>
      </c>
      <c r="BW104" s="67">
        <f t="shared" si="122"/>
        <v>13.888888888888891</v>
      </c>
      <c r="BX104" s="67">
        <f t="shared" si="123"/>
        <v>13.888888888888891</v>
      </c>
      <c r="BY104" s="67">
        <f t="shared" si="124"/>
        <v>13.888888888888891</v>
      </c>
      <c r="BZ104" s="69">
        <f t="shared" si="109"/>
        <v>0</v>
      </c>
      <c r="CA104" s="67">
        <f t="shared" si="109"/>
        <v>52.777777777777771</v>
      </c>
      <c r="CB104" s="67">
        <f t="shared" si="109"/>
        <v>61.111111111111107</v>
      </c>
      <c r="CC104" s="67">
        <f t="shared" si="108"/>
        <v>75</v>
      </c>
      <c r="CD104" s="67">
        <f t="shared" si="108"/>
        <v>80.555555555555557</v>
      </c>
      <c r="CE104" s="67">
        <f t="shared" si="108"/>
        <v>86.111111111111114</v>
      </c>
      <c r="CF104" s="67">
        <f t="shared" si="108"/>
        <v>86.111111111111114</v>
      </c>
      <c r="CG104" s="116">
        <f t="shared" si="108"/>
        <v>86.111111111111114</v>
      </c>
    </row>
    <row r="105" spans="2:85" x14ac:dyDescent="0.3">
      <c r="B105" s="410"/>
      <c r="C105" s="413"/>
      <c r="D105" s="70" t="s">
        <v>805</v>
      </c>
      <c r="E105" s="71">
        <v>12</v>
      </c>
      <c r="F105" s="71">
        <v>12</v>
      </c>
      <c r="G105" s="72">
        <v>12</v>
      </c>
      <c r="H105" s="71">
        <f t="shared" si="99"/>
        <v>36</v>
      </c>
      <c r="I105" s="73">
        <v>8</v>
      </c>
      <c r="J105" s="73">
        <v>8</v>
      </c>
      <c r="K105" s="72">
        <v>4</v>
      </c>
      <c r="L105" s="73">
        <v>8</v>
      </c>
      <c r="M105" s="73">
        <v>7</v>
      </c>
      <c r="N105" s="72">
        <v>2</v>
      </c>
      <c r="O105" s="73">
        <v>8</v>
      </c>
      <c r="P105" s="73">
        <v>7</v>
      </c>
      <c r="Q105" s="72">
        <v>2</v>
      </c>
      <c r="R105" s="73">
        <v>8</v>
      </c>
      <c r="S105" s="73">
        <v>6</v>
      </c>
      <c r="T105" s="72">
        <v>2</v>
      </c>
      <c r="U105" s="73">
        <v>8</v>
      </c>
      <c r="V105" s="73">
        <v>6</v>
      </c>
      <c r="W105" s="72">
        <v>2</v>
      </c>
      <c r="X105" s="73">
        <v>8</v>
      </c>
      <c r="Y105" s="73">
        <v>6</v>
      </c>
      <c r="Z105" s="72">
        <v>2</v>
      </c>
      <c r="AA105" s="73">
        <v>8</v>
      </c>
      <c r="AB105" s="73">
        <v>5</v>
      </c>
      <c r="AC105" s="72">
        <v>2</v>
      </c>
      <c r="AD105" s="71">
        <f t="shared" si="63"/>
        <v>100</v>
      </c>
      <c r="AE105" s="71">
        <f t="shared" si="64"/>
        <v>100</v>
      </c>
      <c r="AF105" s="72">
        <f t="shared" si="65"/>
        <v>100</v>
      </c>
      <c r="AG105" s="71">
        <f t="shared" si="66"/>
        <v>66.666666666666671</v>
      </c>
      <c r="AH105" s="71">
        <f t="shared" si="67"/>
        <v>66.666666666666671</v>
      </c>
      <c r="AI105" s="72">
        <f t="shared" si="68"/>
        <v>33.333333333333336</v>
      </c>
      <c r="AJ105" s="71">
        <f t="shared" si="69"/>
        <v>66.666666666666671</v>
      </c>
      <c r="AK105" s="71">
        <f t="shared" si="70"/>
        <v>58.333333333333336</v>
      </c>
      <c r="AL105" s="72">
        <f t="shared" si="71"/>
        <v>16.666666666666668</v>
      </c>
      <c r="AM105" s="71">
        <f t="shared" si="72"/>
        <v>66.666666666666671</v>
      </c>
      <c r="AN105" s="71">
        <f t="shared" si="73"/>
        <v>58.333333333333336</v>
      </c>
      <c r="AO105" s="72">
        <f t="shared" si="74"/>
        <v>16.666666666666668</v>
      </c>
      <c r="AP105" s="71">
        <f t="shared" si="75"/>
        <v>66.666666666666671</v>
      </c>
      <c r="AQ105" s="71">
        <f t="shared" si="76"/>
        <v>50</v>
      </c>
      <c r="AR105" s="72">
        <f t="shared" si="77"/>
        <v>16.666666666666668</v>
      </c>
      <c r="AS105" s="71">
        <f t="shared" si="78"/>
        <v>66.666666666666671</v>
      </c>
      <c r="AT105" s="71">
        <f t="shared" si="79"/>
        <v>50</v>
      </c>
      <c r="AU105" s="72">
        <f t="shared" si="80"/>
        <v>16.666666666666668</v>
      </c>
      <c r="AV105" s="71">
        <f t="shared" si="81"/>
        <v>66.666666666666671</v>
      </c>
      <c r="AW105" s="71">
        <f t="shared" si="82"/>
        <v>50</v>
      </c>
      <c r="AX105" s="72">
        <f t="shared" si="83"/>
        <v>16.666666666666668</v>
      </c>
      <c r="AY105" s="71">
        <f t="shared" si="84"/>
        <v>66.666666666666671</v>
      </c>
      <c r="AZ105" s="71">
        <f t="shared" si="85"/>
        <v>41.666666666666671</v>
      </c>
      <c r="BA105" s="72">
        <f t="shared" si="86"/>
        <v>16.666666666666668</v>
      </c>
      <c r="BB105" s="74">
        <f t="shared" si="87"/>
        <v>0</v>
      </c>
      <c r="BC105" s="71">
        <f t="shared" si="88"/>
        <v>19.245008972987527</v>
      </c>
      <c r="BD105" s="71">
        <f t="shared" si="89"/>
        <v>26.787918780535996</v>
      </c>
      <c r="BE105" s="71">
        <f t="shared" si="90"/>
        <v>26.787918780535996</v>
      </c>
      <c r="BF105" s="71">
        <f t="shared" si="91"/>
        <v>25.45875386086577</v>
      </c>
      <c r="BG105" s="71">
        <f t="shared" si="92"/>
        <v>25.45875386086577</v>
      </c>
      <c r="BH105" s="71">
        <f t="shared" si="93"/>
        <v>25.45875386086577</v>
      </c>
      <c r="BI105" s="71">
        <f t="shared" si="94"/>
        <v>24.999999999999989</v>
      </c>
      <c r="BJ105" s="74">
        <f t="shared" si="100"/>
        <v>0</v>
      </c>
      <c r="BK105" s="71">
        <f t="shared" si="101"/>
        <v>3.2075014954979211</v>
      </c>
      <c r="BL105" s="71">
        <f t="shared" si="102"/>
        <v>4.4646531300893324</v>
      </c>
      <c r="BM105" s="71">
        <f t="shared" si="103"/>
        <v>4.4646531300893324</v>
      </c>
      <c r="BN105" s="71">
        <f t="shared" si="104"/>
        <v>4.2431256434776286</v>
      </c>
      <c r="BO105" s="71">
        <f t="shared" si="105"/>
        <v>4.2431256434776286</v>
      </c>
      <c r="BP105" s="71">
        <f t="shared" si="106"/>
        <v>4.2431256434776286</v>
      </c>
      <c r="BQ105" s="91">
        <f t="shared" si="107"/>
        <v>4.1666666666666652</v>
      </c>
      <c r="BR105" s="75">
        <f t="shared" si="95"/>
        <v>100</v>
      </c>
      <c r="BS105" s="73">
        <f t="shared" si="96"/>
        <v>55.555555555555564</v>
      </c>
      <c r="BT105" s="73">
        <f t="shared" si="97"/>
        <v>47.222222222222221</v>
      </c>
      <c r="BU105" s="73">
        <f t="shared" si="98"/>
        <v>47.222222222222221</v>
      </c>
      <c r="BV105" s="73">
        <f t="shared" si="110"/>
        <v>44.44444444444445</v>
      </c>
      <c r="BW105" s="73">
        <f t="shared" si="122"/>
        <v>44.44444444444445</v>
      </c>
      <c r="BX105" s="73">
        <f t="shared" si="123"/>
        <v>44.44444444444445</v>
      </c>
      <c r="BY105" s="73">
        <f t="shared" si="124"/>
        <v>44.44444444444445</v>
      </c>
      <c r="BZ105" s="75">
        <f t="shared" si="109"/>
        <v>0</v>
      </c>
      <c r="CA105" s="73">
        <f t="shared" si="109"/>
        <v>44.444444444444436</v>
      </c>
      <c r="CB105" s="73">
        <f t="shared" si="109"/>
        <v>52.777777777777779</v>
      </c>
      <c r="CC105" s="73">
        <f t="shared" si="108"/>
        <v>52.777777777777779</v>
      </c>
      <c r="CD105" s="73">
        <f t="shared" si="108"/>
        <v>55.55555555555555</v>
      </c>
      <c r="CE105" s="73">
        <f t="shared" si="108"/>
        <v>55.55555555555555</v>
      </c>
      <c r="CF105" s="73">
        <f t="shared" si="108"/>
        <v>55.55555555555555</v>
      </c>
      <c r="CG105" s="265">
        <f t="shared" si="108"/>
        <v>55.55555555555555</v>
      </c>
    </row>
    <row r="106" spans="2:85" ht="15" customHeight="1" x14ac:dyDescent="0.3">
      <c r="B106" s="408">
        <v>26</v>
      </c>
      <c r="C106" s="411" t="s">
        <v>342</v>
      </c>
      <c r="D106" s="76" t="s">
        <v>802</v>
      </c>
      <c r="E106" s="77">
        <v>12</v>
      </c>
      <c r="F106" s="77">
        <v>12</v>
      </c>
      <c r="G106" s="78">
        <v>12</v>
      </c>
      <c r="H106" s="77">
        <f t="shared" si="99"/>
        <v>36</v>
      </c>
      <c r="I106" s="79">
        <v>8</v>
      </c>
      <c r="J106" s="79">
        <v>8</v>
      </c>
      <c r="K106" s="78">
        <v>10</v>
      </c>
      <c r="L106" s="79">
        <v>2</v>
      </c>
      <c r="M106" s="79">
        <v>5</v>
      </c>
      <c r="N106" s="78">
        <v>4</v>
      </c>
      <c r="O106" s="79">
        <v>0</v>
      </c>
      <c r="P106" s="79">
        <v>0</v>
      </c>
      <c r="Q106" s="78">
        <v>0</v>
      </c>
      <c r="R106" s="79">
        <v>0</v>
      </c>
      <c r="S106" s="79">
        <v>0</v>
      </c>
      <c r="T106" s="78">
        <v>0</v>
      </c>
      <c r="U106" s="79">
        <v>0</v>
      </c>
      <c r="V106" s="79">
        <v>0</v>
      </c>
      <c r="W106" s="78">
        <v>0</v>
      </c>
      <c r="X106" s="79">
        <v>0</v>
      </c>
      <c r="Y106" s="79">
        <v>0</v>
      </c>
      <c r="Z106" s="78">
        <v>0</v>
      </c>
      <c r="AA106" s="79">
        <v>0</v>
      </c>
      <c r="AB106" s="79">
        <v>0</v>
      </c>
      <c r="AC106" s="78">
        <v>0</v>
      </c>
      <c r="AD106" s="77">
        <f t="shared" si="63"/>
        <v>100</v>
      </c>
      <c r="AE106" s="77">
        <f t="shared" si="64"/>
        <v>100</v>
      </c>
      <c r="AF106" s="78">
        <f t="shared" si="65"/>
        <v>100</v>
      </c>
      <c r="AG106" s="77">
        <f t="shared" si="66"/>
        <v>66.666666666666671</v>
      </c>
      <c r="AH106" s="77">
        <f t="shared" si="67"/>
        <v>66.666666666666671</v>
      </c>
      <c r="AI106" s="78">
        <f t="shared" si="68"/>
        <v>83.333333333333343</v>
      </c>
      <c r="AJ106" s="77">
        <f t="shared" si="69"/>
        <v>16.666666666666668</v>
      </c>
      <c r="AK106" s="77">
        <f t="shared" si="70"/>
        <v>41.666666666666671</v>
      </c>
      <c r="AL106" s="78">
        <f t="shared" si="71"/>
        <v>33.333333333333336</v>
      </c>
      <c r="AM106" s="77">
        <f t="shared" si="72"/>
        <v>0</v>
      </c>
      <c r="AN106" s="77">
        <f t="shared" si="73"/>
        <v>0</v>
      </c>
      <c r="AO106" s="78">
        <f t="shared" si="74"/>
        <v>0</v>
      </c>
      <c r="AP106" s="77">
        <f t="shared" si="75"/>
        <v>0</v>
      </c>
      <c r="AQ106" s="77">
        <f t="shared" si="76"/>
        <v>0</v>
      </c>
      <c r="AR106" s="78">
        <f t="shared" si="77"/>
        <v>0</v>
      </c>
      <c r="AS106" s="77">
        <f t="shared" si="78"/>
        <v>0</v>
      </c>
      <c r="AT106" s="77">
        <f t="shared" si="79"/>
        <v>0</v>
      </c>
      <c r="AU106" s="78">
        <f t="shared" si="80"/>
        <v>0</v>
      </c>
      <c r="AV106" s="77">
        <f t="shared" si="81"/>
        <v>0</v>
      </c>
      <c r="AW106" s="77">
        <f t="shared" si="82"/>
        <v>0</v>
      </c>
      <c r="AX106" s="78">
        <f t="shared" si="83"/>
        <v>0</v>
      </c>
      <c r="AY106" s="77">
        <f t="shared" si="84"/>
        <v>0</v>
      </c>
      <c r="AZ106" s="77">
        <f t="shared" si="85"/>
        <v>0</v>
      </c>
      <c r="BA106" s="78">
        <f t="shared" si="86"/>
        <v>0</v>
      </c>
      <c r="BB106" s="80">
        <f t="shared" si="87"/>
        <v>0</v>
      </c>
      <c r="BC106" s="77">
        <f t="shared" si="88"/>
        <v>9.6225044864937406</v>
      </c>
      <c r="BD106" s="77">
        <f t="shared" si="89"/>
        <v>12.729376930432885</v>
      </c>
      <c r="BE106" s="77">
        <f t="shared" si="90"/>
        <v>0</v>
      </c>
      <c r="BF106" s="77">
        <f t="shared" si="91"/>
        <v>0</v>
      </c>
      <c r="BG106" s="77">
        <f t="shared" si="92"/>
        <v>0</v>
      </c>
      <c r="BH106" s="77">
        <f t="shared" si="93"/>
        <v>0</v>
      </c>
      <c r="BI106" s="77">
        <f t="shared" si="94"/>
        <v>0</v>
      </c>
      <c r="BJ106" s="80">
        <f t="shared" si="100"/>
        <v>0</v>
      </c>
      <c r="BK106" s="77">
        <f t="shared" si="101"/>
        <v>1.6037507477489568</v>
      </c>
      <c r="BL106" s="77">
        <f t="shared" si="102"/>
        <v>2.1215628217388143</v>
      </c>
      <c r="BM106" s="77">
        <f t="shared" si="103"/>
        <v>0</v>
      </c>
      <c r="BN106" s="77">
        <f t="shared" si="104"/>
        <v>0</v>
      </c>
      <c r="BO106" s="77">
        <f t="shared" si="105"/>
        <v>0</v>
      </c>
      <c r="BP106" s="77">
        <f t="shared" si="106"/>
        <v>0</v>
      </c>
      <c r="BQ106" s="92">
        <f t="shared" si="107"/>
        <v>0</v>
      </c>
      <c r="BR106" s="81">
        <f t="shared" si="95"/>
        <v>100</v>
      </c>
      <c r="BS106" s="79">
        <f t="shared" si="96"/>
        <v>72.222222222222229</v>
      </c>
      <c r="BT106" s="79">
        <f t="shared" si="97"/>
        <v>30.555555555555561</v>
      </c>
      <c r="BU106" s="79">
        <f t="shared" si="98"/>
        <v>0</v>
      </c>
      <c r="BV106" s="79">
        <f t="shared" si="110"/>
        <v>0</v>
      </c>
      <c r="BW106" s="79">
        <f t="shared" si="122"/>
        <v>0</v>
      </c>
      <c r="BX106" s="79">
        <f t="shared" si="123"/>
        <v>0</v>
      </c>
      <c r="BY106" s="79">
        <f t="shared" si="124"/>
        <v>0</v>
      </c>
      <c r="BZ106" s="81">
        <f t="shared" si="109"/>
        <v>0</v>
      </c>
      <c r="CA106" s="79">
        <f t="shared" si="109"/>
        <v>27.777777777777771</v>
      </c>
      <c r="CB106" s="79">
        <f t="shared" si="109"/>
        <v>69.444444444444443</v>
      </c>
      <c r="CC106" s="79">
        <f t="shared" si="108"/>
        <v>100</v>
      </c>
      <c r="CD106" s="79">
        <f t="shared" si="108"/>
        <v>100</v>
      </c>
      <c r="CE106" s="79">
        <f t="shared" si="108"/>
        <v>100</v>
      </c>
      <c r="CF106" s="79">
        <f t="shared" si="108"/>
        <v>100</v>
      </c>
      <c r="CG106" s="264">
        <f t="shared" si="108"/>
        <v>100</v>
      </c>
    </row>
    <row r="107" spans="2:85" x14ac:dyDescent="0.3">
      <c r="B107" s="409"/>
      <c r="C107" s="412"/>
      <c r="D107" s="70" t="s">
        <v>803</v>
      </c>
      <c r="E107" s="65">
        <v>12</v>
      </c>
      <c r="F107" s="65">
        <v>12</v>
      </c>
      <c r="G107" s="66">
        <v>12</v>
      </c>
      <c r="H107" s="65">
        <f t="shared" si="99"/>
        <v>36</v>
      </c>
      <c r="I107" s="67">
        <v>9</v>
      </c>
      <c r="J107" s="67">
        <v>9</v>
      </c>
      <c r="K107" s="66">
        <v>9</v>
      </c>
      <c r="L107" s="67">
        <v>5</v>
      </c>
      <c r="M107" s="67">
        <v>4</v>
      </c>
      <c r="N107" s="66">
        <v>7</v>
      </c>
      <c r="O107" s="67">
        <v>2</v>
      </c>
      <c r="P107" s="67">
        <v>3</v>
      </c>
      <c r="Q107" s="66">
        <v>3</v>
      </c>
      <c r="R107" s="67">
        <v>2</v>
      </c>
      <c r="S107" s="67">
        <v>2</v>
      </c>
      <c r="T107" s="66">
        <v>2</v>
      </c>
      <c r="U107" s="67">
        <v>0</v>
      </c>
      <c r="V107" s="67">
        <v>0</v>
      </c>
      <c r="W107" s="66">
        <v>0</v>
      </c>
      <c r="X107" s="67">
        <v>0</v>
      </c>
      <c r="Y107" s="67">
        <v>0</v>
      </c>
      <c r="Z107" s="66">
        <v>0</v>
      </c>
      <c r="AA107" s="67">
        <v>0</v>
      </c>
      <c r="AB107" s="67">
        <v>0</v>
      </c>
      <c r="AC107" s="66">
        <v>0</v>
      </c>
      <c r="AD107" s="65">
        <f t="shared" si="63"/>
        <v>100</v>
      </c>
      <c r="AE107" s="65">
        <f t="shared" si="64"/>
        <v>100</v>
      </c>
      <c r="AF107" s="66">
        <f t="shared" si="65"/>
        <v>100</v>
      </c>
      <c r="AG107" s="65">
        <f t="shared" si="66"/>
        <v>75</v>
      </c>
      <c r="AH107" s="65">
        <f t="shared" si="67"/>
        <v>75</v>
      </c>
      <c r="AI107" s="66">
        <f t="shared" si="68"/>
        <v>75</v>
      </c>
      <c r="AJ107" s="65">
        <f t="shared" si="69"/>
        <v>41.666666666666671</v>
      </c>
      <c r="AK107" s="65">
        <f t="shared" si="70"/>
        <v>33.333333333333336</v>
      </c>
      <c r="AL107" s="66">
        <f t="shared" si="71"/>
        <v>58.333333333333336</v>
      </c>
      <c r="AM107" s="65">
        <f t="shared" si="72"/>
        <v>16.666666666666668</v>
      </c>
      <c r="AN107" s="65">
        <f t="shared" si="73"/>
        <v>25</v>
      </c>
      <c r="AO107" s="66">
        <f t="shared" si="74"/>
        <v>25</v>
      </c>
      <c r="AP107" s="65">
        <f t="shared" si="75"/>
        <v>16.666666666666668</v>
      </c>
      <c r="AQ107" s="65">
        <f t="shared" si="76"/>
        <v>16.666666666666668</v>
      </c>
      <c r="AR107" s="66">
        <f t="shared" si="77"/>
        <v>16.666666666666668</v>
      </c>
      <c r="AS107" s="65">
        <f t="shared" si="78"/>
        <v>0</v>
      </c>
      <c r="AT107" s="65">
        <f t="shared" si="79"/>
        <v>0</v>
      </c>
      <c r="AU107" s="66">
        <f t="shared" si="80"/>
        <v>0</v>
      </c>
      <c r="AV107" s="65">
        <f t="shared" si="81"/>
        <v>0</v>
      </c>
      <c r="AW107" s="65">
        <f t="shared" si="82"/>
        <v>0</v>
      </c>
      <c r="AX107" s="66">
        <f t="shared" si="83"/>
        <v>0</v>
      </c>
      <c r="AY107" s="65">
        <f t="shared" si="84"/>
        <v>0</v>
      </c>
      <c r="AZ107" s="65">
        <f t="shared" si="85"/>
        <v>0</v>
      </c>
      <c r="BA107" s="66">
        <f t="shared" si="86"/>
        <v>0</v>
      </c>
      <c r="BB107" s="68">
        <f t="shared" si="87"/>
        <v>0</v>
      </c>
      <c r="BC107" s="65">
        <f t="shared" si="88"/>
        <v>0</v>
      </c>
      <c r="BD107" s="65">
        <f t="shared" si="89"/>
        <v>12.729376930432867</v>
      </c>
      <c r="BE107" s="65">
        <f t="shared" si="90"/>
        <v>4.8112522432468703</v>
      </c>
      <c r="BF107" s="65">
        <f t="shared" si="91"/>
        <v>0</v>
      </c>
      <c r="BG107" s="65">
        <f t="shared" si="92"/>
        <v>0</v>
      </c>
      <c r="BH107" s="65">
        <f t="shared" si="93"/>
        <v>0</v>
      </c>
      <c r="BI107" s="65">
        <f t="shared" si="94"/>
        <v>0</v>
      </c>
      <c r="BJ107" s="68">
        <f t="shared" si="100"/>
        <v>0</v>
      </c>
      <c r="BK107" s="65">
        <f t="shared" si="101"/>
        <v>0</v>
      </c>
      <c r="BL107" s="65">
        <f t="shared" si="102"/>
        <v>2.1215628217388112</v>
      </c>
      <c r="BM107" s="65">
        <f t="shared" si="103"/>
        <v>0.80187537387447838</v>
      </c>
      <c r="BN107" s="65">
        <f t="shared" si="104"/>
        <v>0</v>
      </c>
      <c r="BO107" s="65">
        <f t="shared" si="105"/>
        <v>0</v>
      </c>
      <c r="BP107" s="65">
        <f t="shared" si="106"/>
        <v>0</v>
      </c>
      <c r="BQ107" s="90">
        <f t="shared" si="107"/>
        <v>0</v>
      </c>
      <c r="BR107" s="69">
        <f t="shared" si="95"/>
        <v>100</v>
      </c>
      <c r="BS107" s="67">
        <f t="shared" si="96"/>
        <v>75</v>
      </c>
      <c r="BT107" s="67">
        <f t="shared" si="97"/>
        <v>44.44444444444445</v>
      </c>
      <c r="BU107" s="67">
        <f t="shared" si="98"/>
        <v>22.222222222222225</v>
      </c>
      <c r="BV107" s="67">
        <f t="shared" si="110"/>
        <v>16.666666666666668</v>
      </c>
      <c r="BW107" s="67">
        <f t="shared" si="122"/>
        <v>0</v>
      </c>
      <c r="BX107" s="67">
        <f t="shared" si="123"/>
        <v>0</v>
      </c>
      <c r="BY107" s="67">
        <f t="shared" si="124"/>
        <v>0</v>
      </c>
      <c r="BZ107" s="69">
        <f t="shared" si="109"/>
        <v>0</v>
      </c>
      <c r="CA107" s="67">
        <f t="shared" si="109"/>
        <v>25</v>
      </c>
      <c r="CB107" s="67">
        <f t="shared" si="109"/>
        <v>55.55555555555555</v>
      </c>
      <c r="CC107" s="67">
        <f t="shared" si="108"/>
        <v>77.777777777777771</v>
      </c>
      <c r="CD107" s="67">
        <f t="shared" si="108"/>
        <v>83.333333333333329</v>
      </c>
      <c r="CE107" s="67">
        <f t="shared" si="108"/>
        <v>100</v>
      </c>
      <c r="CF107" s="67">
        <f t="shared" si="108"/>
        <v>100</v>
      </c>
      <c r="CG107" s="116">
        <f t="shared" si="108"/>
        <v>100</v>
      </c>
    </row>
    <row r="108" spans="2:85" x14ac:dyDescent="0.3">
      <c r="B108" s="409"/>
      <c r="C108" s="412"/>
      <c r="D108" s="70" t="s">
        <v>804</v>
      </c>
      <c r="E108" s="65">
        <v>12</v>
      </c>
      <c r="F108" s="65">
        <v>12</v>
      </c>
      <c r="G108" s="66">
        <v>12</v>
      </c>
      <c r="H108" s="65">
        <f t="shared" si="99"/>
        <v>36</v>
      </c>
      <c r="I108" s="67">
        <v>9</v>
      </c>
      <c r="J108" s="67">
        <v>9</v>
      </c>
      <c r="K108" s="66">
        <v>10</v>
      </c>
      <c r="L108" s="67">
        <v>5</v>
      </c>
      <c r="M108" s="67">
        <v>6</v>
      </c>
      <c r="N108" s="66">
        <v>7</v>
      </c>
      <c r="O108" s="67">
        <v>5</v>
      </c>
      <c r="P108" s="67">
        <v>5</v>
      </c>
      <c r="Q108" s="66">
        <v>6</v>
      </c>
      <c r="R108" s="67">
        <v>5</v>
      </c>
      <c r="S108" s="67">
        <v>5</v>
      </c>
      <c r="T108" s="66">
        <v>6</v>
      </c>
      <c r="U108" s="67">
        <v>3</v>
      </c>
      <c r="V108" s="67">
        <v>5</v>
      </c>
      <c r="W108" s="66">
        <v>6</v>
      </c>
      <c r="X108" s="67">
        <v>4</v>
      </c>
      <c r="Y108" s="67">
        <v>4</v>
      </c>
      <c r="Z108" s="66">
        <v>6</v>
      </c>
      <c r="AA108" s="67">
        <v>4</v>
      </c>
      <c r="AB108" s="67">
        <v>4</v>
      </c>
      <c r="AC108" s="66">
        <v>6</v>
      </c>
      <c r="AD108" s="65">
        <f t="shared" si="63"/>
        <v>100</v>
      </c>
      <c r="AE108" s="65">
        <f t="shared" si="64"/>
        <v>100</v>
      </c>
      <c r="AF108" s="66">
        <f t="shared" si="65"/>
        <v>100</v>
      </c>
      <c r="AG108" s="65">
        <f t="shared" si="66"/>
        <v>75</v>
      </c>
      <c r="AH108" s="65">
        <f t="shared" si="67"/>
        <v>75</v>
      </c>
      <c r="AI108" s="66">
        <f t="shared" si="68"/>
        <v>83.333333333333343</v>
      </c>
      <c r="AJ108" s="65">
        <f t="shared" si="69"/>
        <v>41.666666666666671</v>
      </c>
      <c r="AK108" s="65">
        <f t="shared" si="70"/>
        <v>50</v>
      </c>
      <c r="AL108" s="66">
        <f t="shared" si="71"/>
        <v>58.333333333333336</v>
      </c>
      <c r="AM108" s="65">
        <f t="shared" si="72"/>
        <v>41.666666666666671</v>
      </c>
      <c r="AN108" s="65">
        <f t="shared" si="73"/>
        <v>41.666666666666671</v>
      </c>
      <c r="AO108" s="66">
        <f t="shared" si="74"/>
        <v>50</v>
      </c>
      <c r="AP108" s="65">
        <f t="shared" si="75"/>
        <v>41.666666666666671</v>
      </c>
      <c r="AQ108" s="65">
        <f t="shared" si="76"/>
        <v>41.666666666666671</v>
      </c>
      <c r="AR108" s="66">
        <f t="shared" si="77"/>
        <v>50</v>
      </c>
      <c r="AS108" s="65">
        <f t="shared" si="78"/>
        <v>25</v>
      </c>
      <c r="AT108" s="65">
        <f t="shared" si="79"/>
        <v>41.666666666666671</v>
      </c>
      <c r="AU108" s="66">
        <f t="shared" si="80"/>
        <v>50</v>
      </c>
      <c r="AV108" s="65">
        <f t="shared" si="81"/>
        <v>33.333333333333336</v>
      </c>
      <c r="AW108" s="65">
        <f t="shared" si="82"/>
        <v>33.333333333333336</v>
      </c>
      <c r="AX108" s="66">
        <f t="shared" si="83"/>
        <v>50</v>
      </c>
      <c r="AY108" s="65">
        <f t="shared" si="84"/>
        <v>33.333333333333336</v>
      </c>
      <c r="AZ108" s="65">
        <f t="shared" si="85"/>
        <v>33.333333333333336</v>
      </c>
      <c r="BA108" s="66">
        <f t="shared" si="86"/>
        <v>50</v>
      </c>
      <c r="BB108" s="68">
        <f t="shared" si="87"/>
        <v>0</v>
      </c>
      <c r="BC108" s="65">
        <f t="shared" si="88"/>
        <v>4.8112522432468872</v>
      </c>
      <c r="BD108" s="65">
        <f t="shared" si="89"/>
        <v>8.3333333333333268</v>
      </c>
      <c r="BE108" s="65">
        <f t="shared" si="90"/>
        <v>4.8112522432468783</v>
      </c>
      <c r="BF108" s="65">
        <f t="shared" si="91"/>
        <v>4.8112522432468783</v>
      </c>
      <c r="BG108" s="65">
        <f t="shared" si="92"/>
        <v>12.729376930432885</v>
      </c>
      <c r="BH108" s="65">
        <f t="shared" si="93"/>
        <v>9.6225044864937637</v>
      </c>
      <c r="BI108" s="65">
        <f t="shared" si="94"/>
        <v>9.6225044864937637</v>
      </c>
      <c r="BJ108" s="68">
        <f t="shared" si="100"/>
        <v>0</v>
      </c>
      <c r="BK108" s="65">
        <f t="shared" si="101"/>
        <v>0.80187537387448116</v>
      </c>
      <c r="BL108" s="65">
        <f t="shared" si="102"/>
        <v>1.3888888888888877</v>
      </c>
      <c r="BM108" s="65">
        <f t="shared" si="103"/>
        <v>0.80187537387447971</v>
      </c>
      <c r="BN108" s="65">
        <f t="shared" si="104"/>
        <v>0.80187537387447971</v>
      </c>
      <c r="BO108" s="65">
        <f t="shared" si="105"/>
        <v>2.1215628217388143</v>
      </c>
      <c r="BP108" s="65">
        <f t="shared" si="106"/>
        <v>1.6037507477489605</v>
      </c>
      <c r="BQ108" s="90">
        <f t="shared" si="107"/>
        <v>1.6037507477489605</v>
      </c>
      <c r="BR108" s="69">
        <f t="shared" si="95"/>
        <v>100</v>
      </c>
      <c r="BS108" s="67">
        <f t="shared" si="96"/>
        <v>77.777777777777786</v>
      </c>
      <c r="BT108" s="67">
        <f t="shared" si="97"/>
        <v>50</v>
      </c>
      <c r="BU108" s="67">
        <f t="shared" si="98"/>
        <v>44.44444444444445</v>
      </c>
      <c r="BV108" s="67">
        <f t="shared" si="110"/>
        <v>44.44444444444445</v>
      </c>
      <c r="BW108" s="67">
        <f t="shared" si="122"/>
        <v>38.888888888888893</v>
      </c>
      <c r="BX108" s="67">
        <f t="shared" si="123"/>
        <v>41.666666666666664</v>
      </c>
      <c r="BY108" s="67">
        <f t="shared" si="124"/>
        <v>38.888888888888893</v>
      </c>
      <c r="BZ108" s="69">
        <f t="shared" si="109"/>
        <v>0</v>
      </c>
      <c r="CA108" s="67">
        <f t="shared" si="109"/>
        <v>22.222222222222214</v>
      </c>
      <c r="CB108" s="67">
        <f t="shared" si="109"/>
        <v>50</v>
      </c>
      <c r="CC108" s="67">
        <f t="shared" si="108"/>
        <v>55.55555555555555</v>
      </c>
      <c r="CD108" s="67">
        <f t="shared" si="108"/>
        <v>55.55555555555555</v>
      </c>
      <c r="CE108" s="67">
        <f t="shared" si="108"/>
        <v>61.111111111111107</v>
      </c>
      <c r="CF108" s="67">
        <f t="shared" si="108"/>
        <v>58.333333333333336</v>
      </c>
      <c r="CG108" s="116">
        <f t="shared" si="108"/>
        <v>61.111111111111107</v>
      </c>
    </row>
    <row r="109" spans="2:85" x14ac:dyDescent="0.3">
      <c r="B109" s="410"/>
      <c r="C109" s="413"/>
      <c r="D109" s="70" t="s">
        <v>805</v>
      </c>
      <c r="E109" s="71">
        <v>12</v>
      </c>
      <c r="F109" s="71">
        <v>12</v>
      </c>
      <c r="G109" s="72">
        <v>12</v>
      </c>
      <c r="H109" s="71">
        <f t="shared" si="99"/>
        <v>36</v>
      </c>
      <c r="I109" s="73">
        <v>10</v>
      </c>
      <c r="J109" s="73">
        <v>9</v>
      </c>
      <c r="K109" s="72">
        <v>10</v>
      </c>
      <c r="L109" s="73">
        <v>9</v>
      </c>
      <c r="M109" s="73">
        <v>5</v>
      </c>
      <c r="N109" s="72">
        <v>9</v>
      </c>
      <c r="O109" s="73">
        <v>9</v>
      </c>
      <c r="P109" s="73">
        <v>5</v>
      </c>
      <c r="Q109" s="72">
        <v>9</v>
      </c>
      <c r="R109" s="73">
        <v>8</v>
      </c>
      <c r="S109" s="73">
        <v>5</v>
      </c>
      <c r="T109" s="72">
        <v>9</v>
      </c>
      <c r="U109" s="73">
        <v>8</v>
      </c>
      <c r="V109" s="73">
        <v>5</v>
      </c>
      <c r="W109" s="72">
        <v>9</v>
      </c>
      <c r="X109" s="73">
        <v>5</v>
      </c>
      <c r="Y109" s="73">
        <v>5</v>
      </c>
      <c r="Z109" s="72">
        <v>6</v>
      </c>
      <c r="AA109" s="73">
        <v>5</v>
      </c>
      <c r="AB109" s="73">
        <v>5</v>
      </c>
      <c r="AC109" s="72">
        <v>6</v>
      </c>
      <c r="AD109" s="71">
        <f t="shared" si="63"/>
        <v>100</v>
      </c>
      <c r="AE109" s="71">
        <f t="shared" si="64"/>
        <v>100</v>
      </c>
      <c r="AF109" s="72">
        <f t="shared" si="65"/>
        <v>100</v>
      </c>
      <c r="AG109" s="71">
        <f t="shared" si="66"/>
        <v>83.333333333333343</v>
      </c>
      <c r="AH109" s="71">
        <f t="shared" si="67"/>
        <v>75</v>
      </c>
      <c r="AI109" s="72">
        <f t="shared" si="68"/>
        <v>83.333333333333343</v>
      </c>
      <c r="AJ109" s="71">
        <f t="shared" si="69"/>
        <v>75</v>
      </c>
      <c r="AK109" s="71">
        <f t="shared" si="70"/>
        <v>41.666666666666671</v>
      </c>
      <c r="AL109" s="72">
        <f t="shared" si="71"/>
        <v>75</v>
      </c>
      <c r="AM109" s="71">
        <f t="shared" si="72"/>
        <v>75</v>
      </c>
      <c r="AN109" s="71">
        <f t="shared" si="73"/>
        <v>41.666666666666671</v>
      </c>
      <c r="AO109" s="72">
        <f t="shared" si="74"/>
        <v>75</v>
      </c>
      <c r="AP109" s="71">
        <f t="shared" si="75"/>
        <v>66.666666666666671</v>
      </c>
      <c r="AQ109" s="71">
        <f t="shared" si="76"/>
        <v>41.666666666666671</v>
      </c>
      <c r="AR109" s="72">
        <f t="shared" si="77"/>
        <v>75</v>
      </c>
      <c r="AS109" s="71">
        <f t="shared" si="78"/>
        <v>66.666666666666671</v>
      </c>
      <c r="AT109" s="71">
        <f t="shared" si="79"/>
        <v>41.666666666666671</v>
      </c>
      <c r="AU109" s="72">
        <f t="shared" si="80"/>
        <v>75</v>
      </c>
      <c r="AV109" s="71">
        <f t="shared" si="81"/>
        <v>41.666666666666671</v>
      </c>
      <c r="AW109" s="71">
        <f t="shared" si="82"/>
        <v>41.666666666666671</v>
      </c>
      <c r="AX109" s="72">
        <f t="shared" si="83"/>
        <v>50</v>
      </c>
      <c r="AY109" s="71">
        <f t="shared" si="84"/>
        <v>41.666666666666671</v>
      </c>
      <c r="AZ109" s="71">
        <f t="shared" si="85"/>
        <v>41.666666666666671</v>
      </c>
      <c r="BA109" s="72">
        <f t="shared" si="86"/>
        <v>50</v>
      </c>
      <c r="BB109" s="74">
        <f t="shared" si="87"/>
        <v>0</v>
      </c>
      <c r="BC109" s="71">
        <f t="shared" si="88"/>
        <v>4.8112522432468872</v>
      </c>
      <c r="BD109" s="71">
        <f t="shared" si="89"/>
        <v>19.245008972987502</v>
      </c>
      <c r="BE109" s="71">
        <f t="shared" si="90"/>
        <v>19.245008972987502</v>
      </c>
      <c r="BF109" s="71">
        <f t="shared" si="91"/>
        <v>17.34721666221775</v>
      </c>
      <c r="BG109" s="71">
        <f t="shared" si="92"/>
        <v>17.34721666221775</v>
      </c>
      <c r="BH109" s="71">
        <f t="shared" si="93"/>
        <v>4.8112522432468783</v>
      </c>
      <c r="BI109" s="71">
        <f t="shared" si="94"/>
        <v>4.8112522432468783</v>
      </c>
      <c r="BJ109" s="74">
        <f t="shared" si="100"/>
        <v>0</v>
      </c>
      <c r="BK109" s="71">
        <f t="shared" si="101"/>
        <v>0.80187537387448116</v>
      </c>
      <c r="BL109" s="71">
        <f t="shared" si="102"/>
        <v>3.2075014954979171</v>
      </c>
      <c r="BM109" s="71">
        <f t="shared" si="103"/>
        <v>3.2075014954979171</v>
      </c>
      <c r="BN109" s="71">
        <f t="shared" si="104"/>
        <v>2.8912027770362916</v>
      </c>
      <c r="BO109" s="71">
        <f t="shared" si="105"/>
        <v>2.8912027770362916</v>
      </c>
      <c r="BP109" s="71">
        <f t="shared" si="106"/>
        <v>0.80187537387447971</v>
      </c>
      <c r="BQ109" s="91">
        <f t="shared" si="107"/>
        <v>0.80187537387447971</v>
      </c>
      <c r="BR109" s="75">
        <f t="shared" si="95"/>
        <v>100</v>
      </c>
      <c r="BS109" s="73">
        <f t="shared" si="96"/>
        <v>80.555555555555557</v>
      </c>
      <c r="BT109" s="73">
        <f t="shared" si="97"/>
        <v>63.888888888888893</v>
      </c>
      <c r="BU109" s="73">
        <f t="shared" si="98"/>
        <v>63.888888888888893</v>
      </c>
      <c r="BV109" s="73">
        <f t="shared" si="110"/>
        <v>61.111111111111114</v>
      </c>
      <c r="BW109" s="73">
        <f t="shared" si="122"/>
        <v>61.111111111111114</v>
      </c>
      <c r="BX109" s="73">
        <f t="shared" si="123"/>
        <v>52.777777777777779</v>
      </c>
      <c r="BY109" s="73">
        <f t="shared" si="124"/>
        <v>52.777777777777779</v>
      </c>
      <c r="BZ109" s="75">
        <f t="shared" si="109"/>
        <v>0</v>
      </c>
      <c r="CA109" s="73">
        <f t="shared" si="109"/>
        <v>19.444444444444443</v>
      </c>
      <c r="CB109" s="73">
        <f t="shared" si="109"/>
        <v>36.111111111111107</v>
      </c>
      <c r="CC109" s="73">
        <f t="shared" si="108"/>
        <v>36.111111111111107</v>
      </c>
      <c r="CD109" s="73">
        <f t="shared" si="108"/>
        <v>38.888888888888886</v>
      </c>
      <c r="CE109" s="73">
        <f t="shared" si="108"/>
        <v>38.888888888888886</v>
      </c>
      <c r="CF109" s="73">
        <f t="shared" si="108"/>
        <v>47.222222222222221</v>
      </c>
      <c r="CG109" s="265">
        <f t="shared" si="108"/>
        <v>47.222222222222221</v>
      </c>
    </row>
    <row r="110" spans="2:85" ht="15" customHeight="1" x14ac:dyDescent="0.3">
      <c r="B110" s="408">
        <v>27</v>
      </c>
      <c r="C110" s="411" t="s">
        <v>364</v>
      </c>
      <c r="D110" s="76" t="s">
        <v>802</v>
      </c>
      <c r="E110" s="77">
        <v>12</v>
      </c>
      <c r="F110" s="77">
        <v>12</v>
      </c>
      <c r="G110" s="78">
        <v>12</v>
      </c>
      <c r="H110" s="77">
        <f t="shared" si="99"/>
        <v>36</v>
      </c>
      <c r="I110" s="79">
        <v>9</v>
      </c>
      <c r="J110" s="79">
        <v>11</v>
      </c>
      <c r="K110" s="78">
        <v>11</v>
      </c>
      <c r="L110" s="79">
        <v>9</v>
      </c>
      <c r="M110" s="79">
        <v>10</v>
      </c>
      <c r="N110" s="78">
        <v>11</v>
      </c>
      <c r="O110" s="79">
        <v>9</v>
      </c>
      <c r="P110" s="79">
        <v>9</v>
      </c>
      <c r="Q110" s="78">
        <v>10</v>
      </c>
      <c r="R110" s="79">
        <v>9</v>
      </c>
      <c r="S110" s="79">
        <v>8</v>
      </c>
      <c r="T110" s="78">
        <v>7</v>
      </c>
      <c r="U110" s="79">
        <v>8</v>
      </c>
      <c r="V110" s="79">
        <v>7</v>
      </c>
      <c r="W110" s="78">
        <v>7</v>
      </c>
      <c r="X110" s="79">
        <v>6</v>
      </c>
      <c r="Y110" s="79">
        <v>6</v>
      </c>
      <c r="Z110" s="78">
        <v>6</v>
      </c>
      <c r="AA110" s="79">
        <v>5</v>
      </c>
      <c r="AB110" s="79">
        <v>6</v>
      </c>
      <c r="AC110" s="78">
        <v>6</v>
      </c>
      <c r="AD110" s="77">
        <f t="shared" si="63"/>
        <v>100</v>
      </c>
      <c r="AE110" s="77">
        <f t="shared" si="64"/>
        <v>100</v>
      </c>
      <c r="AF110" s="78">
        <f t="shared" si="65"/>
        <v>100</v>
      </c>
      <c r="AG110" s="77">
        <f t="shared" si="66"/>
        <v>75</v>
      </c>
      <c r="AH110" s="77">
        <f t="shared" si="67"/>
        <v>91.666666666666671</v>
      </c>
      <c r="AI110" s="78">
        <f t="shared" si="68"/>
        <v>91.666666666666671</v>
      </c>
      <c r="AJ110" s="77">
        <f t="shared" si="69"/>
        <v>75</v>
      </c>
      <c r="AK110" s="77">
        <f t="shared" si="70"/>
        <v>83.333333333333343</v>
      </c>
      <c r="AL110" s="78">
        <f t="shared" si="71"/>
        <v>91.666666666666671</v>
      </c>
      <c r="AM110" s="77">
        <f t="shared" si="72"/>
        <v>75</v>
      </c>
      <c r="AN110" s="77">
        <f t="shared" si="73"/>
        <v>75</v>
      </c>
      <c r="AO110" s="78">
        <f t="shared" si="74"/>
        <v>83.333333333333343</v>
      </c>
      <c r="AP110" s="77">
        <f t="shared" si="75"/>
        <v>75</v>
      </c>
      <c r="AQ110" s="77">
        <f t="shared" si="76"/>
        <v>66.666666666666671</v>
      </c>
      <c r="AR110" s="78">
        <f t="shared" si="77"/>
        <v>58.333333333333336</v>
      </c>
      <c r="AS110" s="77">
        <f t="shared" si="78"/>
        <v>66.666666666666671</v>
      </c>
      <c r="AT110" s="77">
        <f t="shared" si="79"/>
        <v>58.333333333333336</v>
      </c>
      <c r="AU110" s="78">
        <f t="shared" si="80"/>
        <v>58.333333333333336</v>
      </c>
      <c r="AV110" s="77">
        <f t="shared" si="81"/>
        <v>50</v>
      </c>
      <c r="AW110" s="77">
        <f t="shared" si="82"/>
        <v>50</v>
      </c>
      <c r="AX110" s="78">
        <f t="shared" si="83"/>
        <v>50</v>
      </c>
      <c r="AY110" s="77">
        <f t="shared" si="84"/>
        <v>41.666666666666671</v>
      </c>
      <c r="AZ110" s="77">
        <f t="shared" si="85"/>
        <v>50</v>
      </c>
      <c r="BA110" s="78">
        <f t="shared" si="86"/>
        <v>50</v>
      </c>
      <c r="BB110" s="80">
        <f t="shared" si="87"/>
        <v>0</v>
      </c>
      <c r="BC110" s="77">
        <f t="shared" si="88"/>
        <v>9.6225044864937654</v>
      </c>
      <c r="BD110" s="77">
        <f t="shared" si="89"/>
        <v>8.3333333333333357</v>
      </c>
      <c r="BE110" s="77">
        <f t="shared" si="90"/>
        <v>4.8112522432468872</v>
      </c>
      <c r="BF110" s="77">
        <f t="shared" si="91"/>
        <v>8.3333333333332185</v>
      </c>
      <c r="BG110" s="77">
        <f t="shared" si="92"/>
        <v>4.8112522432468827</v>
      </c>
      <c r="BH110" s="77">
        <f t="shared" si="93"/>
        <v>0</v>
      </c>
      <c r="BI110" s="77">
        <f t="shared" si="94"/>
        <v>4.8112522432468783</v>
      </c>
      <c r="BJ110" s="80">
        <f t="shared" si="100"/>
        <v>0</v>
      </c>
      <c r="BK110" s="77">
        <f t="shared" si="101"/>
        <v>1.603750747748961</v>
      </c>
      <c r="BL110" s="77">
        <f t="shared" si="102"/>
        <v>1.3888888888888893</v>
      </c>
      <c r="BM110" s="77">
        <f t="shared" si="103"/>
        <v>0.80187537387448116</v>
      </c>
      <c r="BN110" s="77">
        <f t="shared" si="104"/>
        <v>1.3888888888888697</v>
      </c>
      <c r="BO110" s="77">
        <f t="shared" si="105"/>
        <v>0.80187537387448049</v>
      </c>
      <c r="BP110" s="77">
        <f t="shared" si="106"/>
        <v>0</v>
      </c>
      <c r="BQ110" s="92">
        <f t="shared" si="107"/>
        <v>0.80187537387447971</v>
      </c>
      <c r="BR110" s="81">
        <f t="shared" si="95"/>
        <v>100</v>
      </c>
      <c r="BS110" s="79">
        <f t="shared" si="96"/>
        <v>86.111111111111128</v>
      </c>
      <c r="BT110" s="79">
        <f t="shared" si="97"/>
        <v>83.333333333333329</v>
      </c>
      <c r="BU110" s="79">
        <f t="shared" si="98"/>
        <v>77.777777777777786</v>
      </c>
      <c r="BV110" s="79">
        <f t="shared" si="110"/>
        <v>66.666666666666671</v>
      </c>
      <c r="BW110" s="79">
        <f t="shared" si="122"/>
        <v>61.111111111111114</v>
      </c>
      <c r="BX110" s="79">
        <f t="shared" si="123"/>
        <v>55.555555555555564</v>
      </c>
      <c r="BY110" s="79">
        <f t="shared" si="124"/>
        <v>52.777777777777779</v>
      </c>
      <c r="BZ110" s="81">
        <f t="shared" si="109"/>
        <v>0</v>
      </c>
      <c r="CA110" s="79">
        <f t="shared" si="109"/>
        <v>13.888888888888872</v>
      </c>
      <c r="CB110" s="79">
        <f t="shared" si="109"/>
        <v>16.666666666666671</v>
      </c>
      <c r="CC110" s="79">
        <f t="shared" si="108"/>
        <v>22.222222222222214</v>
      </c>
      <c r="CD110" s="79">
        <f t="shared" si="108"/>
        <v>33.333333333333329</v>
      </c>
      <c r="CE110" s="79">
        <f t="shared" si="108"/>
        <v>38.888888888888886</v>
      </c>
      <c r="CF110" s="79">
        <f t="shared" si="108"/>
        <v>44.444444444444436</v>
      </c>
      <c r="CG110" s="264">
        <f t="shared" si="108"/>
        <v>47.222222222222221</v>
      </c>
    </row>
    <row r="111" spans="2:85" x14ac:dyDescent="0.3">
      <c r="B111" s="409"/>
      <c r="C111" s="412"/>
      <c r="D111" s="70" t="s">
        <v>803</v>
      </c>
      <c r="E111" s="65">
        <v>12</v>
      </c>
      <c r="F111" s="65">
        <v>12</v>
      </c>
      <c r="G111" s="66">
        <v>12</v>
      </c>
      <c r="H111" s="65">
        <f t="shared" si="99"/>
        <v>36</v>
      </c>
      <c r="I111" s="67">
        <v>11</v>
      </c>
      <c r="J111" s="67">
        <v>12</v>
      </c>
      <c r="K111" s="66">
        <v>11</v>
      </c>
      <c r="L111" s="67">
        <v>8</v>
      </c>
      <c r="M111" s="67">
        <v>12</v>
      </c>
      <c r="N111" s="66">
        <v>10</v>
      </c>
      <c r="O111" s="67">
        <v>8</v>
      </c>
      <c r="P111" s="67">
        <v>10</v>
      </c>
      <c r="Q111" s="66">
        <v>9</v>
      </c>
      <c r="R111" s="67">
        <v>6</v>
      </c>
      <c r="S111" s="67">
        <v>7</v>
      </c>
      <c r="T111" s="66">
        <v>8</v>
      </c>
      <c r="U111" s="67">
        <v>6</v>
      </c>
      <c r="V111" s="67">
        <v>7</v>
      </c>
      <c r="W111" s="66">
        <v>6</v>
      </c>
      <c r="X111" s="67">
        <v>6</v>
      </c>
      <c r="Y111" s="67">
        <v>6</v>
      </c>
      <c r="Z111" s="66">
        <v>5</v>
      </c>
      <c r="AA111" s="67">
        <v>5</v>
      </c>
      <c r="AB111" s="67">
        <v>5</v>
      </c>
      <c r="AC111" s="66">
        <v>5</v>
      </c>
      <c r="AD111" s="65">
        <f t="shared" si="63"/>
        <v>100</v>
      </c>
      <c r="AE111" s="65">
        <f t="shared" si="64"/>
        <v>100</v>
      </c>
      <c r="AF111" s="66">
        <f t="shared" si="65"/>
        <v>100</v>
      </c>
      <c r="AG111" s="65">
        <f t="shared" si="66"/>
        <v>91.666666666666671</v>
      </c>
      <c r="AH111" s="65">
        <f t="shared" si="67"/>
        <v>100</v>
      </c>
      <c r="AI111" s="66">
        <f t="shared" si="68"/>
        <v>91.666666666666671</v>
      </c>
      <c r="AJ111" s="65">
        <f t="shared" si="69"/>
        <v>66.666666666666671</v>
      </c>
      <c r="AK111" s="65">
        <f t="shared" si="70"/>
        <v>100</v>
      </c>
      <c r="AL111" s="66">
        <f t="shared" si="71"/>
        <v>83.333333333333343</v>
      </c>
      <c r="AM111" s="65">
        <f t="shared" si="72"/>
        <v>66.666666666666671</v>
      </c>
      <c r="AN111" s="65">
        <f t="shared" si="73"/>
        <v>83.333333333333343</v>
      </c>
      <c r="AO111" s="66">
        <f t="shared" si="74"/>
        <v>75</v>
      </c>
      <c r="AP111" s="65">
        <f t="shared" si="75"/>
        <v>50</v>
      </c>
      <c r="AQ111" s="65">
        <f t="shared" si="76"/>
        <v>58.333333333333336</v>
      </c>
      <c r="AR111" s="66">
        <f t="shared" si="77"/>
        <v>66.666666666666671</v>
      </c>
      <c r="AS111" s="65">
        <f t="shared" si="78"/>
        <v>50</v>
      </c>
      <c r="AT111" s="65">
        <f t="shared" si="79"/>
        <v>58.333333333333336</v>
      </c>
      <c r="AU111" s="66">
        <f t="shared" si="80"/>
        <v>50</v>
      </c>
      <c r="AV111" s="65">
        <f t="shared" si="81"/>
        <v>50</v>
      </c>
      <c r="AW111" s="65">
        <f t="shared" si="82"/>
        <v>50</v>
      </c>
      <c r="AX111" s="66">
        <f t="shared" si="83"/>
        <v>41.666666666666671</v>
      </c>
      <c r="AY111" s="65">
        <f t="shared" si="84"/>
        <v>41.666666666666671</v>
      </c>
      <c r="AZ111" s="65">
        <f t="shared" si="85"/>
        <v>41.666666666666671</v>
      </c>
      <c r="BA111" s="66">
        <f t="shared" si="86"/>
        <v>41.666666666666671</v>
      </c>
      <c r="BB111" s="68">
        <f t="shared" si="87"/>
        <v>0</v>
      </c>
      <c r="BC111" s="65">
        <f t="shared" si="88"/>
        <v>4.8112522432468792</v>
      </c>
      <c r="BD111" s="65">
        <f t="shared" si="89"/>
        <v>16.6666666666666</v>
      </c>
      <c r="BE111" s="65">
        <f t="shared" si="90"/>
        <v>8.3333333333333357</v>
      </c>
      <c r="BF111" s="65">
        <f t="shared" si="91"/>
        <v>8.3333333333333268</v>
      </c>
      <c r="BG111" s="65">
        <f t="shared" si="92"/>
        <v>4.8112522432468827</v>
      </c>
      <c r="BH111" s="65">
        <f t="shared" si="93"/>
        <v>4.8112522432468783</v>
      </c>
      <c r="BI111" s="65">
        <f t="shared" si="94"/>
        <v>0</v>
      </c>
      <c r="BJ111" s="68">
        <f t="shared" si="100"/>
        <v>0</v>
      </c>
      <c r="BK111" s="65">
        <f t="shared" si="101"/>
        <v>0.80187537387447982</v>
      </c>
      <c r="BL111" s="65">
        <f t="shared" si="102"/>
        <v>2.7777777777777666</v>
      </c>
      <c r="BM111" s="65">
        <f t="shared" si="103"/>
        <v>1.3888888888888893</v>
      </c>
      <c r="BN111" s="65">
        <f t="shared" si="104"/>
        <v>1.3888888888888877</v>
      </c>
      <c r="BO111" s="65">
        <f t="shared" si="105"/>
        <v>0.80187537387448049</v>
      </c>
      <c r="BP111" s="65">
        <f t="shared" si="106"/>
        <v>0.80187537387447971</v>
      </c>
      <c r="BQ111" s="90">
        <f t="shared" si="107"/>
        <v>0</v>
      </c>
      <c r="BR111" s="69">
        <f t="shared" si="95"/>
        <v>100</v>
      </c>
      <c r="BS111" s="67">
        <f t="shared" si="96"/>
        <v>94.444444444444457</v>
      </c>
      <c r="BT111" s="67">
        <f t="shared" si="97"/>
        <v>83.333333333333343</v>
      </c>
      <c r="BU111" s="67">
        <f t="shared" si="98"/>
        <v>75</v>
      </c>
      <c r="BV111" s="67">
        <f t="shared" ref="BV111:BV142" si="125">AVERAGE(AP111:AR111)</f>
        <v>58.333333333333336</v>
      </c>
      <c r="BW111" s="67">
        <f t="shared" si="122"/>
        <v>52.777777777777779</v>
      </c>
      <c r="BX111" s="67">
        <f t="shared" si="123"/>
        <v>52.777777777777779</v>
      </c>
      <c r="BY111" s="67">
        <f t="shared" si="124"/>
        <v>50</v>
      </c>
      <c r="BZ111" s="69">
        <f t="shared" si="109"/>
        <v>0</v>
      </c>
      <c r="CA111" s="67">
        <f t="shared" si="109"/>
        <v>5.5555555555555429</v>
      </c>
      <c r="CB111" s="67">
        <f t="shared" si="109"/>
        <v>16.666666666666657</v>
      </c>
      <c r="CC111" s="67">
        <f t="shared" si="108"/>
        <v>25</v>
      </c>
      <c r="CD111" s="67">
        <f t="shared" si="108"/>
        <v>41.666666666666664</v>
      </c>
      <c r="CE111" s="67">
        <f t="shared" si="108"/>
        <v>47.222222222222221</v>
      </c>
      <c r="CF111" s="67">
        <f t="shared" si="108"/>
        <v>47.222222222222221</v>
      </c>
      <c r="CG111" s="116">
        <f t="shared" si="108"/>
        <v>50</v>
      </c>
    </row>
    <row r="112" spans="2:85" x14ac:dyDescent="0.3">
      <c r="B112" s="409"/>
      <c r="C112" s="412"/>
      <c r="D112" s="70" t="s">
        <v>804</v>
      </c>
      <c r="E112" s="65">
        <v>12</v>
      </c>
      <c r="F112" s="65">
        <v>12</v>
      </c>
      <c r="G112" s="66">
        <v>12</v>
      </c>
      <c r="H112" s="65">
        <f t="shared" si="99"/>
        <v>36</v>
      </c>
      <c r="I112" s="67">
        <v>12</v>
      </c>
      <c r="J112" s="67">
        <v>12</v>
      </c>
      <c r="K112" s="66">
        <v>11</v>
      </c>
      <c r="L112" s="67">
        <v>11</v>
      </c>
      <c r="M112" s="67">
        <v>12</v>
      </c>
      <c r="N112" s="66">
        <v>10</v>
      </c>
      <c r="O112" s="67">
        <v>9</v>
      </c>
      <c r="P112" s="67">
        <v>11</v>
      </c>
      <c r="Q112" s="66">
        <v>10</v>
      </c>
      <c r="R112" s="67">
        <v>8</v>
      </c>
      <c r="S112" s="67">
        <v>10</v>
      </c>
      <c r="T112" s="66">
        <v>10</v>
      </c>
      <c r="U112" s="67">
        <v>7</v>
      </c>
      <c r="V112" s="67">
        <v>9</v>
      </c>
      <c r="W112" s="66">
        <v>10</v>
      </c>
      <c r="X112" s="67">
        <v>5</v>
      </c>
      <c r="Y112" s="67">
        <v>7</v>
      </c>
      <c r="Z112" s="66">
        <v>8</v>
      </c>
      <c r="AA112" s="67">
        <v>5</v>
      </c>
      <c r="AB112" s="67">
        <v>4</v>
      </c>
      <c r="AC112" s="66">
        <v>7</v>
      </c>
      <c r="AD112" s="65">
        <f t="shared" si="63"/>
        <v>100</v>
      </c>
      <c r="AE112" s="65">
        <f t="shared" si="64"/>
        <v>100</v>
      </c>
      <c r="AF112" s="66">
        <f t="shared" si="65"/>
        <v>100</v>
      </c>
      <c r="AG112" s="65">
        <f t="shared" si="66"/>
        <v>100</v>
      </c>
      <c r="AH112" s="65">
        <f t="shared" si="67"/>
        <v>100</v>
      </c>
      <c r="AI112" s="66">
        <f t="shared" si="68"/>
        <v>91.666666666666671</v>
      </c>
      <c r="AJ112" s="65">
        <f t="shared" si="69"/>
        <v>91.666666666666671</v>
      </c>
      <c r="AK112" s="65">
        <f t="shared" si="70"/>
        <v>100</v>
      </c>
      <c r="AL112" s="66">
        <f t="shared" si="71"/>
        <v>83.333333333333343</v>
      </c>
      <c r="AM112" s="65">
        <f t="shared" si="72"/>
        <v>75</v>
      </c>
      <c r="AN112" s="65">
        <f t="shared" si="73"/>
        <v>91.666666666666671</v>
      </c>
      <c r="AO112" s="66">
        <f t="shared" si="74"/>
        <v>83.333333333333343</v>
      </c>
      <c r="AP112" s="65">
        <f t="shared" si="75"/>
        <v>66.666666666666671</v>
      </c>
      <c r="AQ112" s="65">
        <f t="shared" si="76"/>
        <v>83.333333333333343</v>
      </c>
      <c r="AR112" s="66">
        <f t="shared" si="77"/>
        <v>83.333333333333343</v>
      </c>
      <c r="AS112" s="65">
        <f t="shared" si="78"/>
        <v>58.333333333333336</v>
      </c>
      <c r="AT112" s="65">
        <f t="shared" si="79"/>
        <v>75</v>
      </c>
      <c r="AU112" s="66">
        <f t="shared" si="80"/>
        <v>83.333333333333343</v>
      </c>
      <c r="AV112" s="65">
        <f t="shared" si="81"/>
        <v>41.666666666666671</v>
      </c>
      <c r="AW112" s="65">
        <f t="shared" si="82"/>
        <v>58.333333333333336</v>
      </c>
      <c r="AX112" s="66">
        <f t="shared" si="83"/>
        <v>66.666666666666671</v>
      </c>
      <c r="AY112" s="65">
        <f t="shared" si="84"/>
        <v>41.666666666666671</v>
      </c>
      <c r="AZ112" s="65">
        <f t="shared" si="85"/>
        <v>33.333333333333336</v>
      </c>
      <c r="BA112" s="66">
        <f t="shared" si="86"/>
        <v>58.333333333333336</v>
      </c>
      <c r="BB112" s="68">
        <f t="shared" si="87"/>
        <v>0</v>
      </c>
      <c r="BC112" s="65">
        <f t="shared" si="88"/>
        <v>4.8112522432468783</v>
      </c>
      <c r="BD112" s="65">
        <f t="shared" si="89"/>
        <v>8.3333333333333286</v>
      </c>
      <c r="BE112" s="65">
        <f t="shared" si="90"/>
        <v>8.3333333333333357</v>
      </c>
      <c r="BF112" s="65">
        <f t="shared" si="91"/>
        <v>9.6225044864937868</v>
      </c>
      <c r="BG112" s="65">
        <f t="shared" si="92"/>
        <v>12.729376930432831</v>
      </c>
      <c r="BH112" s="65">
        <f t="shared" si="93"/>
        <v>12.729376930432904</v>
      </c>
      <c r="BI112" s="65">
        <f t="shared" si="94"/>
        <v>12.729376930432867</v>
      </c>
      <c r="BJ112" s="68">
        <f t="shared" si="100"/>
        <v>0</v>
      </c>
      <c r="BK112" s="65">
        <f t="shared" si="101"/>
        <v>0.80187537387447971</v>
      </c>
      <c r="BL112" s="65">
        <f t="shared" si="102"/>
        <v>1.3888888888888882</v>
      </c>
      <c r="BM112" s="65">
        <f t="shared" si="103"/>
        <v>1.3888888888888893</v>
      </c>
      <c r="BN112" s="65">
        <f t="shared" si="104"/>
        <v>1.6037507477489645</v>
      </c>
      <c r="BO112" s="65">
        <f t="shared" si="105"/>
        <v>2.1215628217388054</v>
      </c>
      <c r="BP112" s="65">
        <f t="shared" si="106"/>
        <v>2.1215628217388174</v>
      </c>
      <c r="BQ112" s="90">
        <f t="shared" si="107"/>
        <v>2.1215628217388112</v>
      </c>
      <c r="BR112" s="69">
        <f t="shared" si="95"/>
        <v>100</v>
      </c>
      <c r="BS112" s="67">
        <f t="shared" si="96"/>
        <v>97.222222222222229</v>
      </c>
      <c r="BT112" s="67">
        <f t="shared" si="97"/>
        <v>91.666666666666671</v>
      </c>
      <c r="BU112" s="67">
        <f t="shared" si="98"/>
        <v>83.333333333333343</v>
      </c>
      <c r="BV112" s="67">
        <f t="shared" si="125"/>
        <v>77.777777777777786</v>
      </c>
      <c r="BW112" s="67">
        <f t="shared" si="122"/>
        <v>72.222222222222229</v>
      </c>
      <c r="BX112" s="67">
        <f t="shared" si="123"/>
        <v>66.666666666666671</v>
      </c>
      <c r="BY112" s="67">
        <f t="shared" si="124"/>
        <v>61.111111111111114</v>
      </c>
      <c r="BZ112" s="69">
        <f t="shared" si="109"/>
        <v>0</v>
      </c>
      <c r="CA112" s="67">
        <f t="shared" si="109"/>
        <v>2.7777777777777715</v>
      </c>
      <c r="CB112" s="67">
        <f t="shared" si="109"/>
        <v>8.3333333333333286</v>
      </c>
      <c r="CC112" s="67">
        <f t="shared" si="108"/>
        <v>16.666666666666657</v>
      </c>
      <c r="CD112" s="67">
        <f t="shared" si="108"/>
        <v>22.222222222222214</v>
      </c>
      <c r="CE112" s="67">
        <f t="shared" si="108"/>
        <v>27.777777777777771</v>
      </c>
      <c r="CF112" s="67">
        <f t="shared" si="108"/>
        <v>33.333333333333329</v>
      </c>
      <c r="CG112" s="116">
        <f t="shared" si="108"/>
        <v>38.888888888888886</v>
      </c>
    </row>
    <row r="113" spans="2:85" x14ac:dyDescent="0.3">
      <c r="B113" s="410"/>
      <c r="C113" s="413"/>
      <c r="D113" s="70" t="s">
        <v>805</v>
      </c>
      <c r="E113" s="71">
        <v>12</v>
      </c>
      <c r="F113" s="71">
        <v>12</v>
      </c>
      <c r="G113" s="72">
        <v>12</v>
      </c>
      <c r="H113" s="71">
        <f t="shared" si="99"/>
        <v>36</v>
      </c>
      <c r="I113" s="73">
        <v>12</v>
      </c>
      <c r="J113" s="73">
        <v>12</v>
      </c>
      <c r="K113" s="72">
        <v>11</v>
      </c>
      <c r="L113" s="73">
        <v>11</v>
      </c>
      <c r="M113" s="73">
        <v>12</v>
      </c>
      <c r="N113" s="72">
        <v>11</v>
      </c>
      <c r="O113" s="73">
        <v>9</v>
      </c>
      <c r="P113" s="73">
        <v>11</v>
      </c>
      <c r="Q113" s="72">
        <v>10</v>
      </c>
      <c r="R113" s="73">
        <v>9</v>
      </c>
      <c r="S113" s="73">
        <v>9</v>
      </c>
      <c r="T113" s="72">
        <v>10</v>
      </c>
      <c r="U113" s="73">
        <v>8</v>
      </c>
      <c r="V113" s="73">
        <v>8</v>
      </c>
      <c r="W113" s="72">
        <v>9</v>
      </c>
      <c r="X113" s="73">
        <v>6</v>
      </c>
      <c r="Y113" s="73">
        <v>8</v>
      </c>
      <c r="Z113" s="72">
        <v>7</v>
      </c>
      <c r="AA113" s="73">
        <v>4</v>
      </c>
      <c r="AB113" s="73">
        <v>7</v>
      </c>
      <c r="AC113" s="72">
        <v>6</v>
      </c>
      <c r="AD113" s="71">
        <f t="shared" si="63"/>
        <v>100</v>
      </c>
      <c r="AE113" s="71">
        <f t="shared" si="64"/>
        <v>100</v>
      </c>
      <c r="AF113" s="72">
        <f t="shared" si="65"/>
        <v>100</v>
      </c>
      <c r="AG113" s="71">
        <f t="shared" si="66"/>
        <v>100</v>
      </c>
      <c r="AH113" s="71">
        <f t="shared" si="67"/>
        <v>100</v>
      </c>
      <c r="AI113" s="72">
        <f t="shared" si="68"/>
        <v>91.666666666666671</v>
      </c>
      <c r="AJ113" s="71">
        <f t="shared" si="69"/>
        <v>91.666666666666671</v>
      </c>
      <c r="AK113" s="71">
        <f t="shared" si="70"/>
        <v>100</v>
      </c>
      <c r="AL113" s="72">
        <f t="shared" si="71"/>
        <v>91.666666666666671</v>
      </c>
      <c r="AM113" s="71">
        <f t="shared" si="72"/>
        <v>75</v>
      </c>
      <c r="AN113" s="71">
        <f t="shared" si="73"/>
        <v>91.666666666666671</v>
      </c>
      <c r="AO113" s="72">
        <f t="shared" si="74"/>
        <v>83.333333333333343</v>
      </c>
      <c r="AP113" s="71">
        <f t="shared" si="75"/>
        <v>75</v>
      </c>
      <c r="AQ113" s="71">
        <f t="shared" si="76"/>
        <v>75</v>
      </c>
      <c r="AR113" s="72">
        <f t="shared" si="77"/>
        <v>83.333333333333343</v>
      </c>
      <c r="AS113" s="71">
        <f t="shared" si="78"/>
        <v>66.666666666666671</v>
      </c>
      <c r="AT113" s="71">
        <f t="shared" si="79"/>
        <v>66.666666666666671</v>
      </c>
      <c r="AU113" s="72">
        <f t="shared" si="80"/>
        <v>75</v>
      </c>
      <c r="AV113" s="71">
        <f t="shared" si="81"/>
        <v>50</v>
      </c>
      <c r="AW113" s="71">
        <f t="shared" si="82"/>
        <v>66.666666666666671</v>
      </c>
      <c r="AX113" s="72">
        <f t="shared" si="83"/>
        <v>58.333333333333336</v>
      </c>
      <c r="AY113" s="71">
        <f t="shared" si="84"/>
        <v>33.333333333333336</v>
      </c>
      <c r="AZ113" s="71">
        <f t="shared" si="85"/>
        <v>58.333333333333336</v>
      </c>
      <c r="BA113" s="72">
        <f t="shared" si="86"/>
        <v>50</v>
      </c>
      <c r="BB113" s="74">
        <f t="shared" si="87"/>
        <v>0</v>
      </c>
      <c r="BC113" s="71">
        <f t="shared" si="88"/>
        <v>4.8112522432468783</v>
      </c>
      <c r="BD113" s="71">
        <f t="shared" si="89"/>
        <v>4.8112522432468792</v>
      </c>
      <c r="BE113" s="71">
        <f t="shared" si="90"/>
        <v>8.3333333333333357</v>
      </c>
      <c r="BF113" s="71">
        <f t="shared" si="91"/>
        <v>4.8112522432468872</v>
      </c>
      <c r="BG113" s="71">
        <f t="shared" si="92"/>
        <v>4.8112522432468783</v>
      </c>
      <c r="BH113" s="71">
        <f t="shared" si="93"/>
        <v>8.3333333333333268</v>
      </c>
      <c r="BI113" s="71">
        <f t="shared" si="94"/>
        <v>12.729376930432849</v>
      </c>
      <c r="BJ113" s="74">
        <f t="shared" si="100"/>
        <v>0</v>
      </c>
      <c r="BK113" s="71">
        <f t="shared" si="101"/>
        <v>0.80187537387447971</v>
      </c>
      <c r="BL113" s="71">
        <f t="shared" si="102"/>
        <v>0.80187537387447982</v>
      </c>
      <c r="BM113" s="71">
        <f t="shared" si="103"/>
        <v>1.3888888888888893</v>
      </c>
      <c r="BN113" s="71">
        <f t="shared" si="104"/>
        <v>0.80187537387448116</v>
      </c>
      <c r="BO113" s="71">
        <f t="shared" si="105"/>
        <v>0.80187537387447971</v>
      </c>
      <c r="BP113" s="71">
        <f t="shared" si="106"/>
        <v>1.3888888888888877</v>
      </c>
      <c r="BQ113" s="91">
        <f t="shared" si="107"/>
        <v>2.1215628217388081</v>
      </c>
      <c r="BR113" s="75">
        <f t="shared" si="95"/>
        <v>100</v>
      </c>
      <c r="BS113" s="73">
        <f t="shared" si="96"/>
        <v>97.222222222222229</v>
      </c>
      <c r="BT113" s="73">
        <f t="shared" si="97"/>
        <v>94.444444444444457</v>
      </c>
      <c r="BU113" s="73">
        <f t="shared" si="98"/>
        <v>83.333333333333343</v>
      </c>
      <c r="BV113" s="73">
        <f t="shared" si="125"/>
        <v>77.777777777777786</v>
      </c>
      <c r="BW113" s="73">
        <f t="shared" si="122"/>
        <v>69.444444444444443</v>
      </c>
      <c r="BX113" s="73">
        <f t="shared" si="123"/>
        <v>63.888888888888893</v>
      </c>
      <c r="BY113" s="73">
        <f t="shared" si="124"/>
        <v>63.888888888888893</v>
      </c>
      <c r="BZ113" s="75">
        <f t="shared" si="109"/>
        <v>0</v>
      </c>
      <c r="CA113" s="73">
        <f t="shared" si="109"/>
        <v>2.7777777777777715</v>
      </c>
      <c r="CB113" s="73">
        <f t="shared" si="109"/>
        <v>5.5555555555555429</v>
      </c>
      <c r="CC113" s="73">
        <f t="shared" si="108"/>
        <v>16.666666666666657</v>
      </c>
      <c r="CD113" s="73">
        <f t="shared" si="108"/>
        <v>22.222222222222214</v>
      </c>
      <c r="CE113" s="73">
        <f t="shared" si="108"/>
        <v>30.555555555555557</v>
      </c>
      <c r="CF113" s="73">
        <f t="shared" si="108"/>
        <v>36.111111111111107</v>
      </c>
      <c r="CG113" s="265">
        <f t="shared" si="108"/>
        <v>36.111111111111107</v>
      </c>
    </row>
    <row r="114" spans="2:85" ht="15" customHeight="1" x14ac:dyDescent="0.3">
      <c r="B114" s="408">
        <v>28</v>
      </c>
      <c r="C114" s="411" t="s">
        <v>374</v>
      </c>
      <c r="D114" s="76" t="s">
        <v>802</v>
      </c>
      <c r="E114" s="77">
        <v>12</v>
      </c>
      <c r="F114" s="77">
        <v>12</v>
      </c>
      <c r="G114" s="78">
        <v>12</v>
      </c>
      <c r="H114" s="77">
        <f t="shared" si="99"/>
        <v>36</v>
      </c>
      <c r="I114" s="79">
        <v>6</v>
      </c>
      <c r="J114" s="79">
        <v>7</v>
      </c>
      <c r="K114" s="78">
        <v>7</v>
      </c>
      <c r="L114" s="79">
        <v>6</v>
      </c>
      <c r="M114" s="79">
        <v>6</v>
      </c>
      <c r="N114" s="78">
        <v>3</v>
      </c>
      <c r="O114" s="79">
        <v>5</v>
      </c>
      <c r="P114" s="79">
        <v>6</v>
      </c>
      <c r="Q114" s="78">
        <v>3</v>
      </c>
      <c r="R114" s="79">
        <v>5</v>
      </c>
      <c r="S114" s="79">
        <v>6</v>
      </c>
      <c r="T114" s="78">
        <v>2</v>
      </c>
      <c r="U114" s="79">
        <v>5</v>
      </c>
      <c r="V114" s="79">
        <v>6</v>
      </c>
      <c r="W114" s="78">
        <v>2</v>
      </c>
      <c r="X114" s="79">
        <v>5</v>
      </c>
      <c r="Y114" s="79">
        <v>6</v>
      </c>
      <c r="Z114" s="78">
        <v>2</v>
      </c>
      <c r="AA114" s="79">
        <v>5</v>
      </c>
      <c r="AB114" s="79">
        <v>5</v>
      </c>
      <c r="AC114" s="78">
        <v>2</v>
      </c>
      <c r="AD114" s="77">
        <f t="shared" si="63"/>
        <v>100</v>
      </c>
      <c r="AE114" s="77">
        <f t="shared" si="64"/>
        <v>100</v>
      </c>
      <c r="AF114" s="78">
        <f t="shared" si="65"/>
        <v>100</v>
      </c>
      <c r="AG114" s="77">
        <f t="shared" si="66"/>
        <v>50</v>
      </c>
      <c r="AH114" s="77">
        <f t="shared" si="67"/>
        <v>58.333333333333336</v>
      </c>
      <c r="AI114" s="78">
        <f t="shared" si="68"/>
        <v>58.333333333333336</v>
      </c>
      <c r="AJ114" s="77">
        <f t="shared" si="69"/>
        <v>50</v>
      </c>
      <c r="AK114" s="77">
        <f t="shared" si="70"/>
        <v>50</v>
      </c>
      <c r="AL114" s="78">
        <f t="shared" si="71"/>
        <v>25</v>
      </c>
      <c r="AM114" s="77">
        <f t="shared" si="72"/>
        <v>41.666666666666671</v>
      </c>
      <c r="AN114" s="77">
        <f t="shared" si="73"/>
        <v>50</v>
      </c>
      <c r="AO114" s="78">
        <f t="shared" si="74"/>
        <v>25</v>
      </c>
      <c r="AP114" s="77">
        <f t="shared" si="75"/>
        <v>41.666666666666671</v>
      </c>
      <c r="AQ114" s="77">
        <f t="shared" si="76"/>
        <v>50</v>
      </c>
      <c r="AR114" s="78">
        <f t="shared" si="77"/>
        <v>16.666666666666668</v>
      </c>
      <c r="AS114" s="77">
        <f t="shared" si="78"/>
        <v>41.666666666666671</v>
      </c>
      <c r="AT114" s="77">
        <f t="shared" si="79"/>
        <v>50</v>
      </c>
      <c r="AU114" s="78">
        <f t="shared" si="80"/>
        <v>16.666666666666668</v>
      </c>
      <c r="AV114" s="77">
        <f t="shared" si="81"/>
        <v>41.666666666666671</v>
      </c>
      <c r="AW114" s="77">
        <f t="shared" si="82"/>
        <v>50</v>
      </c>
      <c r="AX114" s="78">
        <f t="shared" si="83"/>
        <v>16.666666666666668</v>
      </c>
      <c r="AY114" s="77">
        <f t="shared" si="84"/>
        <v>41.666666666666671</v>
      </c>
      <c r="AZ114" s="77">
        <f t="shared" si="85"/>
        <v>41.666666666666671</v>
      </c>
      <c r="BA114" s="78">
        <f t="shared" si="86"/>
        <v>16.666666666666668</v>
      </c>
      <c r="BB114" s="80">
        <f t="shared" si="87"/>
        <v>0</v>
      </c>
      <c r="BC114" s="77">
        <f t="shared" si="88"/>
        <v>4.8112522432468827</v>
      </c>
      <c r="BD114" s="77">
        <f t="shared" si="89"/>
        <v>14.433756729740649</v>
      </c>
      <c r="BE114" s="77">
        <f t="shared" si="90"/>
        <v>12.729376930432885</v>
      </c>
      <c r="BF114" s="77">
        <f t="shared" si="91"/>
        <v>17.347216662217757</v>
      </c>
      <c r="BG114" s="77">
        <f t="shared" si="92"/>
        <v>17.347216662217757</v>
      </c>
      <c r="BH114" s="77">
        <f t="shared" si="93"/>
        <v>17.347216662217757</v>
      </c>
      <c r="BI114" s="77">
        <f t="shared" si="94"/>
        <v>14.433756729740642</v>
      </c>
      <c r="BJ114" s="80">
        <f t="shared" si="100"/>
        <v>0</v>
      </c>
      <c r="BK114" s="77">
        <f t="shared" si="101"/>
        <v>0.80187537387448049</v>
      </c>
      <c r="BL114" s="77">
        <f t="shared" si="102"/>
        <v>2.4056261216234414</v>
      </c>
      <c r="BM114" s="77">
        <f t="shared" si="103"/>
        <v>2.1215628217388143</v>
      </c>
      <c r="BN114" s="77">
        <f t="shared" si="104"/>
        <v>2.8912027770362929</v>
      </c>
      <c r="BO114" s="77">
        <f t="shared" si="105"/>
        <v>2.8912027770362929</v>
      </c>
      <c r="BP114" s="77">
        <f t="shared" si="106"/>
        <v>2.8912027770362929</v>
      </c>
      <c r="BQ114" s="92">
        <f t="shared" si="107"/>
        <v>2.4056261216234405</v>
      </c>
      <c r="BR114" s="81">
        <f t="shared" si="95"/>
        <v>100</v>
      </c>
      <c r="BS114" s="79">
        <f t="shared" si="96"/>
        <v>55.555555555555564</v>
      </c>
      <c r="BT114" s="79">
        <f t="shared" si="97"/>
        <v>41.666666666666664</v>
      </c>
      <c r="BU114" s="79">
        <f t="shared" si="98"/>
        <v>38.888888888888893</v>
      </c>
      <c r="BV114" s="79">
        <f t="shared" si="125"/>
        <v>36.111111111111114</v>
      </c>
      <c r="BW114" s="79">
        <f t="shared" si="122"/>
        <v>36.111111111111114</v>
      </c>
      <c r="BX114" s="79">
        <f t="shared" si="123"/>
        <v>36.111111111111114</v>
      </c>
      <c r="BY114" s="79">
        <f t="shared" si="124"/>
        <v>36.111111111111114</v>
      </c>
      <c r="BZ114" s="81">
        <f t="shared" si="109"/>
        <v>0</v>
      </c>
      <c r="CA114" s="79">
        <f t="shared" si="109"/>
        <v>44.444444444444436</v>
      </c>
      <c r="CB114" s="79">
        <f t="shared" si="109"/>
        <v>58.333333333333336</v>
      </c>
      <c r="CC114" s="79">
        <f t="shared" si="108"/>
        <v>61.111111111111107</v>
      </c>
      <c r="CD114" s="79">
        <f t="shared" si="108"/>
        <v>63.888888888888886</v>
      </c>
      <c r="CE114" s="79">
        <f t="shared" si="108"/>
        <v>63.888888888888886</v>
      </c>
      <c r="CF114" s="79">
        <f t="shared" si="108"/>
        <v>63.888888888888886</v>
      </c>
      <c r="CG114" s="264">
        <f t="shared" si="108"/>
        <v>63.888888888888886</v>
      </c>
    </row>
    <row r="115" spans="2:85" x14ac:dyDescent="0.3">
      <c r="B115" s="409"/>
      <c r="C115" s="412"/>
      <c r="D115" s="70" t="s">
        <v>803</v>
      </c>
      <c r="E115" s="65">
        <v>12</v>
      </c>
      <c r="F115" s="65">
        <v>12</v>
      </c>
      <c r="G115" s="66">
        <v>12</v>
      </c>
      <c r="H115" s="65">
        <f t="shared" si="99"/>
        <v>36</v>
      </c>
      <c r="I115" s="67">
        <v>8</v>
      </c>
      <c r="J115" s="67">
        <v>6</v>
      </c>
      <c r="K115" s="66">
        <v>6</v>
      </c>
      <c r="L115" s="67">
        <v>5</v>
      </c>
      <c r="M115" s="67">
        <v>1</v>
      </c>
      <c r="N115" s="66">
        <v>4</v>
      </c>
      <c r="O115" s="67">
        <v>5</v>
      </c>
      <c r="P115" s="67">
        <v>1</v>
      </c>
      <c r="Q115" s="66">
        <v>4</v>
      </c>
      <c r="R115" s="67">
        <v>5</v>
      </c>
      <c r="S115" s="67">
        <v>1</v>
      </c>
      <c r="T115" s="66">
        <v>4</v>
      </c>
      <c r="U115" s="67">
        <v>5</v>
      </c>
      <c r="V115" s="67">
        <v>1</v>
      </c>
      <c r="W115" s="66">
        <v>4</v>
      </c>
      <c r="X115" s="67">
        <v>5</v>
      </c>
      <c r="Y115" s="67">
        <v>1</v>
      </c>
      <c r="Z115" s="66">
        <v>4</v>
      </c>
      <c r="AA115" s="67">
        <v>5</v>
      </c>
      <c r="AB115" s="67">
        <v>1</v>
      </c>
      <c r="AC115" s="66">
        <v>4</v>
      </c>
      <c r="AD115" s="65">
        <f t="shared" si="63"/>
        <v>100</v>
      </c>
      <c r="AE115" s="65">
        <f t="shared" si="64"/>
        <v>100</v>
      </c>
      <c r="AF115" s="66">
        <f t="shared" si="65"/>
        <v>100</v>
      </c>
      <c r="AG115" s="65">
        <f t="shared" si="66"/>
        <v>66.666666666666671</v>
      </c>
      <c r="AH115" s="65">
        <f t="shared" si="67"/>
        <v>50</v>
      </c>
      <c r="AI115" s="66">
        <f t="shared" si="68"/>
        <v>50</v>
      </c>
      <c r="AJ115" s="65">
        <f t="shared" si="69"/>
        <v>41.666666666666671</v>
      </c>
      <c r="AK115" s="65">
        <f t="shared" si="70"/>
        <v>8.3333333333333339</v>
      </c>
      <c r="AL115" s="66">
        <f t="shared" si="71"/>
        <v>33.333333333333336</v>
      </c>
      <c r="AM115" s="65">
        <f t="shared" si="72"/>
        <v>41.666666666666671</v>
      </c>
      <c r="AN115" s="65">
        <f t="shared" si="73"/>
        <v>8.3333333333333339</v>
      </c>
      <c r="AO115" s="66">
        <f t="shared" si="74"/>
        <v>33.333333333333336</v>
      </c>
      <c r="AP115" s="65">
        <f t="shared" si="75"/>
        <v>41.666666666666671</v>
      </c>
      <c r="AQ115" s="65">
        <f t="shared" si="76"/>
        <v>8.3333333333333339</v>
      </c>
      <c r="AR115" s="66">
        <f t="shared" si="77"/>
        <v>33.333333333333336</v>
      </c>
      <c r="AS115" s="65">
        <f t="shared" si="78"/>
        <v>41.666666666666671</v>
      </c>
      <c r="AT115" s="65">
        <f t="shared" si="79"/>
        <v>8.3333333333333339</v>
      </c>
      <c r="AU115" s="66">
        <f t="shared" si="80"/>
        <v>33.333333333333336</v>
      </c>
      <c r="AV115" s="65">
        <f t="shared" si="81"/>
        <v>41.666666666666671</v>
      </c>
      <c r="AW115" s="65">
        <f t="shared" si="82"/>
        <v>8.3333333333333339</v>
      </c>
      <c r="AX115" s="66">
        <f t="shared" si="83"/>
        <v>33.333333333333336</v>
      </c>
      <c r="AY115" s="65">
        <f t="shared" si="84"/>
        <v>41.666666666666671</v>
      </c>
      <c r="AZ115" s="65">
        <f t="shared" si="85"/>
        <v>8.3333333333333339</v>
      </c>
      <c r="BA115" s="66">
        <f t="shared" si="86"/>
        <v>33.333333333333336</v>
      </c>
      <c r="BB115" s="68">
        <f t="shared" si="87"/>
        <v>0</v>
      </c>
      <c r="BC115" s="65">
        <f t="shared" si="88"/>
        <v>9.6225044864937406</v>
      </c>
      <c r="BD115" s="65">
        <f t="shared" si="89"/>
        <v>17.347216662217779</v>
      </c>
      <c r="BE115" s="65">
        <f t="shared" si="90"/>
        <v>17.347216662217779</v>
      </c>
      <c r="BF115" s="65">
        <f t="shared" si="91"/>
        <v>17.347216662217779</v>
      </c>
      <c r="BG115" s="65">
        <f t="shared" si="92"/>
        <v>17.347216662217779</v>
      </c>
      <c r="BH115" s="65">
        <f t="shared" si="93"/>
        <v>17.347216662217779</v>
      </c>
      <c r="BI115" s="65">
        <f t="shared" si="94"/>
        <v>17.347216662217779</v>
      </c>
      <c r="BJ115" s="68">
        <f t="shared" si="100"/>
        <v>0</v>
      </c>
      <c r="BK115" s="65">
        <f t="shared" si="101"/>
        <v>1.6037507477489568</v>
      </c>
      <c r="BL115" s="65">
        <f t="shared" si="102"/>
        <v>2.8912027770362965</v>
      </c>
      <c r="BM115" s="65">
        <f t="shared" si="103"/>
        <v>2.8912027770362965</v>
      </c>
      <c r="BN115" s="65">
        <f t="shared" si="104"/>
        <v>2.8912027770362965</v>
      </c>
      <c r="BO115" s="65">
        <f t="shared" si="105"/>
        <v>2.8912027770362965</v>
      </c>
      <c r="BP115" s="65">
        <f t="shared" si="106"/>
        <v>2.8912027770362965</v>
      </c>
      <c r="BQ115" s="90">
        <f t="shared" si="107"/>
        <v>2.8912027770362965</v>
      </c>
      <c r="BR115" s="69">
        <f t="shared" si="95"/>
        <v>100</v>
      </c>
      <c r="BS115" s="67">
        <f t="shared" si="96"/>
        <v>55.555555555555564</v>
      </c>
      <c r="BT115" s="67">
        <f t="shared" si="97"/>
        <v>27.777777777777782</v>
      </c>
      <c r="BU115" s="67">
        <f t="shared" si="98"/>
        <v>27.777777777777782</v>
      </c>
      <c r="BV115" s="67">
        <f t="shared" si="125"/>
        <v>27.777777777777782</v>
      </c>
      <c r="BW115" s="67">
        <f t="shared" si="122"/>
        <v>27.777777777777782</v>
      </c>
      <c r="BX115" s="67">
        <f t="shared" si="123"/>
        <v>27.777777777777782</v>
      </c>
      <c r="BY115" s="67">
        <f t="shared" si="124"/>
        <v>27.777777777777775</v>
      </c>
      <c r="BZ115" s="69">
        <f t="shared" si="109"/>
        <v>0</v>
      </c>
      <c r="CA115" s="67">
        <f t="shared" si="109"/>
        <v>44.444444444444436</v>
      </c>
      <c r="CB115" s="67">
        <f t="shared" si="109"/>
        <v>72.222222222222214</v>
      </c>
      <c r="CC115" s="67">
        <f t="shared" si="108"/>
        <v>72.222222222222214</v>
      </c>
      <c r="CD115" s="67">
        <f t="shared" si="108"/>
        <v>72.222222222222214</v>
      </c>
      <c r="CE115" s="67">
        <f t="shared" si="108"/>
        <v>72.222222222222214</v>
      </c>
      <c r="CF115" s="67">
        <f t="shared" si="108"/>
        <v>72.222222222222214</v>
      </c>
      <c r="CG115" s="116">
        <f t="shared" si="108"/>
        <v>72.222222222222229</v>
      </c>
    </row>
    <row r="116" spans="2:85" x14ac:dyDescent="0.3">
      <c r="B116" s="409"/>
      <c r="C116" s="412"/>
      <c r="D116" s="70" t="s">
        <v>804</v>
      </c>
      <c r="E116" s="65">
        <v>12</v>
      </c>
      <c r="F116" s="65">
        <v>12</v>
      </c>
      <c r="G116" s="66">
        <v>12</v>
      </c>
      <c r="H116" s="65">
        <f t="shared" si="99"/>
        <v>36</v>
      </c>
      <c r="I116" s="67">
        <v>7</v>
      </c>
      <c r="J116" s="67">
        <v>7</v>
      </c>
      <c r="K116" s="66">
        <v>7</v>
      </c>
      <c r="L116" s="67">
        <v>4</v>
      </c>
      <c r="M116" s="67">
        <v>3</v>
      </c>
      <c r="N116" s="66">
        <v>5</v>
      </c>
      <c r="O116" s="67">
        <v>3</v>
      </c>
      <c r="P116" s="67">
        <v>3</v>
      </c>
      <c r="Q116" s="66">
        <v>5</v>
      </c>
      <c r="R116" s="67">
        <v>3</v>
      </c>
      <c r="S116" s="67">
        <v>3</v>
      </c>
      <c r="T116" s="66">
        <v>5</v>
      </c>
      <c r="U116" s="67">
        <v>3</v>
      </c>
      <c r="V116" s="67">
        <v>3</v>
      </c>
      <c r="W116" s="66">
        <v>4</v>
      </c>
      <c r="X116" s="67">
        <v>3</v>
      </c>
      <c r="Y116" s="67">
        <v>3</v>
      </c>
      <c r="Z116" s="66">
        <v>4</v>
      </c>
      <c r="AA116" s="67">
        <v>2</v>
      </c>
      <c r="AB116" s="67">
        <v>3</v>
      </c>
      <c r="AC116" s="66">
        <v>4</v>
      </c>
      <c r="AD116" s="65">
        <f t="shared" si="63"/>
        <v>100</v>
      </c>
      <c r="AE116" s="65">
        <f t="shared" si="64"/>
        <v>100</v>
      </c>
      <c r="AF116" s="66">
        <f t="shared" si="65"/>
        <v>100</v>
      </c>
      <c r="AG116" s="65">
        <f t="shared" si="66"/>
        <v>58.333333333333336</v>
      </c>
      <c r="AH116" s="65">
        <f t="shared" si="67"/>
        <v>58.333333333333336</v>
      </c>
      <c r="AI116" s="66">
        <f t="shared" si="68"/>
        <v>58.333333333333336</v>
      </c>
      <c r="AJ116" s="65">
        <f t="shared" si="69"/>
        <v>33.333333333333336</v>
      </c>
      <c r="AK116" s="65">
        <f t="shared" si="70"/>
        <v>25</v>
      </c>
      <c r="AL116" s="66">
        <f t="shared" si="71"/>
        <v>41.666666666666671</v>
      </c>
      <c r="AM116" s="65">
        <f t="shared" si="72"/>
        <v>25</v>
      </c>
      <c r="AN116" s="65">
        <f t="shared" si="73"/>
        <v>25</v>
      </c>
      <c r="AO116" s="66">
        <f t="shared" si="74"/>
        <v>41.666666666666671</v>
      </c>
      <c r="AP116" s="65">
        <f t="shared" si="75"/>
        <v>25</v>
      </c>
      <c r="AQ116" s="65">
        <f t="shared" si="76"/>
        <v>25</v>
      </c>
      <c r="AR116" s="66">
        <f t="shared" si="77"/>
        <v>41.666666666666671</v>
      </c>
      <c r="AS116" s="65">
        <f t="shared" si="78"/>
        <v>25</v>
      </c>
      <c r="AT116" s="65">
        <f t="shared" si="79"/>
        <v>25</v>
      </c>
      <c r="AU116" s="66">
        <f t="shared" si="80"/>
        <v>33.333333333333336</v>
      </c>
      <c r="AV116" s="65">
        <f t="shared" si="81"/>
        <v>25</v>
      </c>
      <c r="AW116" s="65">
        <f t="shared" si="82"/>
        <v>25</v>
      </c>
      <c r="AX116" s="66">
        <f t="shared" si="83"/>
        <v>33.333333333333336</v>
      </c>
      <c r="AY116" s="65">
        <f t="shared" si="84"/>
        <v>16.666666666666668</v>
      </c>
      <c r="AZ116" s="65">
        <f t="shared" si="85"/>
        <v>25</v>
      </c>
      <c r="BA116" s="66">
        <f t="shared" si="86"/>
        <v>33.333333333333336</v>
      </c>
      <c r="BB116" s="68">
        <f t="shared" si="87"/>
        <v>0</v>
      </c>
      <c r="BC116" s="65">
        <f t="shared" si="88"/>
        <v>0</v>
      </c>
      <c r="BD116" s="65">
        <f t="shared" si="89"/>
        <v>8.333333333333341</v>
      </c>
      <c r="BE116" s="65">
        <f t="shared" si="90"/>
        <v>9.6225044864937512</v>
      </c>
      <c r="BF116" s="65">
        <f t="shared" si="91"/>
        <v>9.6225044864937512</v>
      </c>
      <c r="BG116" s="65">
        <f t="shared" si="92"/>
        <v>4.8112522432468703</v>
      </c>
      <c r="BH116" s="65">
        <f t="shared" si="93"/>
        <v>4.8112522432468703</v>
      </c>
      <c r="BI116" s="65">
        <f t="shared" si="94"/>
        <v>8.333333333333341</v>
      </c>
      <c r="BJ116" s="68">
        <f t="shared" si="100"/>
        <v>0</v>
      </c>
      <c r="BK116" s="65">
        <f t="shared" si="101"/>
        <v>0</v>
      </c>
      <c r="BL116" s="65">
        <f t="shared" si="102"/>
        <v>1.3888888888888902</v>
      </c>
      <c r="BM116" s="65">
        <f t="shared" si="103"/>
        <v>1.6037507477489585</v>
      </c>
      <c r="BN116" s="65">
        <f t="shared" si="104"/>
        <v>1.6037507477489585</v>
      </c>
      <c r="BO116" s="65">
        <f t="shared" si="105"/>
        <v>0.80187537387447838</v>
      </c>
      <c r="BP116" s="65">
        <f t="shared" si="106"/>
        <v>0.80187537387447838</v>
      </c>
      <c r="BQ116" s="90">
        <f t="shared" si="107"/>
        <v>1.3888888888888902</v>
      </c>
      <c r="BR116" s="69">
        <f t="shared" si="95"/>
        <v>100</v>
      </c>
      <c r="BS116" s="67">
        <f t="shared" si="96"/>
        <v>58.333333333333336</v>
      </c>
      <c r="BT116" s="67">
        <f t="shared" si="97"/>
        <v>33.333333333333336</v>
      </c>
      <c r="BU116" s="67">
        <f t="shared" si="98"/>
        <v>30.555555555555557</v>
      </c>
      <c r="BV116" s="67">
        <f t="shared" si="125"/>
        <v>30.555555555555557</v>
      </c>
      <c r="BW116" s="67">
        <f t="shared" si="122"/>
        <v>27.777777777777782</v>
      </c>
      <c r="BX116" s="67">
        <f t="shared" si="123"/>
        <v>27.777777777777782</v>
      </c>
      <c r="BY116" s="67">
        <f t="shared" si="124"/>
        <v>27.777777777777782</v>
      </c>
      <c r="BZ116" s="69">
        <f t="shared" si="109"/>
        <v>0</v>
      </c>
      <c r="CA116" s="67">
        <f t="shared" si="109"/>
        <v>41.666666666666664</v>
      </c>
      <c r="CB116" s="67">
        <f t="shared" si="109"/>
        <v>66.666666666666657</v>
      </c>
      <c r="CC116" s="67">
        <f t="shared" si="108"/>
        <v>69.444444444444443</v>
      </c>
      <c r="CD116" s="67">
        <f t="shared" si="108"/>
        <v>69.444444444444443</v>
      </c>
      <c r="CE116" s="67">
        <f t="shared" si="108"/>
        <v>72.222222222222214</v>
      </c>
      <c r="CF116" s="67">
        <f t="shared" si="108"/>
        <v>72.222222222222214</v>
      </c>
      <c r="CG116" s="116">
        <f t="shared" si="108"/>
        <v>72.222222222222214</v>
      </c>
    </row>
    <row r="117" spans="2:85" x14ac:dyDescent="0.3">
      <c r="B117" s="410"/>
      <c r="C117" s="413"/>
      <c r="D117" s="70" t="s">
        <v>805</v>
      </c>
      <c r="E117" s="71">
        <v>12</v>
      </c>
      <c r="F117" s="71">
        <v>12</v>
      </c>
      <c r="G117" s="72">
        <v>12</v>
      </c>
      <c r="H117" s="71">
        <f t="shared" si="99"/>
        <v>36</v>
      </c>
      <c r="I117" s="73">
        <v>7</v>
      </c>
      <c r="J117" s="73">
        <v>7</v>
      </c>
      <c r="K117" s="72">
        <v>8</v>
      </c>
      <c r="L117" s="73">
        <v>4</v>
      </c>
      <c r="M117" s="73">
        <v>5</v>
      </c>
      <c r="N117" s="72">
        <v>8</v>
      </c>
      <c r="O117" s="73">
        <v>4</v>
      </c>
      <c r="P117" s="73">
        <v>6</v>
      </c>
      <c r="Q117" s="72">
        <v>8</v>
      </c>
      <c r="R117" s="73">
        <v>4</v>
      </c>
      <c r="S117" s="73">
        <v>6</v>
      </c>
      <c r="T117" s="72">
        <v>8</v>
      </c>
      <c r="U117" s="73">
        <v>4</v>
      </c>
      <c r="V117" s="73">
        <v>6</v>
      </c>
      <c r="W117" s="72">
        <v>7</v>
      </c>
      <c r="X117" s="73">
        <v>4</v>
      </c>
      <c r="Y117" s="73">
        <v>6</v>
      </c>
      <c r="Z117" s="72">
        <v>7</v>
      </c>
      <c r="AA117" s="73">
        <v>4</v>
      </c>
      <c r="AB117" s="73">
        <v>6</v>
      </c>
      <c r="AC117" s="72">
        <v>7</v>
      </c>
      <c r="AD117" s="71">
        <f t="shared" si="63"/>
        <v>100</v>
      </c>
      <c r="AE117" s="71">
        <f t="shared" si="64"/>
        <v>100</v>
      </c>
      <c r="AF117" s="72">
        <f t="shared" si="65"/>
        <v>100</v>
      </c>
      <c r="AG117" s="71">
        <f t="shared" si="66"/>
        <v>58.333333333333336</v>
      </c>
      <c r="AH117" s="71">
        <f t="shared" si="67"/>
        <v>58.333333333333336</v>
      </c>
      <c r="AI117" s="72">
        <f t="shared" si="68"/>
        <v>66.666666666666671</v>
      </c>
      <c r="AJ117" s="71">
        <f t="shared" si="69"/>
        <v>33.333333333333336</v>
      </c>
      <c r="AK117" s="71">
        <f t="shared" si="70"/>
        <v>41.666666666666671</v>
      </c>
      <c r="AL117" s="72">
        <f t="shared" si="71"/>
        <v>66.666666666666671</v>
      </c>
      <c r="AM117" s="71">
        <f t="shared" si="72"/>
        <v>33.333333333333336</v>
      </c>
      <c r="AN117" s="71">
        <f t="shared" si="73"/>
        <v>50</v>
      </c>
      <c r="AO117" s="72">
        <f t="shared" si="74"/>
        <v>66.666666666666671</v>
      </c>
      <c r="AP117" s="71">
        <f t="shared" si="75"/>
        <v>33.333333333333336</v>
      </c>
      <c r="AQ117" s="71">
        <f t="shared" si="76"/>
        <v>50</v>
      </c>
      <c r="AR117" s="72">
        <f t="shared" si="77"/>
        <v>66.666666666666671</v>
      </c>
      <c r="AS117" s="71">
        <f t="shared" si="78"/>
        <v>33.333333333333336</v>
      </c>
      <c r="AT117" s="71">
        <f t="shared" si="79"/>
        <v>50</v>
      </c>
      <c r="AU117" s="72">
        <f t="shared" si="80"/>
        <v>58.333333333333336</v>
      </c>
      <c r="AV117" s="71">
        <f t="shared" si="81"/>
        <v>33.333333333333336</v>
      </c>
      <c r="AW117" s="71">
        <f t="shared" si="82"/>
        <v>50</v>
      </c>
      <c r="AX117" s="72">
        <f t="shared" si="83"/>
        <v>58.333333333333336</v>
      </c>
      <c r="AY117" s="71">
        <f t="shared" si="84"/>
        <v>33.333333333333336</v>
      </c>
      <c r="AZ117" s="71">
        <f t="shared" si="85"/>
        <v>50</v>
      </c>
      <c r="BA117" s="72">
        <f t="shared" si="86"/>
        <v>58.333333333333336</v>
      </c>
      <c r="BB117" s="74">
        <f t="shared" si="87"/>
        <v>0</v>
      </c>
      <c r="BC117" s="71">
        <f t="shared" si="88"/>
        <v>4.8112522432468827</v>
      </c>
      <c r="BD117" s="71">
        <f t="shared" si="89"/>
        <v>17.347216662217765</v>
      </c>
      <c r="BE117" s="71">
        <f t="shared" si="90"/>
        <v>16.666666666666682</v>
      </c>
      <c r="BF117" s="71">
        <f t="shared" si="91"/>
        <v>16.666666666666682</v>
      </c>
      <c r="BG117" s="71">
        <f t="shared" si="92"/>
        <v>12.729376930432849</v>
      </c>
      <c r="BH117" s="71">
        <f t="shared" si="93"/>
        <v>12.729376930432849</v>
      </c>
      <c r="BI117" s="71">
        <f t="shared" si="94"/>
        <v>12.729376930432849</v>
      </c>
      <c r="BJ117" s="74">
        <f t="shared" si="100"/>
        <v>0</v>
      </c>
      <c r="BK117" s="71">
        <f t="shared" si="101"/>
        <v>0.80187537387448049</v>
      </c>
      <c r="BL117" s="71">
        <f t="shared" si="102"/>
        <v>2.8912027770362942</v>
      </c>
      <c r="BM117" s="71">
        <f t="shared" si="103"/>
        <v>2.7777777777777803</v>
      </c>
      <c r="BN117" s="71">
        <f t="shared" si="104"/>
        <v>2.7777777777777803</v>
      </c>
      <c r="BO117" s="71">
        <f t="shared" si="105"/>
        <v>2.1215628217388081</v>
      </c>
      <c r="BP117" s="71">
        <f t="shared" si="106"/>
        <v>2.1215628217388081</v>
      </c>
      <c r="BQ117" s="91">
        <f t="shared" si="107"/>
        <v>2.1215628217388081</v>
      </c>
      <c r="BR117" s="75">
        <f t="shared" si="95"/>
        <v>100</v>
      </c>
      <c r="BS117" s="73">
        <f t="shared" si="96"/>
        <v>61.111111111111114</v>
      </c>
      <c r="BT117" s="73">
        <f t="shared" si="97"/>
        <v>47.222222222222229</v>
      </c>
      <c r="BU117" s="73">
        <f t="shared" si="98"/>
        <v>50</v>
      </c>
      <c r="BV117" s="73">
        <f t="shared" si="125"/>
        <v>50</v>
      </c>
      <c r="BW117" s="73">
        <f t="shared" si="122"/>
        <v>47.222222222222229</v>
      </c>
      <c r="BX117" s="73">
        <f t="shared" si="123"/>
        <v>47.222222222222229</v>
      </c>
      <c r="BY117" s="73">
        <f t="shared" si="124"/>
        <v>47.222222222222229</v>
      </c>
      <c r="BZ117" s="75">
        <f t="shared" si="109"/>
        <v>0</v>
      </c>
      <c r="CA117" s="73">
        <f t="shared" si="109"/>
        <v>38.888888888888886</v>
      </c>
      <c r="CB117" s="73">
        <f t="shared" si="109"/>
        <v>52.777777777777771</v>
      </c>
      <c r="CC117" s="73">
        <f t="shared" si="108"/>
        <v>50</v>
      </c>
      <c r="CD117" s="73">
        <f t="shared" si="108"/>
        <v>50</v>
      </c>
      <c r="CE117" s="73">
        <f t="shared" si="108"/>
        <v>52.777777777777771</v>
      </c>
      <c r="CF117" s="73">
        <f t="shared" si="108"/>
        <v>52.777777777777771</v>
      </c>
      <c r="CG117" s="265">
        <f t="shared" si="108"/>
        <v>52.777777777777771</v>
      </c>
    </row>
    <row r="118" spans="2:85" ht="15" customHeight="1" x14ac:dyDescent="0.3">
      <c r="B118" s="408">
        <v>29</v>
      </c>
      <c r="C118" s="411" t="s">
        <v>389</v>
      </c>
      <c r="D118" s="76" t="s">
        <v>802</v>
      </c>
      <c r="E118" s="77">
        <v>15</v>
      </c>
      <c r="F118" s="77">
        <v>14</v>
      </c>
      <c r="G118" s="78">
        <v>14</v>
      </c>
      <c r="H118" s="77">
        <f t="shared" si="99"/>
        <v>43</v>
      </c>
      <c r="I118" s="79">
        <v>15</v>
      </c>
      <c r="J118" s="79">
        <v>14</v>
      </c>
      <c r="K118" s="78">
        <v>14</v>
      </c>
      <c r="L118" s="79">
        <v>6</v>
      </c>
      <c r="M118" s="79">
        <v>4</v>
      </c>
      <c r="N118" s="78">
        <v>7</v>
      </c>
      <c r="O118" s="79">
        <v>1</v>
      </c>
      <c r="P118" s="79">
        <v>0</v>
      </c>
      <c r="Q118" s="78">
        <v>0</v>
      </c>
      <c r="R118" s="79">
        <v>0</v>
      </c>
      <c r="S118" s="79">
        <v>0</v>
      </c>
      <c r="T118" s="78">
        <v>0</v>
      </c>
      <c r="U118" s="79">
        <v>0</v>
      </c>
      <c r="V118" s="79">
        <v>0</v>
      </c>
      <c r="W118" s="78">
        <v>0</v>
      </c>
      <c r="X118" s="79">
        <v>0</v>
      </c>
      <c r="Y118" s="79">
        <v>0</v>
      </c>
      <c r="Z118" s="78">
        <v>0</v>
      </c>
      <c r="AA118" s="79">
        <v>0</v>
      </c>
      <c r="AB118" s="79">
        <v>0</v>
      </c>
      <c r="AC118" s="78">
        <v>0</v>
      </c>
      <c r="AD118" s="77">
        <f t="shared" si="63"/>
        <v>100</v>
      </c>
      <c r="AE118" s="77">
        <f t="shared" si="64"/>
        <v>100</v>
      </c>
      <c r="AF118" s="78">
        <f t="shared" si="65"/>
        <v>100</v>
      </c>
      <c r="AG118" s="77">
        <f t="shared" si="66"/>
        <v>100</v>
      </c>
      <c r="AH118" s="77">
        <f t="shared" si="67"/>
        <v>100</v>
      </c>
      <c r="AI118" s="78">
        <f t="shared" si="68"/>
        <v>100</v>
      </c>
      <c r="AJ118" s="77">
        <f t="shared" si="69"/>
        <v>40</v>
      </c>
      <c r="AK118" s="77">
        <f t="shared" si="70"/>
        <v>28.571428571428573</v>
      </c>
      <c r="AL118" s="78">
        <f t="shared" si="71"/>
        <v>50</v>
      </c>
      <c r="AM118" s="77">
        <f t="shared" si="72"/>
        <v>6.666666666666667</v>
      </c>
      <c r="AN118" s="77">
        <f t="shared" si="73"/>
        <v>0</v>
      </c>
      <c r="AO118" s="78">
        <f t="shared" si="74"/>
        <v>0</v>
      </c>
      <c r="AP118" s="77">
        <f t="shared" si="75"/>
        <v>0</v>
      </c>
      <c r="AQ118" s="77">
        <f t="shared" si="76"/>
        <v>0</v>
      </c>
      <c r="AR118" s="78">
        <f t="shared" si="77"/>
        <v>0</v>
      </c>
      <c r="AS118" s="77">
        <f t="shared" si="78"/>
        <v>0</v>
      </c>
      <c r="AT118" s="77">
        <f t="shared" si="79"/>
        <v>0</v>
      </c>
      <c r="AU118" s="78">
        <f t="shared" si="80"/>
        <v>0</v>
      </c>
      <c r="AV118" s="77">
        <f t="shared" si="81"/>
        <v>0</v>
      </c>
      <c r="AW118" s="77">
        <f t="shared" si="82"/>
        <v>0</v>
      </c>
      <c r="AX118" s="78">
        <f t="shared" si="83"/>
        <v>0</v>
      </c>
      <c r="AY118" s="77">
        <f t="shared" si="84"/>
        <v>0</v>
      </c>
      <c r="AZ118" s="77">
        <f t="shared" si="85"/>
        <v>0</v>
      </c>
      <c r="BA118" s="78">
        <f t="shared" si="86"/>
        <v>0</v>
      </c>
      <c r="BB118" s="80">
        <f t="shared" si="87"/>
        <v>0</v>
      </c>
      <c r="BC118" s="77">
        <f t="shared" si="88"/>
        <v>0</v>
      </c>
      <c r="BD118" s="77">
        <f t="shared" si="89"/>
        <v>10.722219284950183</v>
      </c>
      <c r="BE118" s="77">
        <f t="shared" si="90"/>
        <v>3.8490017945975055</v>
      </c>
      <c r="BF118" s="77">
        <f t="shared" si="91"/>
        <v>0</v>
      </c>
      <c r="BG118" s="77">
        <f t="shared" si="92"/>
        <v>0</v>
      </c>
      <c r="BH118" s="77">
        <f t="shared" si="93"/>
        <v>0</v>
      </c>
      <c r="BI118" s="77">
        <f t="shared" si="94"/>
        <v>0</v>
      </c>
      <c r="BJ118" s="80">
        <f t="shared" si="100"/>
        <v>0</v>
      </c>
      <c r="BK118" s="77">
        <f t="shared" si="101"/>
        <v>0</v>
      </c>
      <c r="BL118" s="77">
        <f t="shared" si="102"/>
        <v>1.6351231117475857</v>
      </c>
      <c r="BM118" s="77">
        <f t="shared" si="103"/>
        <v>0.58696727088374934</v>
      </c>
      <c r="BN118" s="77">
        <f t="shared" si="104"/>
        <v>0</v>
      </c>
      <c r="BO118" s="77">
        <f t="shared" si="105"/>
        <v>0</v>
      </c>
      <c r="BP118" s="77">
        <f t="shared" si="106"/>
        <v>0</v>
      </c>
      <c r="BQ118" s="92">
        <f t="shared" si="107"/>
        <v>0</v>
      </c>
      <c r="BR118" s="81">
        <f t="shared" si="95"/>
        <v>100</v>
      </c>
      <c r="BS118" s="79">
        <f t="shared" si="96"/>
        <v>100</v>
      </c>
      <c r="BT118" s="79">
        <f t="shared" si="97"/>
        <v>39.523809523809526</v>
      </c>
      <c r="BU118" s="79">
        <f t="shared" si="98"/>
        <v>2.2222222222222223</v>
      </c>
      <c r="BV118" s="79">
        <f t="shared" si="125"/>
        <v>0</v>
      </c>
      <c r="BW118" s="79">
        <f t="shared" si="122"/>
        <v>0</v>
      </c>
      <c r="BX118" s="79">
        <f t="shared" si="123"/>
        <v>0</v>
      </c>
      <c r="BY118" s="79">
        <f t="shared" si="124"/>
        <v>0</v>
      </c>
      <c r="BZ118" s="81">
        <f t="shared" si="109"/>
        <v>0</v>
      </c>
      <c r="CA118" s="79">
        <f t="shared" si="109"/>
        <v>0</v>
      </c>
      <c r="CB118" s="79">
        <f t="shared" si="109"/>
        <v>60.476190476190474</v>
      </c>
      <c r="CC118" s="79">
        <f t="shared" si="108"/>
        <v>97.777777777777771</v>
      </c>
      <c r="CD118" s="79">
        <f t="shared" si="108"/>
        <v>100</v>
      </c>
      <c r="CE118" s="79">
        <f t="shared" si="108"/>
        <v>100</v>
      </c>
      <c r="CF118" s="79">
        <f t="shared" si="108"/>
        <v>100</v>
      </c>
      <c r="CG118" s="264">
        <f t="shared" si="108"/>
        <v>100</v>
      </c>
    </row>
    <row r="119" spans="2:85" x14ac:dyDescent="0.3">
      <c r="B119" s="409"/>
      <c r="C119" s="412"/>
      <c r="D119" s="70" t="s">
        <v>803</v>
      </c>
      <c r="E119" s="65">
        <v>14</v>
      </c>
      <c r="F119" s="65">
        <v>12</v>
      </c>
      <c r="G119" s="66">
        <v>14</v>
      </c>
      <c r="H119" s="65">
        <f t="shared" si="99"/>
        <v>40</v>
      </c>
      <c r="I119" s="67">
        <v>13</v>
      </c>
      <c r="J119" s="67">
        <v>10</v>
      </c>
      <c r="K119" s="66">
        <v>11</v>
      </c>
      <c r="L119" s="67">
        <v>9</v>
      </c>
      <c r="M119" s="67">
        <v>8</v>
      </c>
      <c r="N119" s="66">
        <v>7</v>
      </c>
      <c r="O119" s="67">
        <v>5</v>
      </c>
      <c r="P119" s="67">
        <v>3</v>
      </c>
      <c r="Q119" s="66">
        <v>1</v>
      </c>
      <c r="R119" s="67">
        <v>3</v>
      </c>
      <c r="S119" s="67">
        <v>3</v>
      </c>
      <c r="T119" s="66">
        <v>0</v>
      </c>
      <c r="U119" s="67">
        <v>2</v>
      </c>
      <c r="V119" s="67">
        <v>3</v>
      </c>
      <c r="W119" s="66">
        <v>0</v>
      </c>
      <c r="X119" s="67">
        <v>2</v>
      </c>
      <c r="Y119" s="67">
        <v>1</v>
      </c>
      <c r="Z119" s="66">
        <v>0</v>
      </c>
      <c r="AA119" s="67">
        <v>2</v>
      </c>
      <c r="AB119" s="67">
        <v>1</v>
      </c>
      <c r="AC119" s="66">
        <v>0</v>
      </c>
      <c r="AD119" s="65">
        <f t="shared" si="63"/>
        <v>100</v>
      </c>
      <c r="AE119" s="65">
        <f t="shared" si="64"/>
        <v>100</v>
      </c>
      <c r="AF119" s="66">
        <f t="shared" si="65"/>
        <v>100</v>
      </c>
      <c r="AG119" s="65">
        <f t="shared" si="66"/>
        <v>92.857142857142861</v>
      </c>
      <c r="AH119" s="65">
        <f t="shared" si="67"/>
        <v>83.333333333333343</v>
      </c>
      <c r="AI119" s="66">
        <f t="shared" si="68"/>
        <v>78.571428571428569</v>
      </c>
      <c r="AJ119" s="65">
        <f t="shared" si="69"/>
        <v>64.285714285714292</v>
      </c>
      <c r="AK119" s="65">
        <f t="shared" si="70"/>
        <v>66.666666666666671</v>
      </c>
      <c r="AL119" s="66">
        <f t="shared" si="71"/>
        <v>50</v>
      </c>
      <c r="AM119" s="65">
        <f t="shared" si="72"/>
        <v>35.714285714285715</v>
      </c>
      <c r="AN119" s="65">
        <f t="shared" si="73"/>
        <v>25</v>
      </c>
      <c r="AO119" s="66">
        <f t="shared" si="74"/>
        <v>7.1428571428571432</v>
      </c>
      <c r="AP119" s="65">
        <f t="shared" si="75"/>
        <v>21.428571428571431</v>
      </c>
      <c r="AQ119" s="65">
        <f t="shared" si="76"/>
        <v>25</v>
      </c>
      <c r="AR119" s="66">
        <f t="shared" si="77"/>
        <v>0</v>
      </c>
      <c r="AS119" s="65">
        <f t="shared" si="78"/>
        <v>14.285714285714286</v>
      </c>
      <c r="AT119" s="65">
        <f t="shared" si="79"/>
        <v>25</v>
      </c>
      <c r="AU119" s="66">
        <f t="shared" si="80"/>
        <v>0</v>
      </c>
      <c r="AV119" s="65">
        <f t="shared" si="81"/>
        <v>14.285714285714286</v>
      </c>
      <c r="AW119" s="65">
        <f t="shared" si="82"/>
        <v>8.3333333333333339</v>
      </c>
      <c r="AX119" s="66">
        <f t="shared" si="83"/>
        <v>0</v>
      </c>
      <c r="AY119" s="65">
        <f t="shared" si="84"/>
        <v>14.285714285714286</v>
      </c>
      <c r="AZ119" s="65">
        <f t="shared" si="85"/>
        <v>8.3333333333333339</v>
      </c>
      <c r="BA119" s="66">
        <f t="shared" si="86"/>
        <v>0</v>
      </c>
      <c r="BB119" s="68">
        <f t="shared" si="87"/>
        <v>0</v>
      </c>
      <c r="BC119" s="65">
        <f t="shared" si="88"/>
        <v>7.2739296745330817</v>
      </c>
      <c r="BD119" s="65">
        <f t="shared" si="89"/>
        <v>9.0141402314289731</v>
      </c>
      <c r="BE119" s="65">
        <f t="shared" si="90"/>
        <v>14.433756729740642</v>
      </c>
      <c r="BF119" s="65">
        <f t="shared" si="91"/>
        <v>13.52121034714351</v>
      </c>
      <c r="BG119" s="65">
        <f t="shared" si="92"/>
        <v>12.542444943872308</v>
      </c>
      <c r="BH119" s="65">
        <f t="shared" si="93"/>
        <v>7.1758497301686992</v>
      </c>
      <c r="BI119" s="65">
        <f t="shared" si="94"/>
        <v>7.1758497301686992</v>
      </c>
      <c r="BJ119" s="68">
        <f t="shared" si="100"/>
        <v>0</v>
      </c>
      <c r="BK119" s="65">
        <f t="shared" si="101"/>
        <v>1.1501092655705907</v>
      </c>
      <c r="BL119" s="65">
        <f t="shared" si="102"/>
        <v>1.4252607139736433</v>
      </c>
      <c r="BM119" s="65">
        <f t="shared" si="103"/>
        <v>2.2821773229381916</v>
      </c>
      <c r="BN119" s="65">
        <f t="shared" si="104"/>
        <v>2.1378910709604728</v>
      </c>
      <c r="BO119" s="65">
        <f t="shared" si="105"/>
        <v>1.9831346724949619</v>
      </c>
      <c r="BP119" s="65">
        <f t="shared" si="106"/>
        <v>1.1346014647218885</v>
      </c>
      <c r="BQ119" s="90">
        <f t="shared" si="107"/>
        <v>1.1346014647218885</v>
      </c>
      <c r="BR119" s="69">
        <f t="shared" si="95"/>
        <v>100</v>
      </c>
      <c r="BS119" s="67">
        <f t="shared" si="96"/>
        <v>84.920634920634924</v>
      </c>
      <c r="BT119" s="67">
        <f t="shared" si="97"/>
        <v>60.317460317460323</v>
      </c>
      <c r="BU119" s="67">
        <f t="shared" si="98"/>
        <v>22.61904761904762</v>
      </c>
      <c r="BV119" s="67">
        <f t="shared" si="125"/>
        <v>15.476190476190476</v>
      </c>
      <c r="BW119" s="67">
        <f t="shared" ref="BW119:BW150" si="126">AVERAGE(AS119:AU119)</f>
        <v>13.095238095238095</v>
      </c>
      <c r="BX119" s="67">
        <f t="shared" si="123"/>
        <v>13.095238095238095</v>
      </c>
      <c r="BY119" s="67">
        <f t="shared" si="124"/>
        <v>7.5396825396825404</v>
      </c>
      <c r="BZ119" s="69">
        <f t="shared" si="109"/>
        <v>0</v>
      </c>
      <c r="CA119" s="67">
        <f t="shared" si="109"/>
        <v>15.079365079365076</v>
      </c>
      <c r="CB119" s="67">
        <f t="shared" si="109"/>
        <v>39.682539682539677</v>
      </c>
      <c r="CC119" s="67">
        <f t="shared" si="108"/>
        <v>77.38095238095238</v>
      </c>
      <c r="CD119" s="67">
        <f t="shared" si="108"/>
        <v>84.523809523809518</v>
      </c>
      <c r="CE119" s="67">
        <f t="shared" si="108"/>
        <v>86.904761904761898</v>
      </c>
      <c r="CF119" s="67">
        <f t="shared" si="108"/>
        <v>86.904761904761898</v>
      </c>
      <c r="CG119" s="116">
        <f t="shared" si="108"/>
        <v>92.460317460317455</v>
      </c>
    </row>
    <row r="120" spans="2:85" x14ac:dyDescent="0.3">
      <c r="B120" s="409"/>
      <c r="C120" s="412"/>
      <c r="D120" s="70" t="s">
        <v>804</v>
      </c>
      <c r="E120" s="65">
        <v>15</v>
      </c>
      <c r="F120" s="65">
        <v>14</v>
      </c>
      <c r="G120" s="66">
        <v>13</v>
      </c>
      <c r="H120" s="65">
        <f t="shared" si="99"/>
        <v>42</v>
      </c>
      <c r="I120" s="67">
        <v>15</v>
      </c>
      <c r="J120" s="67">
        <v>13</v>
      </c>
      <c r="K120" s="66">
        <v>13</v>
      </c>
      <c r="L120" s="67">
        <v>15</v>
      </c>
      <c r="M120" s="67">
        <v>12</v>
      </c>
      <c r="N120" s="66">
        <v>12</v>
      </c>
      <c r="O120" s="67">
        <v>12</v>
      </c>
      <c r="P120" s="67">
        <v>7</v>
      </c>
      <c r="Q120" s="66">
        <v>8</v>
      </c>
      <c r="R120" s="67">
        <v>9</v>
      </c>
      <c r="S120" s="67">
        <v>5</v>
      </c>
      <c r="T120" s="66">
        <v>7</v>
      </c>
      <c r="U120" s="67">
        <v>4</v>
      </c>
      <c r="V120" s="67">
        <v>5</v>
      </c>
      <c r="W120" s="66">
        <v>5</v>
      </c>
      <c r="X120" s="67">
        <v>3</v>
      </c>
      <c r="Y120" s="67">
        <v>5</v>
      </c>
      <c r="Z120" s="66">
        <v>4</v>
      </c>
      <c r="AA120" s="67">
        <v>2</v>
      </c>
      <c r="AB120" s="67">
        <v>4</v>
      </c>
      <c r="AC120" s="66">
        <v>4</v>
      </c>
      <c r="AD120" s="65">
        <f t="shared" si="63"/>
        <v>100</v>
      </c>
      <c r="AE120" s="65">
        <f t="shared" si="64"/>
        <v>100</v>
      </c>
      <c r="AF120" s="66">
        <f t="shared" si="65"/>
        <v>100</v>
      </c>
      <c r="AG120" s="65">
        <f t="shared" si="66"/>
        <v>100</v>
      </c>
      <c r="AH120" s="65">
        <f t="shared" si="67"/>
        <v>92.857142857142861</v>
      </c>
      <c r="AI120" s="66">
        <f t="shared" si="68"/>
        <v>100</v>
      </c>
      <c r="AJ120" s="65">
        <f t="shared" si="69"/>
        <v>100</v>
      </c>
      <c r="AK120" s="65">
        <f t="shared" si="70"/>
        <v>85.714285714285722</v>
      </c>
      <c r="AL120" s="66">
        <f t="shared" si="71"/>
        <v>92.307692307692307</v>
      </c>
      <c r="AM120" s="65">
        <f t="shared" si="72"/>
        <v>80</v>
      </c>
      <c r="AN120" s="65">
        <f t="shared" si="73"/>
        <v>50</v>
      </c>
      <c r="AO120" s="66">
        <f t="shared" si="74"/>
        <v>61.53846153846154</v>
      </c>
      <c r="AP120" s="65">
        <f t="shared" si="75"/>
        <v>60</v>
      </c>
      <c r="AQ120" s="65">
        <f t="shared" si="76"/>
        <v>35.714285714285715</v>
      </c>
      <c r="AR120" s="66">
        <f t="shared" si="77"/>
        <v>53.846153846153847</v>
      </c>
      <c r="AS120" s="65">
        <f t="shared" si="78"/>
        <v>26.666666666666668</v>
      </c>
      <c r="AT120" s="65">
        <f t="shared" si="79"/>
        <v>35.714285714285715</v>
      </c>
      <c r="AU120" s="66">
        <f t="shared" si="80"/>
        <v>38.46153846153846</v>
      </c>
      <c r="AV120" s="65">
        <f t="shared" si="81"/>
        <v>20</v>
      </c>
      <c r="AW120" s="65">
        <f t="shared" si="82"/>
        <v>35.714285714285715</v>
      </c>
      <c r="AX120" s="66">
        <f t="shared" si="83"/>
        <v>30.76923076923077</v>
      </c>
      <c r="AY120" s="65">
        <f t="shared" si="84"/>
        <v>13.333333333333334</v>
      </c>
      <c r="AZ120" s="65">
        <f t="shared" si="85"/>
        <v>28.571428571428573</v>
      </c>
      <c r="BA120" s="66">
        <f t="shared" si="86"/>
        <v>30.76923076923077</v>
      </c>
      <c r="BB120" s="68">
        <f t="shared" si="87"/>
        <v>0</v>
      </c>
      <c r="BC120" s="65">
        <f t="shared" si="88"/>
        <v>4.12393049421161</v>
      </c>
      <c r="BD120" s="65">
        <f t="shared" si="89"/>
        <v>7.1498979106018767</v>
      </c>
      <c r="BE120" s="65">
        <f t="shared" si="90"/>
        <v>15.1325504406969</v>
      </c>
      <c r="BF120" s="65">
        <f t="shared" si="91"/>
        <v>12.625571820740173</v>
      </c>
      <c r="BG120" s="65">
        <f t="shared" si="92"/>
        <v>6.1715180297015912</v>
      </c>
      <c r="BH120" s="65">
        <f t="shared" si="93"/>
        <v>8.0350137448623808</v>
      </c>
      <c r="BI120" s="65">
        <f t="shared" si="94"/>
        <v>9.4959675685793155</v>
      </c>
      <c r="BJ120" s="68">
        <f t="shared" si="100"/>
        <v>0</v>
      </c>
      <c r="BK120" s="65">
        <f t="shared" si="101"/>
        <v>0.63633629026767669</v>
      </c>
      <c r="BL120" s="65">
        <f t="shared" si="102"/>
        <v>1.1032531994928312</v>
      </c>
      <c r="BM120" s="65">
        <f t="shared" si="103"/>
        <v>2.3350032264698619</v>
      </c>
      <c r="BN120" s="65">
        <f t="shared" si="104"/>
        <v>1.9481680271271968</v>
      </c>
      <c r="BO120" s="65">
        <f t="shared" si="105"/>
        <v>0.95228590633440457</v>
      </c>
      <c r="BP120" s="65">
        <f t="shared" si="106"/>
        <v>1.2398295378237185</v>
      </c>
      <c r="BQ120" s="90">
        <f t="shared" si="107"/>
        <v>1.4652596069631691</v>
      </c>
      <c r="BR120" s="69">
        <f t="shared" si="95"/>
        <v>100</v>
      </c>
      <c r="BS120" s="67">
        <f t="shared" si="96"/>
        <v>97.619047619047635</v>
      </c>
      <c r="BT120" s="67">
        <f t="shared" si="97"/>
        <v>92.673992673992686</v>
      </c>
      <c r="BU120" s="67">
        <f t="shared" si="98"/>
        <v>63.846153846153847</v>
      </c>
      <c r="BV120" s="67">
        <f t="shared" si="125"/>
        <v>49.853479853479854</v>
      </c>
      <c r="BW120" s="67">
        <f t="shared" si="126"/>
        <v>33.614163614163608</v>
      </c>
      <c r="BX120" s="67">
        <f t="shared" si="123"/>
        <v>31.391941391941391</v>
      </c>
      <c r="BY120" s="67">
        <f t="shared" si="124"/>
        <v>31.391941391941391</v>
      </c>
      <c r="BZ120" s="69">
        <f t="shared" si="109"/>
        <v>0</v>
      </c>
      <c r="CA120" s="67">
        <f t="shared" si="109"/>
        <v>2.3809523809523654</v>
      </c>
      <c r="CB120" s="67">
        <f t="shared" si="109"/>
        <v>7.3260073260073142</v>
      </c>
      <c r="CC120" s="67">
        <f t="shared" si="108"/>
        <v>36.153846153846153</v>
      </c>
      <c r="CD120" s="67">
        <f t="shared" si="108"/>
        <v>50.146520146520146</v>
      </c>
      <c r="CE120" s="67">
        <f t="shared" si="108"/>
        <v>66.385836385836399</v>
      </c>
      <c r="CF120" s="67">
        <f t="shared" si="108"/>
        <v>68.608058608058613</v>
      </c>
      <c r="CG120" s="116">
        <f t="shared" si="108"/>
        <v>68.608058608058613</v>
      </c>
    </row>
    <row r="121" spans="2:85" x14ac:dyDescent="0.3">
      <c r="B121" s="410"/>
      <c r="C121" s="413"/>
      <c r="D121" s="70" t="s">
        <v>805</v>
      </c>
      <c r="E121" s="71">
        <v>14</v>
      </c>
      <c r="F121" s="71">
        <v>13</v>
      </c>
      <c r="G121" s="72">
        <v>14</v>
      </c>
      <c r="H121" s="71">
        <f t="shared" si="99"/>
        <v>41</v>
      </c>
      <c r="I121" s="73">
        <v>12</v>
      </c>
      <c r="J121" s="73">
        <v>11</v>
      </c>
      <c r="K121" s="72">
        <v>11</v>
      </c>
      <c r="L121" s="73">
        <v>7</v>
      </c>
      <c r="M121" s="73">
        <v>9</v>
      </c>
      <c r="N121" s="72">
        <v>10</v>
      </c>
      <c r="O121" s="73">
        <v>5</v>
      </c>
      <c r="P121" s="73">
        <v>8</v>
      </c>
      <c r="Q121" s="72">
        <v>8</v>
      </c>
      <c r="R121" s="73">
        <v>5</v>
      </c>
      <c r="S121" s="73">
        <v>7</v>
      </c>
      <c r="T121" s="72">
        <v>7</v>
      </c>
      <c r="U121" s="73">
        <v>4</v>
      </c>
      <c r="V121" s="73">
        <v>5</v>
      </c>
      <c r="W121" s="72">
        <v>6</v>
      </c>
      <c r="X121" s="73">
        <v>3</v>
      </c>
      <c r="Y121" s="73">
        <v>5</v>
      </c>
      <c r="Z121" s="72">
        <v>5</v>
      </c>
      <c r="AA121" s="73">
        <v>2</v>
      </c>
      <c r="AB121" s="73">
        <v>5</v>
      </c>
      <c r="AC121" s="72">
        <v>4</v>
      </c>
      <c r="AD121" s="71">
        <f t="shared" si="63"/>
        <v>100</v>
      </c>
      <c r="AE121" s="71">
        <f t="shared" si="64"/>
        <v>100</v>
      </c>
      <c r="AF121" s="72">
        <f t="shared" si="65"/>
        <v>100</v>
      </c>
      <c r="AG121" s="71">
        <f t="shared" si="66"/>
        <v>85.714285714285722</v>
      </c>
      <c r="AH121" s="71">
        <f t="shared" si="67"/>
        <v>84.615384615384613</v>
      </c>
      <c r="AI121" s="72">
        <f t="shared" si="68"/>
        <v>78.571428571428569</v>
      </c>
      <c r="AJ121" s="71">
        <f t="shared" si="69"/>
        <v>50</v>
      </c>
      <c r="AK121" s="71">
        <f t="shared" si="70"/>
        <v>69.230769230769226</v>
      </c>
      <c r="AL121" s="72">
        <f t="shared" si="71"/>
        <v>71.428571428571431</v>
      </c>
      <c r="AM121" s="71">
        <f t="shared" si="72"/>
        <v>35.714285714285715</v>
      </c>
      <c r="AN121" s="71">
        <f t="shared" si="73"/>
        <v>61.53846153846154</v>
      </c>
      <c r="AO121" s="72">
        <f t="shared" si="74"/>
        <v>57.142857142857146</v>
      </c>
      <c r="AP121" s="71">
        <f t="shared" si="75"/>
        <v>35.714285714285715</v>
      </c>
      <c r="AQ121" s="71">
        <f t="shared" si="76"/>
        <v>53.846153846153847</v>
      </c>
      <c r="AR121" s="72">
        <f t="shared" si="77"/>
        <v>50</v>
      </c>
      <c r="AS121" s="71">
        <f t="shared" si="78"/>
        <v>28.571428571428573</v>
      </c>
      <c r="AT121" s="71">
        <f t="shared" si="79"/>
        <v>38.46153846153846</v>
      </c>
      <c r="AU121" s="72">
        <f t="shared" si="80"/>
        <v>42.857142857142861</v>
      </c>
      <c r="AV121" s="71">
        <f t="shared" si="81"/>
        <v>21.428571428571431</v>
      </c>
      <c r="AW121" s="71">
        <f t="shared" si="82"/>
        <v>38.46153846153846</v>
      </c>
      <c r="AX121" s="72">
        <f t="shared" si="83"/>
        <v>35.714285714285715</v>
      </c>
      <c r="AY121" s="71">
        <f t="shared" si="84"/>
        <v>14.285714285714286</v>
      </c>
      <c r="AZ121" s="71">
        <f t="shared" si="85"/>
        <v>38.46153846153846</v>
      </c>
      <c r="BA121" s="72">
        <f t="shared" si="86"/>
        <v>28.571428571428573</v>
      </c>
      <c r="BB121" s="74">
        <f t="shared" si="87"/>
        <v>0</v>
      </c>
      <c r="BC121" s="71">
        <f t="shared" si="88"/>
        <v>3.8461538461538498</v>
      </c>
      <c r="BD121" s="71">
        <f t="shared" si="89"/>
        <v>11.788670360259331</v>
      </c>
      <c r="BE121" s="71">
        <f t="shared" si="90"/>
        <v>13.816614807723251</v>
      </c>
      <c r="BF121" s="71">
        <f t="shared" si="91"/>
        <v>9.5537006269194098</v>
      </c>
      <c r="BG121" s="71">
        <f t="shared" si="92"/>
        <v>7.3168440862410913</v>
      </c>
      <c r="BH121" s="71">
        <f t="shared" si="93"/>
        <v>9.1446796577435308</v>
      </c>
      <c r="BI121" s="71">
        <f t="shared" si="94"/>
        <v>12.154329687206644</v>
      </c>
      <c r="BJ121" s="74">
        <f t="shared" si="100"/>
        <v>0</v>
      </c>
      <c r="BK121" s="71">
        <f t="shared" si="101"/>
        <v>0.60066831495617778</v>
      </c>
      <c r="BL121" s="71">
        <f t="shared" si="102"/>
        <v>1.8410809978264087</v>
      </c>
      <c r="BM121" s="71">
        <f t="shared" si="103"/>
        <v>2.1577927110879598</v>
      </c>
      <c r="BN121" s="71">
        <f t="shared" si="104"/>
        <v>1.4920373668635385</v>
      </c>
      <c r="BO121" s="71">
        <f t="shared" si="105"/>
        <v>1.1426990661006717</v>
      </c>
      <c r="BP121" s="71">
        <f t="shared" si="106"/>
        <v>1.4281590234160177</v>
      </c>
      <c r="BQ121" s="91">
        <f t="shared" si="107"/>
        <v>1.8981873904854263</v>
      </c>
      <c r="BR121" s="75">
        <f t="shared" si="95"/>
        <v>100</v>
      </c>
      <c r="BS121" s="73">
        <f t="shared" si="96"/>
        <v>82.967032967032978</v>
      </c>
      <c r="BT121" s="73">
        <f t="shared" si="97"/>
        <v>63.553113553113555</v>
      </c>
      <c r="BU121" s="73">
        <f t="shared" si="98"/>
        <v>51.465201465201467</v>
      </c>
      <c r="BV121" s="73">
        <f t="shared" si="125"/>
        <v>46.520146520146518</v>
      </c>
      <c r="BW121" s="73">
        <f t="shared" si="126"/>
        <v>36.630036630036635</v>
      </c>
      <c r="BX121" s="73">
        <f t="shared" si="123"/>
        <v>34.249084249084248</v>
      </c>
      <c r="BY121" s="73">
        <f t="shared" si="124"/>
        <v>34.249084249084255</v>
      </c>
      <c r="BZ121" s="75">
        <f t="shared" si="109"/>
        <v>0</v>
      </c>
      <c r="CA121" s="73">
        <f t="shared" si="109"/>
        <v>17.032967032967022</v>
      </c>
      <c r="CB121" s="73">
        <f t="shared" si="109"/>
        <v>36.446886446886445</v>
      </c>
      <c r="CC121" s="73">
        <f t="shared" si="108"/>
        <v>48.534798534798533</v>
      </c>
      <c r="CD121" s="73">
        <f t="shared" si="108"/>
        <v>53.479853479853482</v>
      </c>
      <c r="CE121" s="73">
        <f t="shared" si="108"/>
        <v>63.369963369963365</v>
      </c>
      <c r="CF121" s="73">
        <f t="shared" si="108"/>
        <v>65.750915750915752</v>
      </c>
      <c r="CG121" s="265">
        <f t="shared" si="108"/>
        <v>65.750915750915738</v>
      </c>
    </row>
    <row r="122" spans="2:85" ht="15" customHeight="1" x14ac:dyDescent="0.3">
      <c r="B122" s="408">
        <v>30</v>
      </c>
      <c r="C122" s="411" t="s">
        <v>402</v>
      </c>
      <c r="D122" s="76" t="s">
        <v>802</v>
      </c>
      <c r="E122" s="77">
        <v>8</v>
      </c>
      <c r="F122" s="77">
        <v>9</v>
      </c>
      <c r="G122" s="78">
        <v>10</v>
      </c>
      <c r="H122" s="77">
        <f t="shared" si="99"/>
        <v>27</v>
      </c>
      <c r="I122" s="79">
        <v>6</v>
      </c>
      <c r="J122" s="79">
        <v>8</v>
      </c>
      <c r="K122" s="78">
        <v>10</v>
      </c>
      <c r="L122" s="79">
        <v>1</v>
      </c>
      <c r="M122" s="79">
        <v>5</v>
      </c>
      <c r="N122" s="78">
        <v>2</v>
      </c>
      <c r="O122" s="79">
        <v>0</v>
      </c>
      <c r="P122" s="79">
        <v>0</v>
      </c>
      <c r="Q122" s="78">
        <v>0</v>
      </c>
      <c r="R122" s="79">
        <v>0</v>
      </c>
      <c r="S122" s="79">
        <v>0</v>
      </c>
      <c r="T122" s="78">
        <v>0</v>
      </c>
      <c r="U122" s="79">
        <v>0</v>
      </c>
      <c r="V122" s="79">
        <v>0</v>
      </c>
      <c r="W122" s="78">
        <v>0</v>
      </c>
      <c r="X122" s="79">
        <v>0</v>
      </c>
      <c r="Y122" s="79">
        <v>0</v>
      </c>
      <c r="Z122" s="78">
        <v>0</v>
      </c>
      <c r="AA122" s="79">
        <v>0</v>
      </c>
      <c r="AB122" s="79">
        <v>0</v>
      </c>
      <c r="AC122" s="78">
        <v>0</v>
      </c>
      <c r="AD122" s="77">
        <f t="shared" si="63"/>
        <v>100</v>
      </c>
      <c r="AE122" s="77">
        <f t="shared" si="64"/>
        <v>100</v>
      </c>
      <c r="AF122" s="78">
        <f t="shared" si="65"/>
        <v>100</v>
      </c>
      <c r="AG122" s="77">
        <f t="shared" si="66"/>
        <v>75</v>
      </c>
      <c r="AH122" s="77">
        <f t="shared" si="67"/>
        <v>88.888888888888886</v>
      </c>
      <c r="AI122" s="78">
        <f t="shared" si="68"/>
        <v>100</v>
      </c>
      <c r="AJ122" s="77">
        <f t="shared" si="69"/>
        <v>12.5</v>
      </c>
      <c r="AK122" s="77">
        <f t="shared" si="70"/>
        <v>55.555555555555557</v>
      </c>
      <c r="AL122" s="78">
        <f t="shared" si="71"/>
        <v>20</v>
      </c>
      <c r="AM122" s="77">
        <f t="shared" si="72"/>
        <v>0</v>
      </c>
      <c r="AN122" s="77">
        <f t="shared" si="73"/>
        <v>0</v>
      </c>
      <c r="AO122" s="78">
        <f t="shared" si="74"/>
        <v>0</v>
      </c>
      <c r="AP122" s="77">
        <f t="shared" si="75"/>
        <v>0</v>
      </c>
      <c r="AQ122" s="77">
        <f t="shared" si="76"/>
        <v>0</v>
      </c>
      <c r="AR122" s="78">
        <f t="shared" si="77"/>
        <v>0</v>
      </c>
      <c r="AS122" s="77">
        <f t="shared" si="78"/>
        <v>0</v>
      </c>
      <c r="AT122" s="77">
        <f t="shared" si="79"/>
        <v>0</v>
      </c>
      <c r="AU122" s="78">
        <f t="shared" si="80"/>
        <v>0</v>
      </c>
      <c r="AV122" s="77">
        <f t="shared" si="81"/>
        <v>0</v>
      </c>
      <c r="AW122" s="77">
        <f t="shared" si="82"/>
        <v>0</v>
      </c>
      <c r="AX122" s="78">
        <f t="shared" si="83"/>
        <v>0</v>
      </c>
      <c r="AY122" s="77">
        <f t="shared" si="84"/>
        <v>0</v>
      </c>
      <c r="AZ122" s="77">
        <f t="shared" si="85"/>
        <v>0</v>
      </c>
      <c r="BA122" s="78">
        <f t="shared" si="86"/>
        <v>0</v>
      </c>
      <c r="BB122" s="80">
        <f t="shared" si="87"/>
        <v>0</v>
      </c>
      <c r="BC122" s="77">
        <f t="shared" si="88"/>
        <v>12.52569375784133</v>
      </c>
      <c r="BD122" s="77">
        <f t="shared" si="89"/>
        <v>23.000827503453468</v>
      </c>
      <c r="BE122" s="77">
        <f t="shared" si="90"/>
        <v>0</v>
      </c>
      <c r="BF122" s="77">
        <f t="shared" si="91"/>
        <v>0</v>
      </c>
      <c r="BG122" s="77">
        <f t="shared" si="92"/>
        <v>0</v>
      </c>
      <c r="BH122" s="77">
        <f t="shared" si="93"/>
        <v>0</v>
      </c>
      <c r="BI122" s="77">
        <f t="shared" si="94"/>
        <v>0</v>
      </c>
      <c r="BJ122" s="80">
        <f t="shared" si="100"/>
        <v>0</v>
      </c>
      <c r="BK122" s="77">
        <f t="shared" si="101"/>
        <v>2.4105708876255023</v>
      </c>
      <c r="BL122" s="77">
        <f t="shared" si="102"/>
        <v>4.4265113169010029</v>
      </c>
      <c r="BM122" s="77">
        <f t="shared" si="103"/>
        <v>0</v>
      </c>
      <c r="BN122" s="77">
        <f t="shared" si="104"/>
        <v>0</v>
      </c>
      <c r="BO122" s="77">
        <f t="shared" si="105"/>
        <v>0</v>
      </c>
      <c r="BP122" s="77">
        <f t="shared" si="106"/>
        <v>0</v>
      </c>
      <c r="BQ122" s="92">
        <f t="shared" si="107"/>
        <v>0</v>
      </c>
      <c r="BR122" s="81">
        <f t="shared" si="95"/>
        <v>100</v>
      </c>
      <c r="BS122" s="79">
        <f t="shared" si="96"/>
        <v>87.962962962962976</v>
      </c>
      <c r="BT122" s="79">
        <f t="shared" si="97"/>
        <v>29.351851851851851</v>
      </c>
      <c r="BU122" s="79">
        <f t="shared" si="98"/>
        <v>0</v>
      </c>
      <c r="BV122" s="79">
        <f t="shared" si="125"/>
        <v>0</v>
      </c>
      <c r="BW122" s="79">
        <f t="shared" si="126"/>
        <v>0</v>
      </c>
      <c r="BX122" s="79">
        <f t="shared" ref="BX122:BX153" si="127">AVERAGE(AT122:AV122)</f>
        <v>0</v>
      </c>
      <c r="BY122" s="79">
        <f t="shared" ref="BY122:BY153" si="128">AVERAGE(AU122:AW122)</f>
        <v>0</v>
      </c>
      <c r="BZ122" s="81">
        <f t="shared" si="109"/>
        <v>0</v>
      </c>
      <c r="CA122" s="79">
        <f t="shared" si="109"/>
        <v>12.037037037037024</v>
      </c>
      <c r="CB122" s="79">
        <f t="shared" si="109"/>
        <v>70.648148148148152</v>
      </c>
      <c r="CC122" s="79">
        <f t="shared" si="108"/>
        <v>100</v>
      </c>
      <c r="CD122" s="79">
        <f t="shared" si="108"/>
        <v>100</v>
      </c>
      <c r="CE122" s="79">
        <f t="shared" ref="CE122:CG185" si="129">100-BW122</f>
        <v>100</v>
      </c>
      <c r="CF122" s="79">
        <f t="shared" si="129"/>
        <v>100</v>
      </c>
      <c r="CG122" s="264">
        <f t="shared" si="129"/>
        <v>100</v>
      </c>
    </row>
    <row r="123" spans="2:85" x14ac:dyDescent="0.3">
      <c r="B123" s="409"/>
      <c r="C123" s="412"/>
      <c r="D123" s="70" t="s">
        <v>803</v>
      </c>
      <c r="E123" s="65">
        <v>12</v>
      </c>
      <c r="F123" s="65">
        <v>13</v>
      </c>
      <c r="G123" s="66">
        <v>12</v>
      </c>
      <c r="H123" s="65">
        <f t="shared" si="99"/>
        <v>37</v>
      </c>
      <c r="I123" s="67">
        <v>10</v>
      </c>
      <c r="J123" s="67">
        <v>8</v>
      </c>
      <c r="K123" s="66">
        <v>9</v>
      </c>
      <c r="L123" s="67">
        <v>7</v>
      </c>
      <c r="M123" s="67">
        <v>5</v>
      </c>
      <c r="N123" s="66">
        <v>6</v>
      </c>
      <c r="O123" s="67">
        <v>5</v>
      </c>
      <c r="P123" s="67">
        <v>2</v>
      </c>
      <c r="Q123" s="66">
        <v>4</v>
      </c>
      <c r="R123" s="67">
        <v>2</v>
      </c>
      <c r="S123" s="67">
        <v>0</v>
      </c>
      <c r="T123" s="66">
        <v>1</v>
      </c>
      <c r="U123" s="67">
        <v>0</v>
      </c>
      <c r="V123" s="67">
        <v>0</v>
      </c>
      <c r="W123" s="66">
        <v>0</v>
      </c>
      <c r="X123" s="67">
        <v>0</v>
      </c>
      <c r="Y123" s="67">
        <v>0</v>
      </c>
      <c r="Z123" s="66">
        <v>0</v>
      </c>
      <c r="AA123" s="67">
        <v>0</v>
      </c>
      <c r="AB123" s="67">
        <v>0</v>
      </c>
      <c r="AC123" s="66">
        <v>0</v>
      </c>
      <c r="AD123" s="65">
        <f t="shared" si="63"/>
        <v>100</v>
      </c>
      <c r="AE123" s="65">
        <f t="shared" si="64"/>
        <v>100</v>
      </c>
      <c r="AF123" s="66">
        <f t="shared" si="65"/>
        <v>100</v>
      </c>
      <c r="AG123" s="65">
        <f t="shared" si="66"/>
        <v>83.333333333333343</v>
      </c>
      <c r="AH123" s="65">
        <f t="shared" si="67"/>
        <v>61.53846153846154</v>
      </c>
      <c r="AI123" s="66">
        <f t="shared" si="68"/>
        <v>75</v>
      </c>
      <c r="AJ123" s="65">
        <f t="shared" si="69"/>
        <v>58.333333333333336</v>
      </c>
      <c r="AK123" s="65">
        <f t="shared" si="70"/>
        <v>38.46153846153846</v>
      </c>
      <c r="AL123" s="66">
        <f t="shared" si="71"/>
        <v>50</v>
      </c>
      <c r="AM123" s="65">
        <f t="shared" si="72"/>
        <v>41.666666666666671</v>
      </c>
      <c r="AN123" s="65">
        <f t="shared" si="73"/>
        <v>15.384615384615385</v>
      </c>
      <c r="AO123" s="66">
        <f t="shared" si="74"/>
        <v>33.333333333333336</v>
      </c>
      <c r="AP123" s="65">
        <f t="shared" si="75"/>
        <v>16.666666666666668</v>
      </c>
      <c r="AQ123" s="65">
        <f t="shared" si="76"/>
        <v>0</v>
      </c>
      <c r="AR123" s="66">
        <f t="shared" si="77"/>
        <v>8.3333333333333339</v>
      </c>
      <c r="AS123" s="65">
        <f t="shared" si="78"/>
        <v>0</v>
      </c>
      <c r="AT123" s="65">
        <f t="shared" si="79"/>
        <v>0</v>
      </c>
      <c r="AU123" s="66">
        <f t="shared" si="80"/>
        <v>0</v>
      </c>
      <c r="AV123" s="65">
        <f t="shared" si="81"/>
        <v>0</v>
      </c>
      <c r="AW123" s="65">
        <f t="shared" si="82"/>
        <v>0</v>
      </c>
      <c r="AX123" s="66">
        <f t="shared" si="83"/>
        <v>0</v>
      </c>
      <c r="AY123" s="65">
        <f t="shared" si="84"/>
        <v>0</v>
      </c>
      <c r="AZ123" s="65">
        <f t="shared" si="85"/>
        <v>0</v>
      </c>
      <c r="BA123" s="66">
        <f t="shared" si="86"/>
        <v>0</v>
      </c>
      <c r="BB123" s="68">
        <f t="shared" si="87"/>
        <v>0</v>
      </c>
      <c r="BC123" s="65">
        <f t="shared" si="88"/>
        <v>10.997529258510912</v>
      </c>
      <c r="BD123" s="65">
        <f t="shared" si="89"/>
        <v>9.9788841272099216</v>
      </c>
      <c r="BE123" s="65">
        <f t="shared" si="90"/>
        <v>13.430978743433958</v>
      </c>
      <c r="BF123" s="65">
        <f t="shared" si="91"/>
        <v>8.3333333333333357</v>
      </c>
      <c r="BG123" s="65">
        <f t="shared" si="92"/>
        <v>0</v>
      </c>
      <c r="BH123" s="65">
        <f t="shared" si="93"/>
        <v>0</v>
      </c>
      <c r="BI123" s="65">
        <f t="shared" si="94"/>
        <v>0</v>
      </c>
      <c r="BJ123" s="68">
        <f t="shared" si="100"/>
        <v>0</v>
      </c>
      <c r="BK123" s="65">
        <f t="shared" si="101"/>
        <v>1.8079826729602309</v>
      </c>
      <c r="BL123" s="65">
        <f t="shared" si="102"/>
        <v>1.6405184449508154</v>
      </c>
      <c r="BM123" s="65">
        <f t="shared" si="103"/>
        <v>2.208039303940323</v>
      </c>
      <c r="BN123" s="65">
        <f t="shared" si="104"/>
        <v>1.3699915608779778</v>
      </c>
      <c r="BO123" s="65">
        <f t="shared" si="105"/>
        <v>0</v>
      </c>
      <c r="BP123" s="65">
        <f t="shared" si="106"/>
        <v>0</v>
      </c>
      <c r="BQ123" s="90">
        <f t="shared" si="107"/>
        <v>0</v>
      </c>
      <c r="BR123" s="69">
        <f t="shared" si="95"/>
        <v>100</v>
      </c>
      <c r="BS123" s="67">
        <f t="shared" si="96"/>
        <v>73.290598290598297</v>
      </c>
      <c r="BT123" s="67">
        <f t="shared" si="97"/>
        <v>48.931623931623932</v>
      </c>
      <c r="BU123" s="67">
        <f t="shared" si="98"/>
        <v>30.128205128205128</v>
      </c>
      <c r="BV123" s="67">
        <f t="shared" si="125"/>
        <v>8.3333333333333339</v>
      </c>
      <c r="BW123" s="67">
        <f t="shared" si="126"/>
        <v>0</v>
      </c>
      <c r="BX123" s="67">
        <f t="shared" si="127"/>
        <v>0</v>
      </c>
      <c r="BY123" s="67">
        <f t="shared" si="128"/>
        <v>0</v>
      </c>
      <c r="BZ123" s="69">
        <f t="shared" si="109"/>
        <v>0</v>
      </c>
      <c r="CA123" s="67">
        <f t="shared" si="109"/>
        <v>26.709401709401703</v>
      </c>
      <c r="CB123" s="67">
        <f t="shared" si="109"/>
        <v>51.068376068376068</v>
      </c>
      <c r="CC123" s="67">
        <f t="shared" si="109"/>
        <v>69.871794871794876</v>
      </c>
      <c r="CD123" s="67">
        <f t="shared" si="109"/>
        <v>91.666666666666671</v>
      </c>
      <c r="CE123" s="67">
        <f t="shared" si="129"/>
        <v>100</v>
      </c>
      <c r="CF123" s="67">
        <f t="shared" si="129"/>
        <v>100</v>
      </c>
      <c r="CG123" s="116">
        <f t="shared" si="129"/>
        <v>100</v>
      </c>
    </row>
    <row r="124" spans="2:85" x14ac:dyDescent="0.3">
      <c r="B124" s="409"/>
      <c r="C124" s="412"/>
      <c r="D124" s="70" t="s">
        <v>804</v>
      </c>
      <c r="E124" s="65">
        <v>14</v>
      </c>
      <c r="F124" s="65">
        <v>12</v>
      </c>
      <c r="G124" s="66">
        <v>13</v>
      </c>
      <c r="H124" s="65">
        <f t="shared" si="99"/>
        <v>39</v>
      </c>
      <c r="I124" s="67">
        <v>12</v>
      </c>
      <c r="J124" s="67">
        <v>10</v>
      </c>
      <c r="K124" s="66">
        <v>11</v>
      </c>
      <c r="L124" s="67">
        <v>9</v>
      </c>
      <c r="M124" s="67">
        <v>9</v>
      </c>
      <c r="N124" s="66">
        <v>8</v>
      </c>
      <c r="O124" s="67">
        <v>7</v>
      </c>
      <c r="P124" s="67">
        <v>9</v>
      </c>
      <c r="Q124" s="66">
        <v>8</v>
      </c>
      <c r="R124" s="67">
        <v>5</v>
      </c>
      <c r="S124" s="67">
        <v>7</v>
      </c>
      <c r="T124" s="66">
        <v>7</v>
      </c>
      <c r="U124" s="67">
        <v>3</v>
      </c>
      <c r="V124" s="67">
        <v>5</v>
      </c>
      <c r="W124" s="66">
        <v>4</v>
      </c>
      <c r="X124" s="67">
        <v>1</v>
      </c>
      <c r="Y124" s="67">
        <v>4</v>
      </c>
      <c r="Z124" s="66">
        <v>6</v>
      </c>
      <c r="AA124" s="67">
        <v>3</v>
      </c>
      <c r="AB124" s="67">
        <v>4</v>
      </c>
      <c r="AC124" s="66">
        <v>6</v>
      </c>
      <c r="AD124" s="65">
        <f t="shared" si="63"/>
        <v>100</v>
      </c>
      <c r="AE124" s="65">
        <f t="shared" si="64"/>
        <v>100</v>
      </c>
      <c r="AF124" s="66">
        <f t="shared" si="65"/>
        <v>100</v>
      </c>
      <c r="AG124" s="65">
        <f t="shared" si="66"/>
        <v>85.714285714285722</v>
      </c>
      <c r="AH124" s="65">
        <f t="shared" si="67"/>
        <v>83.333333333333343</v>
      </c>
      <c r="AI124" s="66">
        <f t="shared" si="68"/>
        <v>84.615384615384613</v>
      </c>
      <c r="AJ124" s="65">
        <f t="shared" si="69"/>
        <v>64.285714285714292</v>
      </c>
      <c r="AK124" s="65">
        <f t="shared" si="70"/>
        <v>75</v>
      </c>
      <c r="AL124" s="66">
        <f t="shared" si="71"/>
        <v>61.53846153846154</v>
      </c>
      <c r="AM124" s="65">
        <f t="shared" si="72"/>
        <v>50</v>
      </c>
      <c r="AN124" s="65">
        <f t="shared" si="73"/>
        <v>75</v>
      </c>
      <c r="AO124" s="66">
        <f t="shared" si="74"/>
        <v>61.53846153846154</v>
      </c>
      <c r="AP124" s="65">
        <f t="shared" si="75"/>
        <v>35.714285714285715</v>
      </c>
      <c r="AQ124" s="65">
        <f t="shared" si="76"/>
        <v>58.333333333333336</v>
      </c>
      <c r="AR124" s="66">
        <f t="shared" si="77"/>
        <v>53.846153846153847</v>
      </c>
      <c r="AS124" s="65">
        <f t="shared" si="78"/>
        <v>21.428571428571431</v>
      </c>
      <c r="AT124" s="65">
        <f t="shared" si="79"/>
        <v>41.666666666666671</v>
      </c>
      <c r="AU124" s="66">
        <f t="shared" si="80"/>
        <v>30.76923076923077</v>
      </c>
      <c r="AV124" s="65">
        <f t="shared" si="81"/>
        <v>7.1428571428571432</v>
      </c>
      <c r="AW124" s="65">
        <f t="shared" si="82"/>
        <v>33.333333333333336</v>
      </c>
      <c r="AX124" s="66">
        <f t="shared" si="83"/>
        <v>46.153846153846153</v>
      </c>
      <c r="AY124" s="65">
        <f t="shared" si="84"/>
        <v>21.428571428571431</v>
      </c>
      <c r="AZ124" s="65">
        <f t="shared" si="85"/>
        <v>33.333333333333336</v>
      </c>
      <c r="BA124" s="66">
        <f t="shared" si="86"/>
        <v>46.153846153846153</v>
      </c>
      <c r="BB124" s="68">
        <f t="shared" si="87"/>
        <v>0</v>
      </c>
      <c r="BC124" s="65">
        <f t="shared" si="88"/>
        <v>1.1916496517669792</v>
      </c>
      <c r="BD124" s="65">
        <f t="shared" si="89"/>
        <v>7.1128561278869533</v>
      </c>
      <c r="BE124" s="65">
        <f t="shared" si="90"/>
        <v>12.512321343553298</v>
      </c>
      <c r="BF124" s="65">
        <f t="shared" si="91"/>
        <v>11.975814077369698</v>
      </c>
      <c r="BG124" s="65">
        <f t="shared" si="92"/>
        <v>10.129022040019317</v>
      </c>
      <c r="BH124" s="65">
        <f t="shared" si="93"/>
        <v>19.883677793944202</v>
      </c>
      <c r="BI124" s="65">
        <f t="shared" si="94"/>
        <v>12.365463431336442</v>
      </c>
      <c r="BJ124" s="68">
        <f t="shared" si="100"/>
        <v>0</v>
      </c>
      <c r="BK124" s="65">
        <f t="shared" si="101"/>
        <v>0.19081665871992137</v>
      </c>
      <c r="BL124" s="65">
        <f t="shared" si="102"/>
        <v>1.1389685200397386</v>
      </c>
      <c r="BM124" s="65">
        <f t="shared" si="103"/>
        <v>2.003574916559177</v>
      </c>
      <c r="BN124" s="65">
        <f t="shared" si="104"/>
        <v>1.9176649985221825</v>
      </c>
      <c r="BO124" s="65">
        <f t="shared" si="105"/>
        <v>1.6219415991193307</v>
      </c>
      <c r="BP124" s="65">
        <f t="shared" si="106"/>
        <v>3.1839366159994928</v>
      </c>
      <c r="BQ124" s="90">
        <f t="shared" si="107"/>
        <v>1.9800588302042224</v>
      </c>
      <c r="BR124" s="69">
        <f t="shared" si="95"/>
        <v>100</v>
      </c>
      <c r="BS124" s="67">
        <f t="shared" si="96"/>
        <v>84.554334554334559</v>
      </c>
      <c r="BT124" s="67">
        <f t="shared" si="97"/>
        <v>66.941391941391942</v>
      </c>
      <c r="BU124" s="67">
        <f t="shared" si="98"/>
        <v>62.179487179487182</v>
      </c>
      <c r="BV124" s="67">
        <f t="shared" si="125"/>
        <v>49.297924297924304</v>
      </c>
      <c r="BW124" s="67">
        <f t="shared" si="126"/>
        <v>31.288156288156291</v>
      </c>
      <c r="BX124" s="67">
        <f t="shared" si="127"/>
        <v>26.526251526251528</v>
      </c>
      <c r="BY124" s="67">
        <f t="shared" si="128"/>
        <v>23.748473748473753</v>
      </c>
      <c r="BZ124" s="69">
        <f t="shared" si="109"/>
        <v>0</v>
      </c>
      <c r="CA124" s="67">
        <f t="shared" si="109"/>
        <v>15.445665445665441</v>
      </c>
      <c r="CB124" s="67">
        <f t="shared" si="109"/>
        <v>33.058608058608058</v>
      </c>
      <c r="CC124" s="67">
        <f t="shared" si="109"/>
        <v>37.820512820512818</v>
      </c>
      <c r="CD124" s="67">
        <f t="shared" si="109"/>
        <v>50.702075702075696</v>
      </c>
      <c r="CE124" s="67">
        <f t="shared" si="129"/>
        <v>68.711843711843713</v>
      </c>
      <c r="CF124" s="67">
        <f t="shared" si="129"/>
        <v>73.473748473748472</v>
      </c>
      <c r="CG124" s="116">
        <f t="shared" si="129"/>
        <v>76.251526251526244</v>
      </c>
    </row>
    <row r="125" spans="2:85" x14ac:dyDescent="0.3">
      <c r="B125" s="410"/>
      <c r="C125" s="413"/>
      <c r="D125" s="70" t="s">
        <v>805</v>
      </c>
      <c r="E125" s="71">
        <v>14</v>
      </c>
      <c r="F125" s="71">
        <v>11</v>
      </c>
      <c r="G125" s="72">
        <v>11</v>
      </c>
      <c r="H125" s="71">
        <f t="shared" si="99"/>
        <v>36</v>
      </c>
      <c r="I125" s="73">
        <v>12</v>
      </c>
      <c r="J125" s="73">
        <v>10</v>
      </c>
      <c r="K125" s="72">
        <v>10</v>
      </c>
      <c r="L125" s="73">
        <v>11</v>
      </c>
      <c r="M125" s="73">
        <v>9</v>
      </c>
      <c r="N125" s="72">
        <v>9</v>
      </c>
      <c r="O125" s="73">
        <v>11</v>
      </c>
      <c r="P125" s="73">
        <v>8</v>
      </c>
      <c r="Q125" s="72">
        <v>9</v>
      </c>
      <c r="R125" s="73">
        <v>10</v>
      </c>
      <c r="S125" s="73">
        <v>8</v>
      </c>
      <c r="T125" s="72">
        <v>8</v>
      </c>
      <c r="U125" s="73">
        <v>10</v>
      </c>
      <c r="V125" s="73">
        <v>8</v>
      </c>
      <c r="W125" s="72">
        <v>8</v>
      </c>
      <c r="X125" s="73">
        <v>10</v>
      </c>
      <c r="Y125" s="73">
        <v>8</v>
      </c>
      <c r="Z125" s="72">
        <v>8</v>
      </c>
      <c r="AA125" s="73">
        <v>10</v>
      </c>
      <c r="AB125" s="73">
        <v>8</v>
      </c>
      <c r="AC125" s="72">
        <v>8</v>
      </c>
      <c r="AD125" s="71">
        <f t="shared" si="63"/>
        <v>100</v>
      </c>
      <c r="AE125" s="71">
        <f t="shared" si="64"/>
        <v>100.00000000000001</v>
      </c>
      <c r="AF125" s="72">
        <f t="shared" si="65"/>
        <v>100.00000000000001</v>
      </c>
      <c r="AG125" s="71">
        <f t="shared" si="66"/>
        <v>85.714285714285722</v>
      </c>
      <c r="AH125" s="71">
        <f t="shared" si="67"/>
        <v>90.909090909090921</v>
      </c>
      <c r="AI125" s="72">
        <f t="shared" si="68"/>
        <v>90.909090909090921</v>
      </c>
      <c r="AJ125" s="71">
        <f t="shared" si="69"/>
        <v>78.571428571428569</v>
      </c>
      <c r="AK125" s="71">
        <f t="shared" si="70"/>
        <v>81.818181818181827</v>
      </c>
      <c r="AL125" s="72">
        <f t="shared" si="71"/>
        <v>81.818181818181827</v>
      </c>
      <c r="AM125" s="71">
        <f t="shared" si="72"/>
        <v>78.571428571428569</v>
      </c>
      <c r="AN125" s="71">
        <f t="shared" si="73"/>
        <v>72.727272727272734</v>
      </c>
      <c r="AO125" s="72">
        <f t="shared" si="74"/>
        <v>81.818181818181827</v>
      </c>
      <c r="AP125" s="71">
        <f t="shared" si="75"/>
        <v>71.428571428571431</v>
      </c>
      <c r="AQ125" s="71">
        <f t="shared" si="76"/>
        <v>72.727272727272734</v>
      </c>
      <c r="AR125" s="72">
        <f t="shared" si="77"/>
        <v>72.727272727272734</v>
      </c>
      <c r="AS125" s="71">
        <f t="shared" si="78"/>
        <v>71.428571428571431</v>
      </c>
      <c r="AT125" s="71">
        <f t="shared" si="79"/>
        <v>72.727272727272734</v>
      </c>
      <c r="AU125" s="72">
        <f t="shared" si="80"/>
        <v>72.727272727272734</v>
      </c>
      <c r="AV125" s="71">
        <f t="shared" si="81"/>
        <v>71.428571428571431</v>
      </c>
      <c r="AW125" s="71">
        <f t="shared" si="82"/>
        <v>72.727272727272734</v>
      </c>
      <c r="AX125" s="72">
        <f t="shared" si="83"/>
        <v>72.727272727272734</v>
      </c>
      <c r="AY125" s="71">
        <f t="shared" si="84"/>
        <v>71.428571428571431</v>
      </c>
      <c r="AZ125" s="71">
        <f t="shared" si="85"/>
        <v>72.727272727272734</v>
      </c>
      <c r="BA125" s="72">
        <f t="shared" si="86"/>
        <v>72.727272727272734</v>
      </c>
      <c r="BB125" s="74">
        <f t="shared" si="87"/>
        <v>1.4210854715202004E-14</v>
      </c>
      <c r="BC125" s="71">
        <f t="shared" si="88"/>
        <v>2.9992221776084476</v>
      </c>
      <c r="BD125" s="71">
        <f t="shared" si="89"/>
        <v>1.8745138610052849</v>
      </c>
      <c r="BE125" s="71">
        <f t="shared" si="90"/>
        <v>4.6068823925958364</v>
      </c>
      <c r="BF125" s="71">
        <f t="shared" si="91"/>
        <v>0.749805544402114</v>
      </c>
      <c r="BG125" s="71">
        <f t="shared" si="92"/>
        <v>0.749805544402114</v>
      </c>
      <c r="BH125" s="71">
        <f t="shared" si="93"/>
        <v>0.749805544402114</v>
      </c>
      <c r="BI125" s="71">
        <f t="shared" si="94"/>
        <v>0.749805544402114</v>
      </c>
      <c r="BJ125" s="74">
        <f t="shared" si="100"/>
        <v>2.3684757858670005E-15</v>
      </c>
      <c r="BK125" s="71">
        <f t="shared" si="101"/>
        <v>0.49987036293474124</v>
      </c>
      <c r="BL125" s="71">
        <f t="shared" si="102"/>
        <v>0.31241897683421416</v>
      </c>
      <c r="BM125" s="71">
        <f t="shared" si="103"/>
        <v>0.76781373209930603</v>
      </c>
      <c r="BN125" s="71">
        <f t="shared" si="104"/>
        <v>0.12496759073368567</v>
      </c>
      <c r="BO125" s="71">
        <f t="shared" si="105"/>
        <v>0.12496759073368567</v>
      </c>
      <c r="BP125" s="71">
        <f t="shared" si="106"/>
        <v>0.12496759073368567</v>
      </c>
      <c r="BQ125" s="91">
        <f t="shared" si="107"/>
        <v>0.12496759073368567</v>
      </c>
      <c r="BR125" s="75">
        <f t="shared" si="95"/>
        <v>100</v>
      </c>
      <c r="BS125" s="73">
        <f t="shared" si="96"/>
        <v>89.177489177489193</v>
      </c>
      <c r="BT125" s="73">
        <f t="shared" si="97"/>
        <v>80.735930735930751</v>
      </c>
      <c r="BU125" s="73">
        <f t="shared" si="98"/>
        <v>77.705627705627705</v>
      </c>
      <c r="BV125" s="73">
        <f t="shared" si="125"/>
        <v>72.294372294372295</v>
      </c>
      <c r="BW125" s="73">
        <f t="shared" si="126"/>
        <v>72.294372294372295</v>
      </c>
      <c r="BX125" s="73">
        <f t="shared" si="127"/>
        <v>72.294372294372295</v>
      </c>
      <c r="BY125" s="73">
        <f t="shared" si="128"/>
        <v>72.294372294372295</v>
      </c>
      <c r="BZ125" s="75">
        <f t="shared" si="109"/>
        <v>0</v>
      </c>
      <c r="CA125" s="73">
        <f t="shared" si="109"/>
        <v>10.822510822510807</v>
      </c>
      <c r="CB125" s="73">
        <f t="shared" si="109"/>
        <v>19.264069264069249</v>
      </c>
      <c r="CC125" s="73">
        <f t="shared" si="109"/>
        <v>22.294372294372295</v>
      </c>
      <c r="CD125" s="73">
        <f t="shared" si="109"/>
        <v>27.705627705627705</v>
      </c>
      <c r="CE125" s="73">
        <f t="shared" si="129"/>
        <v>27.705627705627705</v>
      </c>
      <c r="CF125" s="73">
        <f t="shared" si="129"/>
        <v>27.705627705627705</v>
      </c>
      <c r="CG125" s="265">
        <f t="shared" si="129"/>
        <v>27.705627705627705</v>
      </c>
    </row>
    <row r="126" spans="2:85" ht="15" customHeight="1" x14ac:dyDescent="0.3">
      <c r="B126" s="408">
        <v>31</v>
      </c>
      <c r="C126" s="411" t="s">
        <v>410</v>
      </c>
      <c r="D126" s="76" t="s">
        <v>802</v>
      </c>
      <c r="E126" s="77">
        <v>10</v>
      </c>
      <c r="F126" s="77">
        <v>10</v>
      </c>
      <c r="G126" s="78">
        <v>10</v>
      </c>
      <c r="H126" s="77">
        <f t="shared" si="99"/>
        <v>30</v>
      </c>
      <c r="I126" s="79">
        <v>10</v>
      </c>
      <c r="J126" s="79">
        <v>10</v>
      </c>
      <c r="K126" s="78">
        <v>10</v>
      </c>
      <c r="L126" s="79">
        <v>4</v>
      </c>
      <c r="M126" s="79">
        <v>5</v>
      </c>
      <c r="N126" s="78">
        <v>6</v>
      </c>
      <c r="O126" s="79">
        <v>2</v>
      </c>
      <c r="P126" s="79">
        <v>3</v>
      </c>
      <c r="Q126" s="78">
        <v>1</v>
      </c>
      <c r="R126" s="79">
        <v>0</v>
      </c>
      <c r="S126" s="79">
        <v>1</v>
      </c>
      <c r="T126" s="78">
        <v>1</v>
      </c>
      <c r="U126" s="79">
        <v>0</v>
      </c>
      <c r="V126" s="79">
        <v>0</v>
      </c>
      <c r="W126" s="78">
        <v>0</v>
      </c>
      <c r="X126" s="79">
        <v>0</v>
      </c>
      <c r="Y126" s="79">
        <v>0</v>
      </c>
      <c r="Z126" s="78">
        <v>0</v>
      </c>
      <c r="AA126" s="79">
        <v>0</v>
      </c>
      <c r="AB126" s="79">
        <v>0</v>
      </c>
      <c r="AC126" s="78">
        <v>0</v>
      </c>
      <c r="AD126" s="77">
        <f t="shared" ref="AD126:AD189" si="130">100/E126*E126</f>
        <v>100</v>
      </c>
      <c r="AE126" s="77">
        <f t="shared" ref="AE126:AE189" si="131">100/F126*F126</f>
        <v>100</v>
      </c>
      <c r="AF126" s="78">
        <f t="shared" ref="AF126:AF189" si="132">100/G126*G126</f>
        <v>100</v>
      </c>
      <c r="AG126" s="77">
        <f t="shared" ref="AG126:AG189" si="133">100/E126*I126</f>
        <v>100</v>
      </c>
      <c r="AH126" s="77">
        <f t="shared" ref="AH126:AH189" si="134">100/F126*J126</f>
        <v>100</v>
      </c>
      <c r="AI126" s="78">
        <f t="shared" ref="AI126:AI189" si="135">100/G126*K126</f>
        <v>100</v>
      </c>
      <c r="AJ126" s="77">
        <f t="shared" ref="AJ126:AJ189" si="136">100/E126*L126</f>
        <v>40</v>
      </c>
      <c r="AK126" s="77">
        <f t="shared" ref="AK126:AK189" si="137">100/F126*M126</f>
        <v>50</v>
      </c>
      <c r="AL126" s="78">
        <f t="shared" ref="AL126:AL189" si="138">100/G126*N126</f>
        <v>60</v>
      </c>
      <c r="AM126" s="77">
        <f t="shared" ref="AM126:AM189" si="139">100/E126*O126</f>
        <v>20</v>
      </c>
      <c r="AN126" s="77">
        <f t="shared" ref="AN126:AN189" si="140">100/F126*P126</f>
        <v>30</v>
      </c>
      <c r="AO126" s="78">
        <f t="shared" ref="AO126:AO189" si="141">100/G126*Q126</f>
        <v>10</v>
      </c>
      <c r="AP126" s="77">
        <f t="shared" ref="AP126:AP189" si="142">100/E126*R126</f>
        <v>0</v>
      </c>
      <c r="AQ126" s="77">
        <f t="shared" ref="AQ126:AQ189" si="143">100/F126*S126</f>
        <v>10</v>
      </c>
      <c r="AR126" s="78">
        <f t="shared" ref="AR126:AR189" si="144">100/G126*T126</f>
        <v>10</v>
      </c>
      <c r="AS126" s="77">
        <f t="shared" ref="AS126:AS189" si="145">100/E126*U126</f>
        <v>0</v>
      </c>
      <c r="AT126" s="77">
        <f t="shared" ref="AT126:AT189" si="146">100/F126*V126</f>
        <v>0</v>
      </c>
      <c r="AU126" s="78">
        <f t="shared" ref="AU126:AU189" si="147">100/G126*W126</f>
        <v>0</v>
      </c>
      <c r="AV126" s="77">
        <f t="shared" ref="AV126:AV189" si="148">100/E126*X126</f>
        <v>0</v>
      </c>
      <c r="AW126" s="77">
        <f t="shared" ref="AW126:AW189" si="149">100/F126*Y126</f>
        <v>0</v>
      </c>
      <c r="AX126" s="78">
        <f t="shared" ref="AX126:AX189" si="150">100/G126*Z126</f>
        <v>0</v>
      </c>
      <c r="AY126" s="77">
        <f t="shared" ref="AY126:AY189" si="151">100/E126*AA126</f>
        <v>0</v>
      </c>
      <c r="AZ126" s="77">
        <f t="shared" ref="AZ126:AZ189" si="152">100/F126*AB126</f>
        <v>0</v>
      </c>
      <c r="BA126" s="78">
        <f t="shared" ref="BA126:BA189" si="153">100/G126*AC126</f>
        <v>0</v>
      </c>
      <c r="BB126" s="80">
        <f t="shared" ref="BB126:BB189" si="154">STDEV(AD126:AF126)</f>
        <v>0</v>
      </c>
      <c r="BC126" s="77">
        <f t="shared" ref="BC126:BC189" si="155">STDEV(AG126:AI126)</f>
        <v>0</v>
      </c>
      <c r="BD126" s="77">
        <f t="shared" ref="BD126:BD189" si="156">STDEV(AJ126:AL126)</f>
        <v>10</v>
      </c>
      <c r="BE126" s="77">
        <f t="shared" ref="BE126:BE189" si="157">STDEV(AM126:AO126)</f>
        <v>10</v>
      </c>
      <c r="BF126" s="77">
        <f t="shared" ref="BF126:BF189" si="158">STDEV(AP126:AR126)</f>
        <v>5.7735026918962573</v>
      </c>
      <c r="BG126" s="77">
        <f t="shared" ref="BG126:BG189" si="159">STDEV(AS126:AU126)</f>
        <v>0</v>
      </c>
      <c r="BH126" s="77">
        <f t="shared" ref="BH126:BH189" si="160">STDEV(AV126:AX126)</f>
        <v>0</v>
      </c>
      <c r="BI126" s="77">
        <f t="shared" ref="BI126:BI189" si="161">STDEV(AY126:BA126)</f>
        <v>0</v>
      </c>
      <c r="BJ126" s="80">
        <f t="shared" si="100"/>
        <v>0</v>
      </c>
      <c r="BK126" s="77">
        <f t="shared" si="101"/>
        <v>0</v>
      </c>
      <c r="BL126" s="77">
        <f t="shared" si="102"/>
        <v>1.8257418583505538</v>
      </c>
      <c r="BM126" s="77">
        <f t="shared" si="103"/>
        <v>1.8257418583505538</v>
      </c>
      <c r="BN126" s="77">
        <f t="shared" si="104"/>
        <v>1.0540925533894596</v>
      </c>
      <c r="BO126" s="77">
        <f t="shared" si="105"/>
        <v>0</v>
      </c>
      <c r="BP126" s="77">
        <f t="shared" si="106"/>
        <v>0</v>
      </c>
      <c r="BQ126" s="92">
        <f t="shared" si="107"/>
        <v>0</v>
      </c>
      <c r="BR126" s="81">
        <f t="shared" ref="BR126:BR189" si="162">AVERAGE(AD126:AF126)</f>
        <v>100</v>
      </c>
      <c r="BS126" s="79">
        <f t="shared" ref="BS126:BS189" si="163">AVERAGE(AG126:AI126)</f>
        <v>100</v>
      </c>
      <c r="BT126" s="79">
        <f t="shared" ref="BT126:BT189" si="164">AVERAGE(AJ126:AL126)</f>
        <v>50</v>
      </c>
      <c r="BU126" s="79">
        <f t="shared" ref="BU126:BU189" si="165">AVERAGE(AM126:AO126)</f>
        <v>20</v>
      </c>
      <c r="BV126" s="79">
        <f t="shared" si="125"/>
        <v>6.666666666666667</v>
      </c>
      <c r="BW126" s="79">
        <f t="shared" si="126"/>
        <v>0</v>
      </c>
      <c r="BX126" s="79">
        <f t="shared" si="127"/>
        <v>0</v>
      </c>
      <c r="BY126" s="79">
        <f t="shared" si="128"/>
        <v>0</v>
      </c>
      <c r="BZ126" s="81">
        <f t="shared" si="109"/>
        <v>0</v>
      </c>
      <c r="CA126" s="79">
        <f t="shared" si="109"/>
        <v>0</v>
      </c>
      <c r="CB126" s="79">
        <f t="shared" si="109"/>
        <v>50</v>
      </c>
      <c r="CC126" s="79">
        <f t="shared" si="109"/>
        <v>80</v>
      </c>
      <c r="CD126" s="79">
        <f t="shared" si="109"/>
        <v>93.333333333333329</v>
      </c>
      <c r="CE126" s="79">
        <f t="shared" si="129"/>
        <v>100</v>
      </c>
      <c r="CF126" s="79">
        <f t="shared" si="129"/>
        <v>100</v>
      </c>
      <c r="CG126" s="264">
        <f t="shared" si="129"/>
        <v>100</v>
      </c>
    </row>
    <row r="127" spans="2:85" x14ac:dyDescent="0.3">
      <c r="B127" s="409"/>
      <c r="C127" s="412"/>
      <c r="D127" s="70" t="s">
        <v>803</v>
      </c>
      <c r="E127" s="65">
        <v>12</v>
      </c>
      <c r="F127" s="65">
        <v>12</v>
      </c>
      <c r="G127" s="66">
        <v>12</v>
      </c>
      <c r="H127" s="65">
        <f t="shared" ref="H127:H190" si="166">SUM(E127:G127)</f>
        <v>36</v>
      </c>
      <c r="I127" s="67">
        <v>10</v>
      </c>
      <c r="J127" s="67">
        <v>9</v>
      </c>
      <c r="K127" s="66">
        <v>10</v>
      </c>
      <c r="L127" s="67">
        <v>4</v>
      </c>
      <c r="M127" s="67">
        <v>3</v>
      </c>
      <c r="N127" s="66">
        <v>7</v>
      </c>
      <c r="O127" s="67">
        <v>3</v>
      </c>
      <c r="P127" s="67">
        <v>3</v>
      </c>
      <c r="Q127" s="66">
        <v>3</v>
      </c>
      <c r="R127" s="67">
        <v>3</v>
      </c>
      <c r="S127" s="67">
        <v>2</v>
      </c>
      <c r="T127" s="66">
        <v>3</v>
      </c>
      <c r="U127" s="67">
        <v>0</v>
      </c>
      <c r="V127" s="67">
        <v>0</v>
      </c>
      <c r="W127" s="66">
        <v>0</v>
      </c>
      <c r="X127" s="67">
        <v>0</v>
      </c>
      <c r="Y127" s="67">
        <v>0</v>
      </c>
      <c r="Z127" s="66">
        <v>0</v>
      </c>
      <c r="AA127" s="67">
        <v>0</v>
      </c>
      <c r="AB127" s="67">
        <v>0</v>
      </c>
      <c r="AC127" s="66">
        <v>0</v>
      </c>
      <c r="AD127" s="65">
        <f t="shared" si="130"/>
        <v>100</v>
      </c>
      <c r="AE127" s="65">
        <f t="shared" si="131"/>
        <v>100</v>
      </c>
      <c r="AF127" s="66">
        <f t="shared" si="132"/>
        <v>100</v>
      </c>
      <c r="AG127" s="65">
        <f t="shared" si="133"/>
        <v>83.333333333333343</v>
      </c>
      <c r="AH127" s="65">
        <f t="shared" si="134"/>
        <v>75</v>
      </c>
      <c r="AI127" s="66">
        <f t="shared" si="135"/>
        <v>83.333333333333343</v>
      </c>
      <c r="AJ127" s="65">
        <f t="shared" si="136"/>
        <v>33.333333333333336</v>
      </c>
      <c r="AK127" s="65">
        <f t="shared" si="137"/>
        <v>25</v>
      </c>
      <c r="AL127" s="66">
        <f t="shared" si="138"/>
        <v>58.333333333333336</v>
      </c>
      <c r="AM127" s="65">
        <f t="shared" si="139"/>
        <v>25</v>
      </c>
      <c r="AN127" s="65">
        <f t="shared" si="140"/>
        <v>25</v>
      </c>
      <c r="AO127" s="66">
        <f t="shared" si="141"/>
        <v>25</v>
      </c>
      <c r="AP127" s="65">
        <f t="shared" si="142"/>
        <v>25</v>
      </c>
      <c r="AQ127" s="65">
        <f t="shared" si="143"/>
        <v>16.666666666666668</v>
      </c>
      <c r="AR127" s="66">
        <f t="shared" si="144"/>
        <v>25</v>
      </c>
      <c r="AS127" s="65">
        <f t="shared" si="145"/>
        <v>0</v>
      </c>
      <c r="AT127" s="65">
        <f t="shared" si="146"/>
        <v>0</v>
      </c>
      <c r="AU127" s="66">
        <f t="shared" si="147"/>
        <v>0</v>
      </c>
      <c r="AV127" s="65">
        <f t="shared" si="148"/>
        <v>0</v>
      </c>
      <c r="AW127" s="65">
        <f t="shared" si="149"/>
        <v>0</v>
      </c>
      <c r="AX127" s="66">
        <f t="shared" si="150"/>
        <v>0</v>
      </c>
      <c r="AY127" s="65">
        <f t="shared" si="151"/>
        <v>0</v>
      </c>
      <c r="AZ127" s="65">
        <f t="shared" si="152"/>
        <v>0</v>
      </c>
      <c r="BA127" s="66">
        <f t="shared" si="153"/>
        <v>0</v>
      </c>
      <c r="BB127" s="68">
        <f t="shared" si="154"/>
        <v>0</v>
      </c>
      <c r="BC127" s="65">
        <f t="shared" si="155"/>
        <v>4.8112522432468872</v>
      </c>
      <c r="BD127" s="65">
        <f t="shared" si="156"/>
        <v>17.347216662217765</v>
      </c>
      <c r="BE127" s="65">
        <f t="shared" si="157"/>
        <v>0</v>
      </c>
      <c r="BF127" s="65">
        <f t="shared" si="158"/>
        <v>4.8112522432468703</v>
      </c>
      <c r="BG127" s="65">
        <f t="shared" si="159"/>
        <v>0</v>
      </c>
      <c r="BH127" s="65">
        <f t="shared" si="160"/>
        <v>0</v>
      </c>
      <c r="BI127" s="65">
        <f t="shared" si="161"/>
        <v>0</v>
      </c>
      <c r="BJ127" s="68">
        <f t="shared" ref="BJ127:BJ190" si="167">BB127/SQRT($H127)</f>
        <v>0</v>
      </c>
      <c r="BK127" s="65">
        <f t="shared" ref="BK127:BK190" si="168">BC127/SQRT($H127)</f>
        <v>0.80187537387448116</v>
      </c>
      <c r="BL127" s="65">
        <f t="shared" ref="BL127:BL190" si="169">BD127/SQRT($H127)</f>
        <v>2.8912027770362942</v>
      </c>
      <c r="BM127" s="65">
        <f t="shared" ref="BM127:BM190" si="170">BE127/SQRT($H127)</f>
        <v>0</v>
      </c>
      <c r="BN127" s="65">
        <f t="shared" ref="BN127:BN190" si="171">BF127/SQRT($H127)</f>
        <v>0.80187537387447838</v>
      </c>
      <c r="BO127" s="65">
        <f t="shared" ref="BO127:BO190" si="172">BG127/SQRT($H127)</f>
        <v>0</v>
      </c>
      <c r="BP127" s="65">
        <f t="shared" ref="BP127:BP190" si="173">BH127/SQRT($H127)</f>
        <v>0</v>
      </c>
      <c r="BQ127" s="90">
        <f t="shared" ref="BQ127:BQ190" si="174">BI127/SQRT($H127)</f>
        <v>0</v>
      </c>
      <c r="BR127" s="69">
        <f t="shared" si="162"/>
        <v>100</v>
      </c>
      <c r="BS127" s="67">
        <f t="shared" si="163"/>
        <v>80.555555555555557</v>
      </c>
      <c r="BT127" s="67">
        <f t="shared" si="164"/>
        <v>38.888888888888893</v>
      </c>
      <c r="BU127" s="67">
        <f t="shared" si="165"/>
        <v>25</v>
      </c>
      <c r="BV127" s="67">
        <f t="shared" si="125"/>
        <v>22.222222222222225</v>
      </c>
      <c r="BW127" s="67">
        <f t="shared" si="126"/>
        <v>0</v>
      </c>
      <c r="BX127" s="67">
        <f t="shared" si="127"/>
        <v>0</v>
      </c>
      <c r="BY127" s="67">
        <f t="shared" si="128"/>
        <v>0</v>
      </c>
      <c r="BZ127" s="69">
        <f t="shared" si="109"/>
        <v>0</v>
      </c>
      <c r="CA127" s="67">
        <f t="shared" si="109"/>
        <v>19.444444444444443</v>
      </c>
      <c r="CB127" s="67">
        <f t="shared" si="109"/>
        <v>61.111111111111107</v>
      </c>
      <c r="CC127" s="67">
        <f t="shared" si="109"/>
        <v>75</v>
      </c>
      <c r="CD127" s="67">
        <f t="shared" si="109"/>
        <v>77.777777777777771</v>
      </c>
      <c r="CE127" s="67">
        <f t="shared" si="129"/>
        <v>100</v>
      </c>
      <c r="CF127" s="67">
        <f t="shared" si="129"/>
        <v>100</v>
      </c>
      <c r="CG127" s="116">
        <f t="shared" si="129"/>
        <v>100</v>
      </c>
    </row>
    <row r="128" spans="2:85" x14ac:dyDescent="0.3">
      <c r="B128" s="409"/>
      <c r="C128" s="412"/>
      <c r="D128" s="70" t="s">
        <v>804</v>
      </c>
      <c r="E128" s="65">
        <v>12</v>
      </c>
      <c r="F128" s="65">
        <v>12</v>
      </c>
      <c r="G128" s="66">
        <v>12</v>
      </c>
      <c r="H128" s="65">
        <f t="shared" si="166"/>
        <v>36</v>
      </c>
      <c r="I128" s="67">
        <v>11</v>
      </c>
      <c r="J128" s="67">
        <v>9</v>
      </c>
      <c r="K128" s="66">
        <v>9</v>
      </c>
      <c r="L128" s="67">
        <v>6</v>
      </c>
      <c r="M128" s="67">
        <v>4</v>
      </c>
      <c r="N128" s="66">
        <v>6</v>
      </c>
      <c r="O128" s="67">
        <v>4</v>
      </c>
      <c r="P128" s="67">
        <v>3</v>
      </c>
      <c r="Q128" s="66">
        <v>3</v>
      </c>
      <c r="R128" s="67">
        <v>4</v>
      </c>
      <c r="S128" s="67">
        <v>4</v>
      </c>
      <c r="T128" s="66">
        <v>3</v>
      </c>
      <c r="U128" s="67">
        <v>3</v>
      </c>
      <c r="V128" s="67">
        <v>2</v>
      </c>
      <c r="W128" s="66">
        <v>2</v>
      </c>
      <c r="X128" s="67">
        <v>2</v>
      </c>
      <c r="Y128" s="67">
        <v>2</v>
      </c>
      <c r="Z128" s="66">
        <v>2</v>
      </c>
      <c r="AA128" s="67">
        <v>2</v>
      </c>
      <c r="AB128" s="67">
        <v>2</v>
      </c>
      <c r="AC128" s="66">
        <v>2</v>
      </c>
      <c r="AD128" s="65">
        <f t="shared" si="130"/>
        <v>100</v>
      </c>
      <c r="AE128" s="65">
        <f t="shared" si="131"/>
        <v>100</v>
      </c>
      <c r="AF128" s="66">
        <f t="shared" si="132"/>
        <v>100</v>
      </c>
      <c r="AG128" s="65">
        <f t="shared" si="133"/>
        <v>91.666666666666671</v>
      </c>
      <c r="AH128" s="65">
        <f t="shared" si="134"/>
        <v>75</v>
      </c>
      <c r="AI128" s="66">
        <f t="shared" si="135"/>
        <v>75</v>
      </c>
      <c r="AJ128" s="65">
        <f t="shared" si="136"/>
        <v>50</v>
      </c>
      <c r="AK128" s="65">
        <f t="shared" si="137"/>
        <v>33.333333333333336</v>
      </c>
      <c r="AL128" s="66">
        <f t="shared" si="138"/>
        <v>50</v>
      </c>
      <c r="AM128" s="65">
        <f t="shared" si="139"/>
        <v>33.333333333333336</v>
      </c>
      <c r="AN128" s="65">
        <f t="shared" si="140"/>
        <v>25</v>
      </c>
      <c r="AO128" s="66">
        <f t="shared" si="141"/>
        <v>25</v>
      </c>
      <c r="AP128" s="65">
        <f t="shared" si="142"/>
        <v>33.333333333333336</v>
      </c>
      <c r="AQ128" s="65">
        <f t="shared" si="143"/>
        <v>33.333333333333336</v>
      </c>
      <c r="AR128" s="66">
        <f t="shared" si="144"/>
        <v>25</v>
      </c>
      <c r="AS128" s="65">
        <f t="shared" si="145"/>
        <v>25</v>
      </c>
      <c r="AT128" s="65">
        <f t="shared" si="146"/>
        <v>16.666666666666668</v>
      </c>
      <c r="AU128" s="66">
        <f t="shared" si="147"/>
        <v>16.666666666666668</v>
      </c>
      <c r="AV128" s="65">
        <f t="shared" si="148"/>
        <v>16.666666666666668</v>
      </c>
      <c r="AW128" s="65">
        <f t="shared" si="149"/>
        <v>16.666666666666668</v>
      </c>
      <c r="AX128" s="66">
        <f t="shared" si="150"/>
        <v>16.666666666666668</v>
      </c>
      <c r="AY128" s="65">
        <f t="shared" si="151"/>
        <v>16.666666666666668</v>
      </c>
      <c r="AZ128" s="65">
        <f t="shared" si="152"/>
        <v>16.666666666666668</v>
      </c>
      <c r="BA128" s="66">
        <f t="shared" si="153"/>
        <v>16.666666666666668</v>
      </c>
      <c r="BB128" s="68">
        <f t="shared" si="154"/>
        <v>0</v>
      </c>
      <c r="BC128" s="65">
        <f t="shared" si="155"/>
        <v>9.6225044864937654</v>
      </c>
      <c r="BD128" s="65">
        <f t="shared" si="156"/>
        <v>9.6225044864937406</v>
      </c>
      <c r="BE128" s="65">
        <f t="shared" si="157"/>
        <v>4.8112522432468703</v>
      </c>
      <c r="BF128" s="65">
        <f t="shared" si="158"/>
        <v>4.8112522432468703</v>
      </c>
      <c r="BG128" s="65">
        <f t="shared" si="159"/>
        <v>4.8112522432468703</v>
      </c>
      <c r="BH128" s="65">
        <f t="shared" si="160"/>
        <v>0</v>
      </c>
      <c r="BI128" s="65">
        <f t="shared" si="161"/>
        <v>0</v>
      </c>
      <c r="BJ128" s="68">
        <f t="shared" si="167"/>
        <v>0</v>
      </c>
      <c r="BK128" s="65">
        <f t="shared" si="168"/>
        <v>1.603750747748961</v>
      </c>
      <c r="BL128" s="65">
        <f t="shared" si="169"/>
        <v>1.6037507477489568</v>
      </c>
      <c r="BM128" s="65">
        <f t="shared" si="170"/>
        <v>0.80187537387447838</v>
      </c>
      <c r="BN128" s="65">
        <f t="shared" si="171"/>
        <v>0.80187537387447838</v>
      </c>
      <c r="BO128" s="65">
        <f t="shared" si="172"/>
        <v>0.80187537387447838</v>
      </c>
      <c r="BP128" s="65">
        <f t="shared" si="173"/>
        <v>0</v>
      </c>
      <c r="BQ128" s="90">
        <f t="shared" si="174"/>
        <v>0</v>
      </c>
      <c r="BR128" s="69">
        <f t="shared" si="162"/>
        <v>100</v>
      </c>
      <c r="BS128" s="67">
        <f t="shared" si="163"/>
        <v>80.555555555555557</v>
      </c>
      <c r="BT128" s="67">
        <f t="shared" si="164"/>
        <v>44.44444444444445</v>
      </c>
      <c r="BU128" s="67">
        <f t="shared" si="165"/>
        <v>27.777777777777782</v>
      </c>
      <c r="BV128" s="67">
        <f t="shared" si="125"/>
        <v>30.555555555555557</v>
      </c>
      <c r="BW128" s="67">
        <f t="shared" si="126"/>
        <v>19.444444444444446</v>
      </c>
      <c r="BX128" s="67">
        <f t="shared" si="127"/>
        <v>16.666666666666668</v>
      </c>
      <c r="BY128" s="67">
        <f t="shared" si="128"/>
        <v>16.666666666666668</v>
      </c>
      <c r="BZ128" s="69">
        <f t="shared" si="109"/>
        <v>0</v>
      </c>
      <c r="CA128" s="67">
        <f t="shared" si="109"/>
        <v>19.444444444444443</v>
      </c>
      <c r="CB128" s="67">
        <f t="shared" si="109"/>
        <v>55.55555555555555</v>
      </c>
      <c r="CC128" s="67">
        <f t="shared" si="109"/>
        <v>72.222222222222214</v>
      </c>
      <c r="CD128" s="67">
        <f t="shared" si="109"/>
        <v>69.444444444444443</v>
      </c>
      <c r="CE128" s="67">
        <f t="shared" si="129"/>
        <v>80.555555555555557</v>
      </c>
      <c r="CF128" s="67">
        <f t="shared" si="129"/>
        <v>83.333333333333329</v>
      </c>
      <c r="CG128" s="116">
        <f t="shared" si="129"/>
        <v>83.333333333333329</v>
      </c>
    </row>
    <row r="129" spans="2:85" x14ac:dyDescent="0.3">
      <c r="B129" s="410"/>
      <c r="C129" s="413"/>
      <c r="D129" s="70" t="s">
        <v>805</v>
      </c>
      <c r="E129" s="71">
        <v>12</v>
      </c>
      <c r="F129" s="71">
        <v>12</v>
      </c>
      <c r="G129" s="72">
        <v>12</v>
      </c>
      <c r="H129" s="71">
        <f t="shared" si="166"/>
        <v>36</v>
      </c>
      <c r="I129" s="73">
        <v>10</v>
      </c>
      <c r="J129" s="73">
        <v>10</v>
      </c>
      <c r="K129" s="72">
        <v>10</v>
      </c>
      <c r="L129" s="73">
        <v>4</v>
      </c>
      <c r="M129" s="73">
        <v>6</v>
      </c>
      <c r="N129" s="72">
        <v>5</v>
      </c>
      <c r="O129" s="73">
        <v>3</v>
      </c>
      <c r="P129" s="73">
        <v>4</v>
      </c>
      <c r="Q129" s="72">
        <v>4</v>
      </c>
      <c r="R129" s="73">
        <v>3</v>
      </c>
      <c r="S129" s="73">
        <v>4</v>
      </c>
      <c r="T129" s="72">
        <v>4</v>
      </c>
      <c r="U129" s="73">
        <v>2</v>
      </c>
      <c r="V129" s="73">
        <v>4</v>
      </c>
      <c r="W129" s="72">
        <v>3</v>
      </c>
      <c r="X129" s="73">
        <v>2</v>
      </c>
      <c r="Y129" s="73">
        <v>4</v>
      </c>
      <c r="Z129" s="72">
        <v>3</v>
      </c>
      <c r="AA129" s="73">
        <v>2</v>
      </c>
      <c r="AB129" s="73">
        <v>3</v>
      </c>
      <c r="AC129" s="72">
        <v>3</v>
      </c>
      <c r="AD129" s="71">
        <f t="shared" si="130"/>
        <v>100</v>
      </c>
      <c r="AE129" s="71">
        <f t="shared" si="131"/>
        <v>100</v>
      </c>
      <c r="AF129" s="72">
        <f t="shared" si="132"/>
        <v>100</v>
      </c>
      <c r="AG129" s="71">
        <f t="shared" si="133"/>
        <v>83.333333333333343</v>
      </c>
      <c r="AH129" s="71">
        <f t="shared" si="134"/>
        <v>83.333333333333343</v>
      </c>
      <c r="AI129" s="72">
        <f t="shared" si="135"/>
        <v>83.333333333333343</v>
      </c>
      <c r="AJ129" s="71">
        <f t="shared" si="136"/>
        <v>33.333333333333336</v>
      </c>
      <c r="AK129" s="71">
        <f t="shared" si="137"/>
        <v>50</v>
      </c>
      <c r="AL129" s="72">
        <f t="shared" si="138"/>
        <v>41.666666666666671</v>
      </c>
      <c r="AM129" s="71">
        <f t="shared" si="139"/>
        <v>25</v>
      </c>
      <c r="AN129" s="71">
        <f t="shared" si="140"/>
        <v>33.333333333333336</v>
      </c>
      <c r="AO129" s="72">
        <f t="shared" si="141"/>
        <v>33.333333333333336</v>
      </c>
      <c r="AP129" s="71">
        <f t="shared" si="142"/>
        <v>25</v>
      </c>
      <c r="AQ129" s="71">
        <f t="shared" si="143"/>
        <v>33.333333333333336</v>
      </c>
      <c r="AR129" s="72">
        <f t="shared" si="144"/>
        <v>33.333333333333336</v>
      </c>
      <c r="AS129" s="71">
        <f t="shared" si="145"/>
        <v>16.666666666666668</v>
      </c>
      <c r="AT129" s="71">
        <f t="shared" si="146"/>
        <v>33.333333333333336</v>
      </c>
      <c r="AU129" s="72">
        <f t="shared" si="147"/>
        <v>25</v>
      </c>
      <c r="AV129" s="71">
        <f t="shared" si="148"/>
        <v>16.666666666666668</v>
      </c>
      <c r="AW129" s="71">
        <f t="shared" si="149"/>
        <v>33.333333333333336</v>
      </c>
      <c r="AX129" s="72">
        <f t="shared" si="150"/>
        <v>25</v>
      </c>
      <c r="AY129" s="71">
        <f t="shared" si="151"/>
        <v>16.666666666666668</v>
      </c>
      <c r="AZ129" s="71">
        <f t="shared" si="152"/>
        <v>25</v>
      </c>
      <c r="BA129" s="72">
        <f t="shared" si="153"/>
        <v>25</v>
      </c>
      <c r="BB129" s="74">
        <f t="shared" si="154"/>
        <v>0</v>
      </c>
      <c r="BC129" s="71">
        <f t="shared" si="155"/>
        <v>0</v>
      </c>
      <c r="BD129" s="71">
        <f t="shared" si="156"/>
        <v>8.3333333333333002</v>
      </c>
      <c r="BE129" s="71">
        <f t="shared" si="157"/>
        <v>4.8112522432468703</v>
      </c>
      <c r="BF129" s="71">
        <f t="shared" si="158"/>
        <v>4.8112522432468703</v>
      </c>
      <c r="BG129" s="71">
        <f t="shared" si="159"/>
        <v>8.333333333333341</v>
      </c>
      <c r="BH129" s="71">
        <f t="shared" si="160"/>
        <v>8.333333333333341</v>
      </c>
      <c r="BI129" s="71">
        <f t="shared" si="161"/>
        <v>4.8112522432468703</v>
      </c>
      <c r="BJ129" s="74">
        <f t="shared" si="167"/>
        <v>0</v>
      </c>
      <c r="BK129" s="71">
        <f t="shared" si="168"/>
        <v>0</v>
      </c>
      <c r="BL129" s="71">
        <f t="shared" si="169"/>
        <v>1.3888888888888833</v>
      </c>
      <c r="BM129" s="71">
        <f t="shared" si="170"/>
        <v>0.80187537387447838</v>
      </c>
      <c r="BN129" s="71">
        <f t="shared" si="171"/>
        <v>0.80187537387447838</v>
      </c>
      <c r="BO129" s="71">
        <f t="shared" si="172"/>
        <v>1.3888888888888902</v>
      </c>
      <c r="BP129" s="71">
        <f t="shared" si="173"/>
        <v>1.3888888888888902</v>
      </c>
      <c r="BQ129" s="91">
        <f t="shared" si="174"/>
        <v>0.80187537387447838</v>
      </c>
      <c r="BR129" s="75">
        <f t="shared" si="162"/>
        <v>100</v>
      </c>
      <c r="BS129" s="73">
        <f t="shared" si="163"/>
        <v>83.333333333333343</v>
      </c>
      <c r="BT129" s="73">
        <f t="shared" si="164"/>
        <v>41.666666666666671</v>
      </c>
      <c r="BU129" s="73">
        <f t="shared" si="165"/>
        <v>30.555555555555557</v>
      </c>
      <c r="BV129" s="73">
        <f t="shared" si="125"/>
        <v>30.555555555555557</v>
      </c>
      <c r="BW129" s="73">
        <f t="shared" si="126"/>
        <v>25</v>
      </c>
      <c r="BX129" s="73">
        <f t="shared" si="127"/>
        <v>25</v>
      </c>
      <c r="BY129" s="73">
        <f t="shared" si="128"/>
        <v>25</v>
      </c>
      <c r="BZ129" s="75">
        <f t="shared" si="109"/>
        <v>0</v>
      </c>
      <c r="CA129" s="73">
        <f t="shared" si="109"/>
        <v>16.666666666666657</v>
      </c>
      <c r="CB129" s="73">
        <f t="shared" si="109"/>
        <v>58.333333333333329</v>
      </c>
      <c r="CC129" s="73">
        <f t="shared" si="109"/>
        <v>69.444444444444443</v>
      </c>
      <c r="CD129" s="73">
        <f t="shared" si="109"/>
        <v>69.444444444444443</v>
      </c>
      <c r="CE129" s="73">
        <f t="shared" si="129"/>
        <v>75</v>
      </c>
      <c r="CF129" s="73">
        <f t="shared" si="129"/>
        <v>75</v>
      </c>
      <c r="CG129" s="265">
        <f t="shared" si="129"/>
        <v>75</v>
      </c>
    </row>
    <row r="130" spans="2:85" ht="15" customHeight="1" x14ac:dyDescent="0.3">
      <c r="B130" s="408">
        <v>32</v>
      </c>
      <c r="C130" s="411" t="s">
        <v>425</v>
      </c>
      <c r="D130" s="76" t="s">
        <v>802</v>
      </c>
      <c r="E130" s="77">
        <v>12</v>
      </c>
      <c r="F130" s="77">
        <v>12</v>
      </c>
      <c r="G130" s="78">
        <v>12</v>
      </c>
      <c r="H130" s="77">
        <f t="shared" si="166"/>
        <v>36</v>
      </c>
      <c r="I130" s="79">
        <v>9</v>
      </c>
      <c r="J130" s="79">
        <v>8</v>
      </c>
      <c r="K130" s="78">
        <v>10</v>
      </c>
      <c r="L130" s="79">
        <v>8</v>
      </c>
      <c r="M130" s="79">
        <v>8</v>
      </c>
      <c r="N130" s="78">
        <v>10</v>
      </c>
      <c r="O130" s="79">
        <v>6</v>
      </c>
      <c r="P130" s="79">
        <v>5</v>
      </c>
      <c r="Q130" s="78">
        <v>7</v>
      </c>
      <c r="R130" s="79">
        <v>5</v>
      </c>
      <c r="S130" s="79">
        <v>3</v>
      </c>
      <c r="T130" s="78">
        <v>5</v>
      </c>
      <c r="U130" s="79">
        <v>0</v>
      </c>
      <c r="V130" s="79">
        <v>0</v>
      </c>
      <c r="W130" s="78">
        <v>0</v>
      </c>
      <c r="X130" s="79">
        <v>0</v>
      </c>
      <c r="Y130" s="79">
        <v>0</v>
      </c>
      <c r="Z130" s="78">
        <v>0</v>
      </c>
      <c r="AA130" s="79">
        <v>0</v>
      </c>
      <c r="AB130" s="79">
        <v>0</v>
      </c>
      <c r="AC130" s="78">
        <v>0</v>
      </c>
      <c r="AD130" s="77">
        <f t="shared" si="130"/>
        <v>100</v>
      </c>
      <c r="AE130" s="77">
        <f t="shared" si="131"/>
        <v>100</v>
      </c>
      <c r="AF130" s="78">
        <f t="shared" si="132"/>
        <v>100</v>
      </c>
      <c r="AG130" s="77">
        <f t="shared" si="133"/>
        <v>75</v>
      </c>
      <c r="AH130" s="77">
        <f t="shared" si="134"/>
        <v>66.666666666666671</v>
      </c>
      <c r="AI130" s="78">
        <f t="shared" si="135"/>
        <v>83.333333333333343</v>
      </c>
      <c r="AJ130" s="77">
        <f t="shared" si="136"/>
        <v>66.666666666666671</v>
      </c>
      <c r="AK130" s="77">
        <f t="shared" si="137"/>
        <v>66.666666666666671</v>
      </c>
      <c r="AL130" s="78">
        <f t="shared" si="138"/>
        <v>83.333333333333343</v>
      </c>
      <c r="AM130" s="77">
        <f t="shared" si="139"/>
        <v>50</v>
      </c>
      <c r="AN130" s="77">
        <f t="shared" si="140"/>
        <v>41.666666666666671</v>
      </c>
      <c r="AO130" s="78">
        <f t="shared" si="141"/>
        <v>58.333333333333336</v>
      </c>
      <c r="AP130" s="77">
        <f t="shared" si="142"/>
        <v>41.666666666666671</v>
      </c>
      <c r="AQ130" s="77">
        <f t="shared" si="143"/>
        <v>25</v>
      </c>
      <c r="AR130" s="78">
        <f t="shared" si="144"/>
        <v>41.666666666666671</v>
      </c>
      <c r="AS130" s="77">
        <f t="shared" si="145"/>
        <v>0</v>
      </c>
      <c r="AT130" s="77">
        <f t="shared" si="146"/>
        <v>0</v>
      </c>
      <c r="AU130" s="78">
        <f t="shared" si="147"/>
        <v>0</v>
      </c>
      <c r="AV130" s="77">
        <f t="shared" si="148"/>
        <v>0</v>
      </c>
      <c r="AW130" s="77">
        <f t="shared" si="149"/>
        <v>0</v>
      </c>
      <c r="AX130" s="78">
        <f t="shared" si="150"/>
        <v>0</v>
      </c>
      <c r="AY130" s="77">
        <f t="shared" si="151"/>
        <v>0</v>
      </c>
      <c r="AZ130" s="77">
        <f t="shared" si="152"/>
        <v>0</v>
      </c>
      <c r="BA130" s="78">
        <f t="shared" si="153"/>
        <v>0</v>
      </c>
      <c r="BB130" s="80">
        <f t="shared" si="154"/>
        <v>0</v>
      </c>
      <c r="BC130" s="77">
        <f t="shared" si="155"/>
        <v>8.3333333333333357</v>
      </c>
      <c r="BD130" s="77">
        <f t="shared" si="156"/>
        <v>9.6225044864937406</v>
      </c>
      <c r="BE130" s="77">
        <f t="shared" si="157"/>
        <v>8.3333333333333268</v>
      </c>
      <c r="BF130" s="77">
        <f t="shared" si="158"/>
        <v>9.6225044864937512</v>
      </c>
      <c r="BG130" s="77">
        <f t="shared" si="159"/>
        <v>0</v>
      </c>
      <c r="BH130" s="77">
        <f t="shared" si="160"/>
        <v>0</v>
      </c>
      <c r="BI130" s="77">
        <f t="shared" si="161"/>
        <v>0</v>
      </c>
      <c r="BJ130" s="80">
        <f t="shared" si="167"/>
        <v>0</v>
      </c>
      <c r="BK130" s="77">
        <f t="shared" si="168"/>
        <v>1.3888888888888893</v>
      </c>
      <c r="BL130" s="77">
        <f t="shared" si="169"/>
        <v>1.6037507477489568</v>
      </c>
      <c r="BM130" s="77">
        <f t="shared" si="170"/>
        <v>1.3888888888888877</v>
      </c>
      <c r="BN130" s="77">
        <f t="shared" si="171"/>
        <v>1.6037507477489585</v>
      </c>
      <c r="BO130" s="77">
        <f t="shared" si="172"/>
        <v>0</v>
      </c>
      <c r="BP130" s="77">
        <f t="shared" si="173"/>
        <v>0</v>
      </c>
      <c r="BQ130" s="92">
        <f t="shared" si="174"/>
        <v>0</v>
      </c>
      <c r="BR130" s="81">
        <f t="shared" si="162"/>
        <v>100</v>
      </c>
      <c r="BS130" s="79">
        <f t="shared" si="163"/>
        <v>75.000000000000014</v>
      </c>
      <c r="BT130" s="79">
        <f t="shared" si="164"/>
        <v>72.222222222222229</v>
      </c>
      <c r="BU130" s="79">
        <f t="shared" si="165"/>
        <v>50</v>
      </c>
      <c r="BV130" s="79">
        <f t="shared" si="125"/>
        <v>36.111111111111114</v>
      </c>
      <c r="BW130" s="79">
        <f t="shared" si="126"/>
        <v>0</v>
      </c>
      <c r="BX130" s="79">
        <f t="shared" si="127"/>
        <v>0</v>
      </c>
      <c r="BY130" s="79">
        <f t="shared" si="128"/>
        <v>0</v>
      </c>
      <c r="BZ130" s="81">
        <f t="shared" si="109"/>
        <v>0</v>
      </c>
      <c r="CA130" s="79">
        <f t="shared" si="109"/>
        <v>24.999999999999986</v>
      </c>
      <c r="CB130" s="79">
        <f t="shared" si="109"/>
        <v>27.777777777777771</v>
      </c>
      <c r="CC130" s="79">
        <f t="shared" si="109"/>
        <v>50</v>
      </c>
      <c r="CD130" s="79">
        <f t="shared" si="109"/>
        <v>63.888888888888886</v>
      </c>
      <c r="CE130" s="79">
        <f t="shared" si="129"/>
        <v>100</v>
      </c>
      <c r="CF130" s="79">
        <f t="shared" si="129"/>
        <v>100</v>
      </c>
      <c r="CG130" s="264">
        <f t="shared" si="129"/>
        <v>100</v>
      </c>
    </row>
    <row r="131" spans="2:85" x14ac:dyDescent="0.3">
      <c r="B131" s="409"/>
      <c r="C131" s="412"/>
      <c r="D131" s="70" t="s">
        <v>803</v>
      </c>
      <c r="E131" s="65">
        <v>12</v>
      </c>
      <c r="F131" s="65">
        <v>12</v>
      </c>
      <c r="G131" s="66">
        <v>12</v>
      </c>
      <c r="H131" s="65">
        <f t="shared" si="166"/>
        <v>36</v>
      </c>
      <c r="I131" s="67">
        <v>9</v>
      </c>
      <c r="J131" s="67">
        <v>6</v>
      </c>
      <c r="K131" s="66">
        <v>8</v>
      </c>
      <c r="L131" s="67">
        <v>5</v>
      </c>
      <c r="M131" s="67">
        <v>5</v>
      </c>
      <c r="N131" s="66">
        <v>7</v>
      </c>
      <c r="O131" s="67">
        <v>5</v>
      </c>
      <c r="P131" s="67">
        <v>4</v>
      </c>
      <c r="Q131" s="66">
        <v>6</v>
      </c>
      <c r="R131" s="67">
        <v>5</v>
      </c>
      <c r="S131" s="67">
        <v>2</v>
      </c>
      <c r="T131" s="66">
        <v>5</v>
      </c>
      <c r="U131" s="67">
        <v>5</v>
      </c>
      <c r="V131" s="67">
        <v>2</v>
      </c>
      <c r="W131" s="66">
        <v>5</v>
      </c>
      <c r="X131" s="67">
        <v>5</v>
      </c>
      <c r="Y131" s="67">
        <v>2</v>
      </c>
      <c r="Z131" s="66">
        <v>4</v>
      </c>
      <c r="AA131" s="67">
        <v>5</v>
      </c>
      <c r="AB131" s="67">
        <v>2</v>
      </c>
      <c r="AC131" s="66">
        <v>4</v>
      </c>
      <c r="AD131" s="65">
        <f t="shared" si="130"/>
        <v>100</v>
      </c>
      <c r="AE131" s="65">
        <f t="shared" si="131"/>
        <v>100</v>
      </c>
      <c r="AF131" s="66">
        <f t="shared" si="132"/>
        <v>100</v>
      </c>
      <c r="AG131" s="65">
        <f t="shared" si="133"/>
        <v>75</v>
      </c>
      <c r="AH131" s="65">
        <f t="shared" si="134"/>
        <v>50</v>
      </c>
      <c r="AI131" s="66">
        <f t="shared" si="135"/>
        <v>66.666666666666671</v>
      </c>
      <c r="AJ131" s="65">
        <f t="shared" si="136"/>
        <v>41.666666666666671</v>
      </c>
      <c r="AK131" s="65">
        <f t="shared" si="137"/>
        <v>41.666666666666671</v>
      </c>
      <c r="AL131" s="66">
        <f t="shared" si="138"/>
        <v>58.333333333333336</v>
      </c>
      <c r="AM131" s="65">
        <f t="shared" si="139"/>
        <v>41.666666666666671</v>
      </c>
      <c r="AN131" s="65">
        <f t="shared" si="140"/>
        <v>33.333333333333336</v>
      </c>
      <c r="AO131" s="66">
        <f t="shared" si="141"/>
        <v>50</v>
      </c>
      <c r="AP131" s="65">
        <f t="shared" si="142"/>
        <v>41.666666666666671</v>
      </c>
      <c r="AQ131" s="65">
        <f t="shared" si="143"/>
        <v>16.666666666666668</v>
      </c>
      <c r="AR131" s="66">
        <f t="shared" si="144"/>
        <v>41.666666666666671</v>
      </c>
      <c r="AS131" s="65">
        <f t="shared" si="145"/>
        <v>41.666666666666671</v>
      </c>
      <c r="AT131" s="65">
        <f t="shared" si="146"/>
        <v>16.666666666666668</v>
      </c>
      <c r="AU131" s="66">
        <f t="shared" si="147"/>
        <v>41.666666666666671</v>
      </c>
      <c r="AV131" s="65">
        <f t="shared" si="148"/>
        <v>41.666666666666671</v>
      </c>
      <c r="AW131" s="65">
        <f t="shared" si="149"/>
        <v>16.666666666666668</v>
      </c>
      <c r="AX131" s="66">
        <f t="shared" si="150"/>
        <v>33.333333333333336</v>
      </c>
      <c r="AY131" s="65">
        <f t="shared" si="151"/>
        <v>41.666666666666671</v>
      </c>
      <c r="AZ131" s="65">
        <f t="shared" si="152"/>
        <v>16.666666666666668</v>
      </c>
      <c r="BA131" s="66">
        <f t="shared" si="153"/>
        <v>33.333333333333336</v>
      </c>
      <c r="BB131" s="68">
        <f t="shared" si="154"/>
        <v>0</v>
      </c>
      <c r="BC131" s="65">
        <f t="shared" si="155"/>
        <v>12.729376930432867</v>
      </c>
      <c r="BD131" s="65">
        <f t="shared" si="156"/>
        <v>9.6225044864937406</v>
      </c>
      <c r="BE131" s="65">
        <f t="shared" si="157"/>
        <v>8.3333333333333552</v>
      </c>
      <c r="BF131" s="65">
        <f t="shared" si="158"/>
        <v>14.433756729740642</v>
      </c>
      <c r="BG131" s="65">
        <f t="shared" si="159"/>
        <v>14.433756729740642</v>
      </c>
      <c r="BH131" s="65">
        <f t="shared" si="160"/>
        <v>12.729376930432885</v>
      </c>
      <c r="BI131" s="65">
        <f t="shared" si="161"/>
        <v>12.729376930432885</v>
      </c>
      <c r="BJ131" s="68">
        <f t="shared" si="167"/>
        <v>0</v>
      </c>
      <c r="BK131" s="65">
        <f t="shared" si="168"/>
        <v>2.1215628217388112</v>
      </c>
      <c r="BL131" s="65">
        <f t="shared" si="169"/>
        <v>1.6037507477489568</v>
      </c>
      <c r="BM131" s="65">
        <f t="shared" si="170"/>
        <v>1.3888888888888926</v>
      </c>
      <c r="BN131" s="65">
        <f t="shared" si="171"/>
        <v>2.4056261216234405</v>
      </c>
      <c r="BO131" s="65">
        <f t="shared" si="172"/>
        <v>2.4056261216234405</v>
      </c>
      <c r="BP131" s="65">
        <f t="shared" si="173"/>
        <v>2.1215628217388143</v>
      </c>
      <c r="BQ131" s="90">
        <f t="shared" si="174"/>
        <v>2.1215628217388143</v>
      </c>
      <c r="BR131" s="69">
        <f t="shared" si="162"/>
        <v>100</v>
      </c>
      <c r="BS131" s="67">
        <f t="shared" si="163"/>
        <v>63.888888888888893</v>
      </c>
      <c r="BT131" s="67">
        <f t="shared" si="164"/>
        <v>47.222222222222229</v>
      </c>
      <c r="BU131" s="67">
        <f t="shared" si="165"/>
        <v>41.666666666666664</v>
      </c>
      <c r="BV131" s="67">
        <f t="shared" si="125"/>
        <v>33.333333333333336</v>
      </c>
      <c r="BW131" s="67">
        <f t="shared" si="126"/>
        <v>33.333333333333336</v>
      </c>
      <c r="BX131" s="67">
        <f t="shared" si="127"/>
        <v>33.333333333333336</v>
      </c>
      <c r="BY131" s="67">
        <f t="shared" si="128"/>
        <v>33.333333333333336</v>
      </c>
      <c r="BZ131" s="69">
        <f t="shared" ref="BZ131:CD181" si="175">100-BR131</f>
        <v>0</v>
      </c>
      <c r="CA131" s="67">
        <f t="shared" si="175"/>
        <v>36.111111111111107</v>
      </c>
      <c r="CB131" s="67">
        <f t="shared" si="175"/>
        <v>52.777777777777771</v>
      </c>
      <c r="CC131" s="67">
        <f t="shared" si="175"/>
        <v>58.333333333333336</v>
      </c>
      <c r="CD131" s="67">
        <f t="shared" si="175"/>
        <v>66.666666666666657</v>
      </c>
      <c r="CE131" s="67">
        <f t="shared" si="129"/>
        <v>66.666666666666657</v>
      </c>
      <c r="CF131" s="67">
        <f t="shared" si="129"/>
        <v>66.666666666666657</v>
      </c>
      <c r="CG131" s="116">
        <f t="shared" si="129"/>
        <v>66.666666666666657</v>
      </c>
    </row>
    <row r="132" spans="2:85" x14ac:dyDescent="0.3">
      <c r="B132" s="409"/>
      <c r="C132" s="412"/>
      <c r="D132" s="70" t="s">
        <v>804</v>
      </c>
      <c r="E132" s="65">
        <v>12</v>
      </c>
      <c r="F132" s="65">
        <v>12</v>
      </c>
      <c r="G132" s="66">
        <v>12</v>
      </c>
      <c r="H132" s="65">
        <f t="shared" si="166"/>
        <v>36</v>
      </c>
      <c r="I132" s="67">
        <v>10</v>
      </c>
      <c r="J132" s="67">
        <v>9</v>
      </c>
      <c r="K132" s="66">
        <v>10</v>
      </c>
      <c r="L132" s="67">
        <v>9</v>
      </c>
      <c r="M132" s="67">
        <v>9</v>
      </c>
      <c r="N132" s="66">
        <v>10</v>
      </c>
      <c r="O132" s="67">
        <v>7</v>
      </c>
      <c r="P132" s="67">
        <v>7</v>
      </c>
      <c r="Q132" s="66">
        <v>9</v>
      </c>
      <c r="R132" s="67">
        <v>5</v>
      </c>
      <c r="S132" s="67">
        <v>4</v>
      </c>
      <c r="T132" s="66">
        <v>9</v>
      </c>
      <c r="U132" s="67">
        <v>5</v>
      </c>
      <c r="V132" s="67">
        <v>4</v>
      </c>
      <c r="W132" s="66">
        <v>6</v>
      </c>
      <c r="X132" s="67">
        <v>4</v>
      </c>
      <c r="Y132" s="67">
        <v>4</v>
      </c>
      <c r="Z132" s="66">
        <v>4</v>
      </c>
      <c r="AA132" s="67">
        <v>3</v>
      </c>
      <c r="AB132" s="67">
        <v>3</v>
      </c>
      <c r="AC132" s="66">
        <v>2</v>
      </c>
      <c r="AD132" s="65">
        <f t="shared" si="130"/>
        <v>100</v>
      </c>
      <c r="AE132" s="65">
        <f t="shared" si="131"/>
        <v>100</v>
      </c>
      <c r="AF132" s="66">
        <f t="shared" si="132"/>
        <v>100</v>
      </c>
      <c r="AG132" s="65">
        <f t="shared" si="133"/>
        <v>83.333333333333343</v>
      </c>
      <c r="AH132" s="65">
        <f t="shared" si="134"/>
        <v>75</v>
      </c>
      <c r="AI132" s="66">
        <f t="shared" si="135"/>
        <v>83.333333333333343</v>
      </c>
      <c r="AJ132" s="65">
        <f t="shared" si="136"/>
        <v>75</v>
      </c>
      <c r="AK132" s="65">
        <f t="shared" si="137"/>
        <v>75</v>
      </c>
      <c r="AL132" s="66">
        <f t="shared" si="138"/>
        <v>83.333333333333343</v>
      </c>
      <c r="AM132" s="65">
        <f t="shared" si="139"/>
        <v>58.333333333333336</v>
      </c>
      <c r="AN132" s="65">
        <f t="shared" si="140"/>
        <v>58.333333333333336</v>
      </c>
      <c r="AO132" s="66">
        <f t="shared" si="141"/>
        <v>75</v>
      </c>
      <c r="AP132" s="65">
        <f t="shared" si="142"/>
        <v>41.666666666666671</v>
      </c>
      <c r="AQ132" s="65">
        <f t="shared" si="143"/>
        <v>33.333333333333336</v>
      </c>
      <c r="AR132" s="66">
        <f t="shared" si="144"/>
        <v>75</v>
      </c>
      <c r="AS132" s="65">
        <f t="shared" si="145"/>
        <v>41.666666666666671</v>
      </c>
      <c r="AT132" s="65">
        <f t="shared" si="146"/>
        <v>33.333333333333336</v>
      </c>
      <c r="AU132" s="66">
        <f t="shared" si="147"/>
        <v>50</v>
      </c>
      <c r="AV132" s="65">
        <f t="shared" si="148"/>
        <v>33.333333333333336</v>
      </c>
      <c r="AW132" s="65">
        <f t="shared" si="149"/>
        <v>33.333333333333336</v>
      </c>
      <c r="AX132" s="66">
        <f t="shared" si="150"/>
        <v>33.333333333333336</v>
      </c>
      <c r="AY132" s="65">
        <f t="shared" si="151"/>
        <v>25</v>
      </c>
      <c r="AZ132" s="65">
        <f t="shared" si="152"/>
        <v>25</v>
      </c>
      <c r="BA132" s="66">
        <f t="shared" si="153"/>
        <v>16.666666666666668</v>
      </c>
      <c r="BB132" s="68">
        <f t="shared" si="154"/>
        <v>0</v>
      </c>
      <c r="BC132" s="65">
        <f t="shared" si="155"/>
        <v>4.8112522432468872</v>
      </c>
      <c r="BD132" s="65">
        <f t="shared" si="156"/>
        <v>4.8112522432468872</v>
      </c>
      <c r="BE132" s="65">
        <f t="shared" si="157"/>
        <v>9.6225044864936926</v>
      </c>
      <c r="BF132" s="65">
        <f t="shared" si="158"/>
        <v>22.047927592204925</v>
      </c>
      <c r="BG132" s="65">
        <f t="shared" si="159"/>
        <v>8.3333333333333552</v>
      </c>
      <c r="BH132" s="65">
        <f t="shared" si="160"/>
        <v>0</v>
      </c>
      <c r="BI132" s="65">
        <f t="shared" si="161"/>
        <v>4.8112522432468703</v>
      </c>
      <c r="BJ132" s="68">
        <f t="shared" si="167"/>
        <v>0</v>
      </c>
      <c r="BK132" s="65">
        <f t="shared" si="168"/>
        <v>0.80187537387448116</v>
      </c>
      <c r="BL132" s="65">
        <f t="shared" si="169"/>
        <v>0.80187537387448116</v>
      </c>
      <c r="BM132" s="65">
        <f t="shared" si="170"/>
        <v>1.6037507477489488</v>
      </c>
      <c r="BN132" s="65">
        <f t="shared" si="171"/>
        <v>3.6746545987008208</v>
      </c>
      <c r="BO132" s="65">
        <f t="shared" si="172"/>
        <v>1.3888888888888926</v>
      </c>
      <c r="BP132" s="65">
        <f t="shared" si="173"/>
        <v>0</v>
      </c>
      <c r="BQ132" s="90">
        <f t="shared" si="174"/>
        <v>0.80187537387447838</v>
      </c>
      <c r="BR132" s="69">
        <f t="shared" si="162"/>
        <v>100</v>
      </c>
      <c r="BS132" s="67">
        <f t="shared" si="163"/>
        <v>80.555555555555557</v>
      </c>
      <c r="BT132" s="67">
        <f t="shared" si="164"/>
        <v>77.777777777777786</v>
      </c>
      <c r="BU132" s="67">
        <f t="shared" si="165"/>
        <v>63.888888888888893</v>
      </c>
      <c r="BV132" s="67">
        <f t="shared" si="125"/>
        <v>50</v>
      </c>
      <c r="BW132" s="67">
        <f t="shared" si="126"/>
        <v>41.666666666666664</v>
      </c>
      <c r="BX132" s="67">
        <f t="shared" si="127"/>
        <v>38.888888888888893</v>
      </c>
      <c r="BY132" s="67">
        <f t="shared" si="128"/>
        <v>38.888888888888893</v>
      </c>
      <c r="BZ132" s="69">
        <f t="shared" si="175"/>
        <v>0</v>
      </c>
      <c r="CA132" s="67">
        <f t="shared" si="175"/>
        <v>19.444444444444443</v>
      </c>
      <c r="CB132" s="67">
        <f t="shared" si="175"/>
        <v>22.222222222222214</v>
      </c>
      <c r="CC132" s="67">
        <f t="shared" si="175"/>
        <v>36.111111111111107</v>
      </c>
      <c r="CD132" s="67">
        <f t="shared" si="175"/>
        <v>50</v>
      </c>
      <c r="CE132" s="67">
        <f t="shared" si="129"/>
        <v>58.333333333333336</v>
      </c>
      <c r="CF132" s="67">
        <f t="shared" si="129"/>
        <v>61.111111111111107</v>
      </c>
      <c r="CG132" s="116">
        <f t="shared" si="129"/>
        <v>61.111111111111107</v>
      </c>
    </row>
    <row r="133" spans="2:85" x14ac:dyDescent="0.3">
      <c r="B133" s="410"/>
      <c r="C133" s="413"/>
      <c r="D133" s="70" t="s">
        <v>805</v>
      </c>
      <c r="E133" s="71">
        <v>12</v>
      </c>
      <c r="F133" s="71">
        <v>12</v>
      </c>
      <c r="G133" s="72">
        <v>12</v>
      </c>
      <c r="H133" s="71">
        <f t="shared" si="166"/>
        <v>36</v>
      </c>
      <c r="I133" s="73">
        <v>7</v>
      </c>
      <c r="J133" s="73">
        <v>10</v>
      </c>
      <c r="K133" s="72">
        <v>8</v>
      </c>
      <c r="L133" s="73">
        <v>7</v>
      </c>
      <c r="M133" s="73">
        <v>10</v>
      </c>
      <c r="N133" s="72">
        <v>8</v>
      </c>
      <c r="O133" s="73">
        <v>6</v>
      </c>
      <c r="P133" s="73">
        <v>8</v>
      </c>
      <c r="Q133" s="72">
        <v>6</v>
      </c>
      <c r="R133" s="73">
        <v>6</v>
      </c>
      <c r="S133" s="73">
        <v>8</v>
      </c>
      <c r="T133" s="72">
        <v>6</v>
      </c>
      <c r="U133" s="73">
        <v>5</v>
      </c>
      <c r="V133" s="73">
        <v>5</v>
      </c>
      <c r="W133" s="72">
        <v>4</v>
      </c>
      <c r="X133" s="73">
        <v>4</v>
      </c>
      <c r="Y133" s="73">
        <v>3</v>
      </c>
      <c r="Z133" s="72">
        <v>4</v>
      </c>
      <c r="AA133" s="73">
        <v>4</v>
      </c>
      <c r="AB133" s="73">
        <v>3</v>
      </c>
      <c r="AC133" s="72">
        <v>4</v>
      </c>
      <c r="AD133" s="71">
        <f t="shared" si="130"/>
        <v>100</v>
      </c>
      <c r="AE133" s="71">
        <f t="shared" si="131"/>
        <v>100</v>
      </c>
      <c r="AF133" s="72">
        <f t="shared" si="132"/>
        <v>100</v>
      </c>
      <c r="AG133" s="71">
        <f t="shared" si="133"/>
        <v>58.333333333333336</v>
      </c>
      <c r="AH133" s="71">
        <f t="shared" si="134"/>
        <v>83.333333333333343</v>
      </c>
      <c r="AI133" s="72">
        <f t="shared" si="135"/>
        <v>66.666666666666671</v>
      </c>
      <c r="AJ133" s="71">
        <f t="shared" si="136"/>
        <v>58.333333333333336</v>
      </c>
      <c r="AK133" s="71">
        <f t="shared" si="137"/>
        <v>83.333333333333343</v>
      </c>
      <c r="AL133" s="72">
        <f t="shared" si="138"/>
        <v>66.666666666666671</v>
      </c>
      <c r="AM133" s="71">
        <f t="shared" si="139"/>
        <v>50</v>
      </c>
      <c r="AN133" s="71">
        <f t="shared" si="140"/>
        <v>66.666666666666671</v>
      </c>
      <c r="AO133" s="72">
        <f t="shared" si="141"/>
        <v>50</v>
      </c>
      <c r="AP133" s="71">
        <f t="shared" si="142"/>
        <v>50</v>
      </c>
      <c r="AQ133" s="71">
        <f t="shared" si="143"/>
        <v>66.666666666666671</v>
      </c>
      <c r="AR133" s="72">
        <f t="shared" si="144"/>
        <v>50</v>
      </c>
      <c r="AS133" s="71">
        <f t="shared" si="145"/>
        <v>41.666666666666671</v>
      </c>
      <c r="AT133" s="71">
        <f t="shared" si="146"/>
        <v>41.666666666666671</v>
      </c>
      <c r="AU133" s="72">
        <f t="shared" si="147"/>
        <v>33.333333333333336</v>
      </c>
      <c r="AV133" s="71">
        <f t="shared" si="148"/>
        <v>33.333333333333336</v>
      </c>
      <c r="AW133" s="71">
        <f t="shared" si="149"/>
        <v>25</v>
      </c>
      <c r="AX133" s="72">
        <f t="shared" si="150"/>
        <v>33.333333333333336</v>
      </c>
      <c r="AY133" s="71">
        <f t="shared" si="151"/>
        <v>33.333333333333336</v>
      </c>
      <c r="AZ133" s="71">
        <f t="shared" si="152"/>
        <v>25</v>
      </c>
      <c r="BA133" s="72">
        <f t="shared" si="153"/>
        <v>33.333333333333336</v>
      </c>
      <c r="BB133" s="74">
        <f t="shared" si="154"/>
        <v>0</v>
      </c>
      <c r="BC133" s="71">
        <f t="shared" si="155"/>
        <v>12.729376930432831</v>
      </c>
      <c r="BD133" s="71">
        <f t="shared" si="156"/>
        <v>12.729376930432831</v>
      </c>
      <c r="BE133" s="71">
        <f t="shared" si="157"/>
        <v>9.6225044864937406</v>
      </c>
      <c r="BF133" s="71">
        <f t="shared" si="158"/>
        <v>9.6225044864937406</v>
      </c>
      <c r="BG133" s="71">
        <f t="shared" si="159"/>
        <v>4.8112522432468463</v>
      </c>
      <c r="BH133" s="71">
        <f t="shared" si="160"/>
        <v>4.8112522432468703</v>
      </c>
      <c r="BI133" s="71">
        <f t="shared" si="161"/>
        <v>4.8112522432468703</v>
      </c>
      <c r="BJ133" s="74">
        <f t="shared" si="167"/>
        <v>0</v>
      </c>
      <c r="BK133" s="71">
        <f t="shared" si="168"/>
        <v>2.1215628217388054</v>
      </c>
      <c r="BL133" s="71">
        <f t="shared" si="169"/>
        <v>2.1215628217388054</v>
      </c>
      <c r="BM133" s="71">
        <f t="shared" si="170"/>
        <v>1.6037507477489568</v>
      </c>
      <c r="BN133" s="71">
        <f t="shared" si="171"/>
        <v>1.6037507477489568</v>
      </c>
      <c r="BO133" s="71">
        <f t="shared" si="172"/>
        <v>0.80187537387447438</v>
      </c>
      <c r="BP133" s="71">
        <f t="shared" si="173"/>
        <v>0.80187537387447838</v>
      </c>
      <c r="BQ133" s="91">
        <f t="shared" si="174"/>
        <v>0.80187537387447838</v>
      </c>
      <c r="BR133" s="75">
        <f t="shared" si="162"/>
        <v>100</v>
      </c>
      <c r="BS133" s="73">
        <f t="shared" si="163"/>
        <v>69.444444444444457</v>
      </c>
      <c r="BT133" s="73">
        <f t="shared" si="164"/>
        <v>69.444444444444457</v>
      </c>
      <c r="BU133" s="73">
        <f t="shared" si="165"/>
        <v>55.555555555555564</v>
      </c>
      <c r="BV133" s="73">
        <f t="shared" si="125"/>
        <v>55.555555555555564</v>
      </c>
      <c r="BW133" s="73">
        <f t="shared" si="126"/>
        <v>38.888888888888893</v>
      </c>
      <c r="BX133" s="73">
        <f t="shared" si="127"/>
        <v>36.111111111111114</v>
      </c>
      <c r="BY133" s="73">
        <f t="shared" si="128"/>
        <v>30.555555555555557</v>
      </c>
      <c r="BZ133" s="75">
        <f t="shared" si="175"/>
        <v>0</v>
      </c>
      <c r="CA133" s="73">
        <f t="shared" si="175"/>
        <v>30.555555555555543</v>
      </c>
      <c r="CB133" s="73">
        <f t="shared" si="175"/>
        <v>30.555555555555543</v>
      </c>
      <c r="CC133" s="73">
        <f t="shared" si="175"/>
        <v>44.444444444444436</v>
      </c>
      <c r="CD133" s="73">
        <f t="shared" si="175"/>
        <v>44.444444444444436</v>
      </c>
      <c r="CE133" s="73">
        <f t="shared" si="129"/>
        <v>61.111111111111107</v>
      </c>
      <c r="CF133" s="73">
        <f t="shared" si="129"/>
        <v>63.888888888888886</v>
      </c>
      <c r="CG133" s="265">
        <f t="shared" si="129"/>
        <v>69.444444444444443</v>
      </c>
    </row>
    <row r="134" spans="2:85" ht="15" customHeight="1" x14ac:dyDescent="0.3">
      <c r="B134" s="408">
        <v>33</v>
      </c>
      <c r="C134" s="411" t="s">
        <v>434</v>
      </c>
      <c r="D134" s="76" t="s">
        <v>802</v>
      </c>
      <c r="E134" s="77">
        <v>12</v>
      </c>
      <c r="F134" s="77">
        <v>12</v>
      </c>
      <c r="G134" s="78">
        <v>12</v>
      </c>
      <c r="H134" s="77">
        <f t="shared" si="166"/>
        <v>36</v>
      </c>
      <c r="I134" s="79">
        <v>10</v>
      </c>
      <c r="J134" s="79">
        <v>10</v>
      </c>
      <c r="K134" s="78">
        <v>10</v>
      </c>
      <c r="L134" s="79">
        <v>9</v>
      </c>
      <c r="M134" s="79">
        <v>7</v>
      </c>
      <c r="N134" s="78">
        <v>9</v>
      </c>
      <c r="O134" s="79">
        <v>8</v>
      </c>
      <c r="P134" s="79">
        <v>6</v>
      </c>
      <c r="Q134" s="78">
        <v>7</v>
      </c>
      <c r="R134" s="79">
        <v>7</v>
      </c>
      <c r="S134" s="79">
        <v>2</v>
      </c>
      <c r="T134" s="78">
        <v>3</v>
      </c>
      <c r="U134" s="79">
        <v>5</v>
      </c>
      <c r="V134" s="79">
        <v>1</v>
      </c>
      <c r="W134" s="78">
        <v>1</v>
      </c>
      <c r="X134" s="79">
        <v>4</v>
      </c>
      <c r="Y134" s="79">
        <v>1</v>
      </c>
      <c r="Z134" s="78">
        <v>0</v>
      </c>
      <c r="AA134" s="79">
        <v>4</v>
      </c>
      <c r="AB134" s="79">
        <v>0</v>
      </c>
      <c r="AC134" s="78">
        <v>0</v>
      </c>
      <c r="AD134" s="77">
        <f t="shared" si="130"/>
        <v>100</v>
      </c>
      <c r="AE134" s="77">
        <f t="shared" si="131"/>
        <v>100</v>
      </c>
      <c r="AF134" s="78">
        <f t="shared" si="132"/>
        <v>100</v>
      </c>
      <c r="AG134" s="77">
        <f t="shared" si="133"/>
        <v>83.333333333333343</v>
      </c>
      <c r="AH134" s="77">
        <f t="shared" si="134"/>
        <v>83.333333333333343</v>
      </c>
      <c r="AI134" s="78">
        <f t="shared" si="135"/>
        <v>83.333333333333343</v>
      </c>
      <c r="AJ134" s="77">
        <f t="shared" si="136"/>
        <v>75</v>
      </c>
      <c r="AK134" s="77">
        <f t="shared" si="137"/>
        <v>58.333333333333336</v>
      </c>
      <c r="AL134" s="78">
        <f t="shared" si="138"/>
        <v>75</v>
      </c>
      <c r="AM134" s="77">
        <f t="shared" si="139"/>
        <v>66.666666666666671</v>
      </c>
      <c r="AN134" s="77">
        <f t="shared" si="140"/>
        <v>50</v>
      </c>
      <c r="AO134" s="78">
        <f t="shared" si="141"/>
        <v>58.333333333333336</v>
      </c>
      <c r="AP134" s="77">
        <f t="shared" si="142"/>
        <v>58.333333333333336</v>
      </c>
      <c r="AQ134" s="77">
        <f t="shared" si="143"/>
        <v>16.666666666666668</v>
      </c>
      <c r="AR134" s="78">
        <f t="shared" si="144"/>
        <v>25</v>
      </c>
      <c r="AS134" s="77">
        <f t="shared" si="145"/>
        <v>41.666666666666671</v>
      </c>
      <c r="AT134" s="77">
        <f t="shared" si="146"/>
        <v>8.3333333333333339</v>
      </c>
      <c r="AU134" s="78">
        <f t="shared" si="147"/>
        <v>8.3333333333333339</v>
      </c>
      <c r="AV134" s="77">
        <f t="shared" si="148"/>
        <v>33.333333333333336</v>
      </c>
      <c r="AW134" s="77">
        <f t="shared" si="149"/>
        <v>8.3333333333333339</v>
      </c>
      <c r="AX134" s="78">
        <f t="shared" si="150"/>
        <v>0</v>
      </c>
      <c r="AY134" s="77">
        <f t="shared" si="151"/>
        <v>33.333333333333336</v>
      </c>
      <c r="AZ134" s="77">
        <f t="shared" si="152"/>
        <v>0</v>
      </c>
      <c r="BA134" s="78">
        <f t="shared" si="153"/>
        <v>0</v>
      </c>
      <c r="BB134" s="80">
        <f t="shared" si="154"/>
        <v>0</v>
      </c>
      <c r="BC134" s="77">
        <f t="shared" si="155"/>
        <v>0</v>
      </c>
      <c r="BD134" s="77">
        <f t="shared" si="156"/>
        <v>9.6225044864937406</v>
      </c>
      <c r="BE134" s="77">
        <f t="shared" si="157"/>
        <v>8.3333333333333268</v>
      </c>
      <c r="BF134" s="77">
        <f t="shared" si="158"/>
        <v>22.047927592204921</v>
      </c>
      <c r="BG134" s="77">
        <f t="shared" si="159"/>
        <v>19.245008972987527</v>
      </c>
      <c r="BH134" s="77">
        <f t="shared" si="160"/>
        <v>17.347216662217772</v>
      </c>
      <c r="BI134" s="77">
        <f t="shared" si="161"/>
        <v>19.245008972987527</v>
      </c>
      <c r="BJ134" s="80">
        <f t="shared" si="167"/>
        <v>0</v>
      </c>
      <c r="BK134" s="77">
        <f t="shared" si="168"/>
        <v>0</v>
      </c>
      <c r="BL134" s="77">
        <f t="shared" si="169"/>
        <v>1.6037507477489568</v>
      </c>
      <c r="BM134" s="77">
        <f t="shared" si="170"/>
        <v>1.3888888888888877</v>
      </c>
      <c r="BN134" s="77">
        <f t="shared" si="171"/>
        <v>3.6746545987008203</v>
      </c>
      <c r="BO134" s="77">
        <f t="shared" si="172"/>
        <v>3.2075014954979211</v>
      </c>
      <c r="BP134" s="77">
        <f t="shared" si="173"/>
        <v>2.8912027770362951</v>
      </c>
      <c r="BQ134" s="92">
        <f t="shared" si="174"/>
        <v>3.2075014954979211</v>
      </c>
      <c r="BR134" s="81">
        <f t="shared" si="162"/>
        <v>100</v>
      </c>
      <c r="BS134" s="79">
        <f t="shared" si="163"/>
        <v>83.333333333333343</v>
      </c>
      <c r="BT134" s="79">
        <f t="shared" si="164"/>
        <v>69.444444444444443</v>
      </c>
      <c r="BU134" s="79">
        <f t="shared" si="165"/>
        <v>58.333333333333336</v>
      </c>
      <c r="BV134" s="79">
        <f t="shared" si="125"/>
        <v>33.333333333333336</v>
      </c>
      <c r="BW134" s="79">
        <f t="shared" si="126"/>
        <v>19.444444444444446</v>
      </c>
      <c r="BX134" s="79">
        <f t="shared" si="127"/>
        <v>16.666666666666668</v>
      </c>
      <c r="BY134" s="79">
        <f t="shared" si="128"/>
        <v>16.666666666666668</v>
      </c>
      <c r="BZ134" s="81">
        <f t="shared" si="175"/>
        <v>0</v>
      </c>
      <c r="CA134" s="79">
        <f t="shared" si="175"/>
        <v>16.666666666666657</v>
      </c>
      <c r="CB134" s="79">
        <f t="shared" si="175"/>
        <v>30.555555555555557</v>
      </c>
      <c r="CC134" s="79">
        <f t="shared" si="175"/>
        <v>41.666666666666664</v>
      </c>
      <c r="CD134" s="79">
        <f t="shared" si="175"/>
        <v>66.666666666666657</v>
      </c>
      <c r="CE134" s="79">
        <f t="shared" si="129"/>
        <v>80.555555555555557</v>
      </c>
      <c r="CF134" s="79">
        <f t="shared" si="129"/>
        <v>83.333333333333329</v>
      </c>
      <c r="CG134" s="264">
        <f t="shared" si="129"/>
        <v>83.333333333333329</v>
      </c>
    </row>
    <row r="135" spans="2:85" x14ac:dyDescent="0.3">
      <c r="B135" s="409"/>
      <c r="C135" s="412"/>
      <c r="D135" s="70" t="s">
        <v>803</v>
      </c>
      <c r="E135" s="65">
        <v>12</v>
      </c>
      <c r="F135" s="65">
        <v>12</v>
      </c>
      <c r="G135" s="66">
        <v>12</v>
      </c>
      <c r="H135" s="65">
        <f t="shared" si="166"/>
        <v>36</v>
      </c>
      <c r="I135" s="67">
        <v>6</v>
      </c>
      <c r="J135" s="67">
        <v>8</v>
      </c>
      <c r="K135" s="66">
        <v>12</v>
      </c>
      <c r="L135" s="67">
        <v>5</v>
      </c>
      <c r="M135" s="67">
        <v>7</v>
      </c>
      <c r="N135" s="66">
        <v>12</v>
      </c>
      <c r="O135" s="67">
        <v>5</v>
      </c>
      <c r="P135" s="67">
        <v>7</v>
      </c>
      <c r="Q135" s="66">
        <v>12</v>
      </c>
      <c r="R135" s="67">
        <v>5</v>
      </c>
      <c r="S135" s="67">
        <v>7</v>
      </c>
      <c r="T135" s="66">
        <v>12</v>
      </c>
      <c r="U135" s="67">
        <v>5</v>
      </c>
      <c r="V135" s="67">
        <v>6</v>
      </c>
      <c r="W135" s="66">
        <v>12</v>
      </c>
      <c r="X135" s="67">
        <v>5</v>
      </c>
      <c r="Y135" s="67">
        <v>6</v>
      </c>
      <c r="Z135" s="66">
        <v>12</v>
      </c>
      <c r="AA135" s="67">
        <v>5</v>
      </c>
      <c r="AB135" s="67">
        <v>6</v>
      </c>
      <c r="AC135" s="66">
        <v>12</v>
      </c>
      <c r="AD135" s="65">
        <f t="shared" si="130"/>
        <v>100</v>
      </c>
      <c r="AE135" s="65">
        <f t="shared" si="131"/>
        <v>100</v>
      </c>
      <c r="AF135" s="66">
        <f t="shared" si="132"/>
        <v>100</v>
      </c>
      <c r="AG135" s="65">
        <f t="shared" si="133"/>
        <v>50</v>
      </c>
      <c r="AH135" s="65">
        <f t="shared" si="134"/>
        <v>66.666666666666671</v>
      </c>
      <c r="AI135" s="66">
        <f t="shared" si="135"/>
        <v>100</v>
      </c>
      <c r="AJ135" s="65">
        <f t="shared" si="136"/>
        <v>41.666666666666671</v>
      </c>
      <c r="AK135" s="65">
        <f t="shared" si="137"/>
        <v>58.333333333333336</v>
      </c>
      <c r="AL135" s="66">
        <f t="shared" si="138"/>
        <v>100</v>
      </c>
      <c r="AM135" s="65">
        <f t="shared" si="139"/>
        <v>41.666666666666671</v>
      </c>
      <c r="AN135" s="65">
        <f t="shared" si="140"/>
        <v>58.333333333333336</v>
      </c>
      <c r="AO135" s="66">
        <f t="shared" si="141"/>
        <v>100</v>
      </c>
      <c r="AP135" s="65">
        <f t="shared" si="142"/>
        <v>41.666666666666671</v>
      </c>
      <c r="AQ135" s="65">
        <f t="shared" si="143"/>
        <v>58.333333333333336</v>
      </c>
      <c r="AR135" s="66">
        <f t="shared" si="144"/>
        <v>100</v>
      </c>
      <c r="AS135" s="65">
        <f t="shared" si="145"/>
        <v>41.666666666666671</v>
      </c>
      <c r="AT135" s="65">
        <f t="shared" si="146"/>
        <v>50</v>
      </c>
      <c r="AU135" s="66">
        <f t="shared" si="147"/>
        <v>100</v>
      </c>
      <c r="AV135" s="65">
        <f t="shared" si="148"/>
        <v>41.666666666666671</v>
      </c>
      <c r="AW135" s="65">
        <f t="shared" si="149"/>
        <v>50</v>
      </c>
      <c r="AX135" s="66">
        <f t="shared" si="150"/>
        <v>100</v>
      </c>
      <c r="AY135" s="65">
        <f t="shared" si="151"/>
        <v>41.666666666666671</v>
      </c>
      <c r="AZ135" s="65">
        <f t="shared" si="152"/>
        <v>50</v>
      </c>
      <c r="BA135" s="66">
        <f t="shared" si="153"/>
        <v>100</v>
      </c>
      <c r="BB135" s="68">
        <f t="shared" si="154"/>
        <v>0</v>
      </c>
      <c r="BC135" s="65">
        <f t="shared" si="155"/>
        <v>25.458753860865752</v>
      </c>
      <c r="BD135" s="65">
        <f t="shared" si="156"/>
        <v>30.046260628866587</v>
      </c>
      <c r="BE135" s="65">
        <f t="shared" si="157"/>
        <v>30.046260628866587</v>
      </c>
      <c r="BF135" s="65">
        <f t="shared" si="158"/>
        <v>30.046260628866587</v>
      </c>
      <c r="BG135" s="65">
        <f t="shared" si="159"/>
        <v>31.549490810001508</v>
      </c>
      <c r="BH135" s="65">
        <f t="shared" si="160"/>
        <v>31.549490810001508</v>
      </c>
      <c r="BI135" s="65">
        <f t="shared" si="161"/>
        <v>31.549490810001508</v>
      </c>
      <c r="BJ135" s="68">
        <f t="shared" si="167"/>
        <v>0</v>
      </c>
      <c r="BK135" s="65">
        <f t="shared" si="168"/>
        <v>4.243125643477625</v>
      </c>
      <c r="BL135" s="65">
        <f t="shared" si="169"/>
        <v>5.0077101048110979</v>
      </c>
      <c r="BM135" s="65">
        <f t="shared" si="170"/>
        <v>5.0077101048110979</v>
      </c>
      <c r="BN135" s="65">
        <f t="shared" si="171"/>
        <v>5.0077101048110979</v>
      </c>
      <c r="BO135" s="65">
        <f t="shared" si="172"/>
        <v>5.2582484683335844</v>
      </c>
      <c r="BP135" s="65">
        <f t="shared" si="173"/>
        <v>5.2582484683335844</v>
      </c>
      <c r="BQ135" s="90">
        <f t="shared" si="174"/>
        <v>5.2582484683335844</v>
      </c>
      <c r="BR135" s="69">
        <f t="shared" si="162"/>
        <v>100</v>
      </c>
      <c r="BS135" s="67">
        <f t="shared" si="163"/>
        <v>72.222222222222229</v>
      </c>
      <c r="BT135" s="67">
        <f t="shared" si="164"/>
        <v>66.666666666666671</v>
      </c>
      <c r="BU135" s="67">
        <f t="shared" si="165"/>
        <v>66.666666666666671</v>
      </c>
      <c r="BV135" s="67">
        <f t="shared" si="125"/>
        <v>66.666666666666671</v>
      </c>
      <c r="BW135" s="67">
        <f t="shared" si="126"/>
        <v>63.888888888888893</v>
      </c>
      <c r="BX135" s="67">
        <f t="shared" si="127"/>
        <v>63.888888888888893</v>
      </c>
      <c r="BY135" s="67">
        <f t="shared" si="128"/>
        <v>63.888888888888893</v>
      </c>
      <c r="BZ135" s="69">
        <f t="shared" si="175"/>
        <v>0</v>
      </c>
      <c r="CA135" s="67">
        <f t="shared" si="175"/>
        <v>27.777777777777771</v>
      </c>
      <c r="CB135" s="67">
        <f t="shared" si="175"/>
        <v>33.333333333333329</v>
      </c>
      <c r="CC135" s="67">
        <f t="shared" si="175"/>
        <v>33.333333333333329</v>
      </c>
      <c r="CD135" s="67">
        <f t="shared" si="175"/>
        <v>33.333333333333329</v>
      </c>
      <c r="CE135" s="67">
        <f t="shared" si="129"/>
        <v>36.111111111111107</v>
      </c>
      <c r="CF135" s="67">
        <f t="shared" si="129"/>
        <v>36.111111111111107</v>
      </c>
      <c r="CG135" s="116">
        <f t="shared" si="129"/>
        <v>36.111111111111107</v>
      </c>
    </row>
    <row r="136" spans="2:85" x14ac:dyDescent="0.3">
      <c r="B136" s="409"/>
      <c r="C136" s="412"/>
      <c r="D136" s="70" t="s">
        <v>804</v>
      </c>
      <c r="E136" s="65">
        <v>12</v>
      </c>
      <c r="F136" s="65">
        <v>12</v>
      </c>
      <c r="G136" s="66">
        <v>12</v>
      </c>
      <c r="H136" s="65">
        <f t="shared" si="166"/>
        <v>36</v>
      </c>
      <c r="I136" s="67">
        <v>12</v>
      </c>
      <c r="J136" s="67">
        <v>12</v>
      </c>
      <c r="K136" s="66">
        <v>11</v>
      </c>
      <c r="L136" s="67">
        <v>11</v>
      </c>
      <c r="M136" s="67">
        <v>11</v>
      </c>
      <c r="N136" s="66">
        <v>11</v>
      </c>
      <c r="O136" s="67">
        <v>11</v>
      </c>
      <c r="P136" s="67">
        <v>11</v>
      </c>
      <c r="Q136" s="66">
        <v>11</v>
      </c>
      <c r="R136" s="67">
        <v>10</v>
      </c>
      <c r="S136" s="67">
        <v>11</v>
      </c>
      <c r="T136" s="66">
        <v>9</v>
      </c>
      <c r="U136" s="67">
        <v>10</v>
      </c>
      <c r="V136" s="67">
        <v>11</v>
      </c>
      <c r="W136" s="66">
        <v>9</v>
      </c>
      <c r="X136" s="67">
        <v>10</v>
      </c>
      <c r="Y136" s="67">
        <v>11</v>
      </c>
      <c r="Z136" s="66">
        <v>5</v>
      </c>
      <c r="AA136" s="67">
        <v>10</v>
      </c>
      <c r="AB136" s="67">
        <v>11</v>
      </c>
      <c r="AC136" s="66">
        <v>5</v>
      </c>
      <c r="AD136" s="65">
        <f t="shared" si="130"/>
        <v>100</v>
      </c>
      <c r="AE136" s="65">
        <f t="shared" si="131"/>
        <v>100</v>
      </c>
      <c r="AF136" s="66">
        <f t="shared" si="132"/>
        <v>100</v>
      </c>
      <c r="AG136" s="65">
        <f t="shared" si="133"/>
        <v>100</v>
      </c>
      <c r="AH136" s="65">
        <f t="shared" si="134"/>
        <v>100</v>
      </c>
      <c r="AI136" s="66">
        <f t="shared" si="135"/>
        <v>91.666666666666671</v>
      </c>
      <c r="AJ136" s="65">
        <f t="shared" si="136"/>
        <v>91.666666666666671</v>
      </c>
      <c r="AK136" s="65">
        <f t="shared" si="137"/>
        <v>91.666666666666671</v>
      </c>
      <c r="AL136" s="66">
        <f t="shared" si="138"/>
        <v>91.666666666666671</v>
      </c>
      <c r="AM136" s="65">
        <f t="shared" si="139"/>
        <v>91.666666666666671</v>
      </c>
      <c r="AN136" s="65">
        <f t="shared" si="140"/>
        <v>91.666666666666671</v>
      </c>
      <c r="AO136" s="66">
        <f t="shared" si="141"/>
        <v>91.666666666666671</v>
      </c>
      <c r="AP136" s="65">
        <f t="shared" si="142"/>
        <v>83.333333333333343</v>
      </c>
      <c r="AQ136" s="65">
        <f t="shared" si="143"/>
        <v>91.666666666666671</v>
      </c>
      <c r="AR136" s="66">
        <f t="shared" si="144"/>
        <v>75</v>
      </c>
      <c r="AS136" s="65">
        <f t="shared" si="145"/>
        <v>83.333333333333343</v>
      </c>
      <c r="AT136" s="65">
        <f t="shared" si="146"/>
        <v>91.666666666666671</v>
      </c>
      <c r="AU136" s="66">
        <f t="shared" si="147"/>
        <v>75</v>
      </c>
      <c r="AV136" s="65">
        <f t="shared" si="148"/>
        <v>83.333333333333343</v>
      </c>
      <c r="AW136" s="65">
        <f t="shared" si="149"/>
        <v>91.666666666666671</v>
      </c>
      <c r="AX136" s="66">
        <f t="shared" si="150"/>
        <v>41.666666666666671</v>
      </c>
      <c r="AY136" s="65">
        <f t="shared" si="151"/>
        <v>83.333333333333343</v>
      </c>
      <c r="AZ136" s="65">
        <f t="shared" si="152"/>
        <v>91.666666666666671</v>
      </c>
      <c r="BA136" s="66">
        <f t="shared" si="153"/>
        <v>41.666666666666671</v>
      </c>
      <c r="BB136" s="68">
        <f t="shared" si="154"/>
        <v>0</v>
      </c>
      <c r="BC136" s="65">
        <f t="shared" si="155"/>
        <v>4.8112522432468783</v>
      </c>
      <c r="BD136" s="65">
        <f t="shared" si="156"/>
        <v>0</v>
      </c>
      <c r="BE136" s="65">
        <f t="shared" si="157"/>
        <v>0</v>
      </c>
      <c r="BF136" s="65">
        <f t="shared" si="158"/>
        <v>8.3333333333333357</v>
      </c>
      <c r="BG136" s="65">
        <f t="shared" si="159"/>
        <v>8.3333333333333357</v>
      </c>
      <c r="BH136" s="65">
        <f t="shared" si="160"/>
        <v>26.78791878053601</v>
      </c>
      <c r="BI136" s="65">
        <f t="shared" si="161"/>
        <v>26.78791878053601</v>
      </c>
      <c r="BJ136" s="68">
        <f t="shared" si="167"/>
        <v>0</v>
      </c>
      <c r="BK136" s="65">
        <f t="shared" si="168"/>
        <v>0.80187537387447971</v>
      </c>
      <c r="BL136" s="65">
        <f t="shared" si="169"/>
        <v>0</v>
      </c>
      <c r="BM136" s="65">
        <f t="shared" si="170"/>
        <v>0</v>
      </c>
      <c r="BN136" s="65">
        <f t="shared" si="171"/>
        <v>1.3888888888888893</v>
      </c>
      <c r="BO136" s="65">
        <f t="shared" si="172"/>
        <v>1.3888888888888893</v>
      </c>
      <c r="BP136" s="65">
        <f t="shared" si="173"/>
        <v>4.4646531300893351</v>
      </c>
      <c r="BQ136" s="90">
        <f t="shared" si="174"/>
        <v>4.4646531300893351</v>
      </c>
      <c r="BR136" s="69">
        <f t="shared" si="162"/>
        <v>100</v>
      </c>
      <c r="BS136" s="67">
        <f t="shared" si="163"/>
        <v>97.222222222222229</v>
      </c>
      <c r="BT136" s="67">
        <f t="shared" si="164"/>
        <v>91.666666666666671</v>
      </c>
      <c r="BU136" s="67">
        <f t="shared" si="165"/>
        <v>91.666666666666671</v>
      </c>
      <c r="BV136" s="67">
        <f t="shared" si="125"/>
        <v>83.333333333333329</v>
      </c>
      <c r="BW136" s="67">
        <f t="shared" si="126"/>
        <v>83.333333333333329</v>
      </c>
      <c r="BX136" s="67">
        <f t="shared" si="127"/>
        <v>83.333333333333343</v>
      </c>
      <c r="BY136" s="67">
        <f t="shared" si="128"/>
        <v>83.333333333333329</v>
      </c>
      <c r="BZ136" s="69">
        <f t="shared" si="175"/>
        <v>0</v>
      </c>
      <c r="CA136" s="67">
        <f t="shared" si="175"/>
        <v>2.7777777777777715</v>
      </c>
      <c r="CB136" s="67">
        <f t="shared" si="175"/>
        <v>8.3333333333333286</v>
      </c>
      <c r="CC136" s="67">
        <f t="shared" si="175"/>
        <v>8.3333333333333286</v>
      </c>
      <c r="CD136" s="67">
        <f t="shared" si="175"/>
        <v>16.666666666666671</v>
      </c>
      <c r="CE136" s="67">
        <f t="shared" si="129"/>
        <v>16.666666666666671</v>
      </c>
      <c r="CF136" s="67">
        <f t="shared" si="129"/>
        <v>16.666666666666657</v>
      </c>
      <c r="CG136" s="116">
        <f t="shared" si="129"/>
        <v>16.666666666666671</v>
      </c>
    </row>
    <row r="137" spans="2:85" x14ac:dyDescent="0.3">
      <c r="B137" s="410"/>
      <c r="C137" s="413"/>
      <c r="D137" s="70" t="s">
        <v>805</v>
      </c>
      <c r="E137" s="71">
        <v>12</v>
      </c>
      <c r="F137" s="71">
        <v>12</v>
      </c>
      <c r="G137" s="72">
        <v>12</v>
      </c>
      <c r="H137" s="71">
        <f t="shared" si="166"/>
        <v>36</v>
      </c>
      <c r="I137" s="73">
        <v>9</v>
      </c>
      <c r="J137" s="73">
        <v>8</v>
      </c>
      <c r="K137" s="72">
        <v>7</v>
      </c>
      <c r="L137" s="73">
        <v>9</v>
      </c>
      <c r="M137" s="73">
        <v>8</v>
      </c>
      <c r="N137" s="72">
        <v>6</v>
      </c>
      <c r="O137" s="73">
        <v>9</v>
      </c>
      <c r="P137" s="73">
        <v>8</v>
      </c>
      <c r="Q137" s="72">
        <v>6</v>
      </c>
      <c r="R137" s="73">
        <v>9</v>
      </c>
      <c r="S137" s="73">
        <v>8</v>
      </c>
      <c r="T137" s="72">
        <v>6</v>
      </c>
      <c r="U137" s="73">
        <v>8</v>
      </c>
      <c r="V137" s="73">
        <v>6</v>
      </c>
      <c r="W137" s="72">
        <v>5</v>
      </c>
      <c r="X137" s="73">
        <v>8</v>
      </c>
      <c r="Y137" s="73">
        <v>6</v>
      </c>
      <c r="Z137" s="72">
        <v>5</v>
      </c>
      <c r="AA137" s="73">
        <v>8</v>
      </c>
      <c r="AB137" s="73">
        <v>6</v>
      </c>
      <c r="AC137" s="72">
        <v>5</v>
      </c>
      <c r="AD137" s="71">
        <f t="shared" si="130"/>
        <v>100</v>
      </c>
      <c r="AE137" s="71">
        <f t="shared" si="131"/>
        <v>100</v>
      </c>
      <c r="AF137" s="72">
        <f t="shared" si="132"/>
        <v>100</v>
      </c>
      <c r="AG137" s="71">
        <f t="shared" si="133"/>
        <v>75</v>
      </c>
      <c r="AH137" s="71">
        <f t="shared" si="134"/>
        <v>66.666666666666671</v>
      </c>
      <c r="AI137" s="72">
        <f t="shared" si="135"/>
        <v>58.333333333333336</v>
      </c>
      <c r="AJ137" s="71">
        <f t="shared" si="136"/>
        <v>75</v>
      </c>
      <c r="AK137" s="71">
        <f t="shared" si="137"/>
        <v>66.666666666666671</v>
      </c>
      <c r="AL137" s="72">
        <f t="shared" si="138"/>
        <v>50</v>
      </c>
      <c r="AM137" s="71">
        <f t="shared" si="139"/>
        <v>75</v>
      </c>
      <c r="AN137" s="71">
        <f t="shared" si="140"/>
        <v>66.666666666666671</v>
      </c>
      <c r="AO137" s="72">
        <f t="shared" si="141"/>
        <v>50</v>
      </c>
      <c r="AP137" s="71">
        <f t="shared" si="142"/>
        <v>75</v>
      </c>
      <c r="AQ137" s="71">
        <f t="shared" si="143"/>
        <v>66.666666666666671</v>
      </c>
      <c r="AR137" s="72">
        <f t="shared" si="144"/>
        <v>50</v>
      </c>
      <c r="AS137" s="71">
        <f t="shared" si="145"/>
        <v>66.666666666666671</v>
      </c>
      <c r="AT137" s="71">
        <f t="shared" si="146"/>
        <v>50</v>
      </c>
      <c r="AU137" s="72">
        <f t="shared" si="147"/>
        <v>41.666666666666671</v>
      </c>
      <c r="AV137" s="71">
        <f t="shared" si="148"/>
        <v>66.666666666666671</v>
      </c>
      <c r="AW137" s="71">
        <f t="shared" si="149"/>
        <v>50</v>
      </c>
      <c r="AX137" s="72">
        <f t="shared" si="150"/>
        <v>41.666666666666671</v>
      </c>
      <c r="AY137" s="71">
        <f t="shared" si="151"/>
        <v>66.666666666666671</v>
      </c>
      <c r="AZ137" s="71">
        <f t="shared" si="152"/>
        <v>50</v>
      </c>
      <c r="BA137" s="72">
        <f t="shared" si="153"/>
        <v>41.666666666666671</v>
      </c>
      <c r="BB137" s="74">
        <f t="shared" si="154"/>
        <v>0</v>
      </c>
      <c r="BC137" s="71">
        <f t="shared" si="155"/>
        <v>8.3333333333332185</v>
      </c>
      <c r="BD137" s="71">
        <f t="shared" si="156"/>
        <v>12.729376930432867</v>
      </c>
      <c r="BE137" s="71">
        <f t="shared" si="157"/>
        <v>12.729376930432867</v>
      </c>
      <c r="BF137" s="71">
        <f t="shared" si="158"/>
        <v>12.729376930432867</v>
      </c>
      <c r="BG137" s="71">
        <f t="shared" si="159"/>
        <v>12.729376930432867</v>
      </c>
      <c r="BH137" s="71">
        <f t="shared" si="160"/>
        <v>12.729376930432867</v>
      </c>
      <c r="BI137" s="71">
        <f t="shared" si="161"/>
        <v>12.729376930432867</v>
      </c>
      <c r="BJ137" s="74">
        <f t="shared" si="167"/>
        <v>0</v>
      </c>
      <c r="BK137" s="71">
        <f t="shared" si="168"/>
        <v>1.3888888888888697</v>
      </c>
      <c r="BL137" s="71">
        <f t="shared" si="169"/>
        <v>2.1215628217388112</v>
      </c>
      <c r="BM137" s="71">
        <f t="shared" si="170"/>
        <v>2.1215628217388112</v>
      </c>
      <c r="BN137" s="71">
        <f t="shared" si="171"/>
        <v>2.1215628217388112</v>
      </c>
      <c r="BO137" s="71">
        <f t="shared" si="172"/>
        <v>2.1215628217388112</v>
      </c>
      <c r="BP137" s="71">
        <f t="shared" si="173"/>
        <v>2.1215628217388112</v>
      </c>
      <c r="BQ137" s="91">
        <f t="shared" si="174"/>
        <v>2.1215628217388112</v>
      </c>
      <c r="BR137" s="75">
        <f t="shared" si="162"/>
        <v>100</v>
      </c>
      <c r="BS137" s="73">
        <f t="shared" si="163"/>
        <v>66.666666666666671</v>
      </c>
      <c r="BT137" s="73">
        <f t="shared" si="164"/>
        <v>63.888888888888893</v>
      </c>
      <c r="BU137" s="73">
        <f t="shared" si="165"/>
        <v>63.888888888888893</v>
      </c>
      <c r="BV137" s="73">
        <f t="shared" si="125"/>
        <v>63.888888888888893</v>
      </c>
      <c r="BW137" s="73">
        <f t="shared" si="126"/>
        <v>52.777777777777779</v>
      </c>
      <c r="BX137" s="73">
        <f t="shared" si="127"/>
        <v>52.777777777777779</v>
      </c>
      <c r="BY137" s="73">
        <f t="shared" si="128"/>
        <v>52.777777777777779</v>
      </c>
      <c r="BZ137" s="75">
        <f t="shared" si="175"/>
        <v>0</v>
      </c>
      <c r="CA137" s="73">
        <f t="shared" si="175"/>
        <v>33.333333333333329</v>
      </c>
      <c r="CB137" s="73">
        <f t="shared" si="175"/>
        <v>36.111111111111107</v>
      </c>
      <c r="CC137" s="73">
        <f t="shared" si="175"/>
        <v>36.111111111111107</v>
      </c>
      <c r="CD137" s="73">
        <f t="shared" si="175"/>
        <v>36.111111111111107</v>
      </c>
      <c r="CE137" s="73">
        <f t="shared" si="129"/>
        <v>47.222222222222221</v>
      </c>
      <c r="CF137" s="73">
        <f t="shared" si="129"/>
        <v>47.222222222222221</v>
      </c>
      <c r="CG137" s="265">
        <f t="shared" si="129"/>
        <v>47.222222222222221</v>
      </c>
    </row>
    <row r="138" spans="2:85" ht="15" customHeight="1" x14ac:dyDescent="0.3">
      <c r="B138" s="408">
        <v>34</v>
      </c>
      <c r="C138" s="411" t="s">
        <v>444</v>
      </c>
      <c r="D138" s="76" t="s">
        <v>802</v>
      </c>
      <c r="E138" s="77">
        <v>11</v>
      </c>
      <c r="F138" s="77">
        <v>15</v>
      </c>
      <c r="G138" s="78">
        <v>14</v>
      </c>
      <c r="H138" s="77">
        <f t="shared" si="166"/>
        <v>40</v>
      </c>
      <c r="I138" s="79">
        <v>10</v>
      </c>
      <c r="J138" s="79">
        <v>14</v>
      </c>
      <c r="K138" s="78">
        <v>11</v>
      </c>
      <c r="L138" s="79">
        <v>1</v>
      </c>
      <c r="M138" s="79">
        <v>4</v>
      </c>
      <c r="N138" s="78">
        <v>4</v>
      </c>
      <c r="O138" s="79">
        <v>0</v>
      </c>
      <c r="P138" s="79">
        <v>0</v>
      </c>
      <c r="Q138" s="78">
        <v>0</v>
      </c>
      <c r="R138" s="79">
        <v>0</v>
      </c>
      <c r="S138" s="79">
        <v>0</v>
      </c>
      <c r="T138" s="78">
        <v>0</v>
      </c>
      <c r="U138" s="79">
        <v>0</v>
      </c>
      <c r="V138" s="79">
        <v>0</v>
      </c>
      <c r="W138" s="78">
        <v>0</v>
      </c>
      <c r="X138" s="79">
        <v>0</v>
      </c>
      <c r="Y138" s="79">
        <v>0</v>
      </c>
      <c r="Z138" s="78">
        <v>0</v>
      </c>
      <c r="AA138" s="79">
        <v>0</v>
      </c>
      <c r="AB138" s="79">
        <v>0</v>
      </c>
      <c r="AC138" s="78">
        <v>0</v>
      </c>
      <c r="AD138" s="77">
        <f t="shared" si="130"/>
        <v>100.00000000000001</v>
      </c>
      <c r="AE138" s="77">
        <f t="shared" si="131"/>
        <v>100</v>
      </c>
      <c r="AF138" s="78">
        <f t="shared" si="132"/>
        <v>100</v>
      </c>
      <c r="AG138" s="77">
        <f t="shared" si="133"/>
        <v>90.909090909090921</v>
      </c>
      <c r="AH138" s="77">
        <f t="shared" si="134"/>
        <v>93.333333333333343</v>
      </c>
      <c r="AI138" s="78">
        <f t="shared" si="135"/>
        <v>78.571428571428569</v>
      </c>
      <c r="AJ138" s="77">
        <f t="shared" si="136"/>
        <v>9.0909090909090917</v>
      </c>
      <c r="AK138" s="77">
        <f t="shared" si="137"/>
        <v>26.666666666666668</v>
      </c>
      <c r="AL138" s="78">
        <f t="shared" si="138"/>
        <v>28.571428571428573</v>
      </c>
      <c r="AM138" s="77">
        <f t="shared" si="139"/>
        <v>0</v>
      </c>
      <c r="AN138" s="77">
        <f t="shared" si="140"/>
        <v>0</v>
      </c>
      <c r="AO138" s="78">
        <f t="shared" si="141"/>
        <v>0</v>
      </c>
      <c r="AP138" s="77">
        <f t="shared" si="142"/>
        <v>0</v>
      </c>
      <c r="AQ138" s="77">
        <f t="shared" si="143"/>
        <v>0</v>
      </c>
      <c r="AR138" s="78">
        <f t="shared" si="144"/>
        <v>0</v>
      </c>
      <c r="AS138" s="77">
        <f t="shared" si="145"/>
        <v>0</v>
      </c>
      <c r="AT138" s="77">
        <f t="shared" si="146"/>
        <v>0</v>
      </c>
      <c r="AU138" s="78">
        <f t="shared" si="147"/>
        <v>0</v>
      </c>
      <c r="AV138" s="77">
        <f t="shared" si="148"/>
        <v>0</v>
      </c>
      <c r="AW138" s="77">
        <f t="shared" si="149"/>
        <v>0</v>
      </c>
      <c r="AX138" s="78">
        <f t="shared" si="150"/>
        <v>0</v>
      </c>
      <c r="AY138" s="77">
        <f t="shared" si="151"/>
        <v>0</v>
      </c>
      <c r="AZ138" s="77">
        <f t="shared" si="152"/>
        <v>0</v>
      </c>
      <c r="BA138" s="78">
        <f t="shared" si="153"/>
        <v>0</v>
      </c>
      <c r="BB138" s="80">
        <f t="shared" si="154"/>
        <v>1.0048591735576161E-14</v>
      </c>
      <c r="BC138" s="77">
        <f t="shared" si="155"/>
        <v>7.9163195940329034</v>
      </c>
      <c r="BD138" s="77">
        <f t="shared" si="156"/>
        <v>10.739537633642417</v>
      </c>
      <c r="BE138" s="77">
        <f t="shared" si="157"/>
        <v>0</v>
      </c>
      <c r="BF138" s="77">
        <f t="shared" si="158"/>
        <v>0</v>
      </c>
      <c r="BG138" s="77">
        <f t="shared" si="159"/>
        <v>0</v>
      </c>
      <c r="BH138" s="77">
        <f t="shared" si="160"/>
        <v>0</v>
      </c>
      <c r="BI138" s="77">
        <f t="shared" si="161"/>
        <v>0</v>
      </c>
      <c r="BJ138" s="80">
        <f t="shared" si="167"/>
        <v>1.5888218580782547E-15</v>
      </c>
      <c r="BK138" s="77">
        <f t="shared" si="168"/>
        <v>1.2516800301481732</v>
      </c>
      <c r="BL138" s="77">
        <f t="shared" si="169"/>
        <v>1.6980699969702497</v>
      </c>
      <c r="BM138" s="77">
        <f t="shared" si="170"/>
        <v>0</v>
      </c>
      <c r="BN138" s="77">
        <f t="shared" si="171"/>
        <v>0</v>
      </c>
      <c r="BO138" s="77">
        <f t="shared" si="172"/>
        <v>0</v>
      </c>
      <c r="BP138" s="77">
        <f t="shared" si="173"/>
        <v>0</v>
      </c>
      <c r="BQ138" s="92">
        <f t="shared" si="174"/>
        <v>0</v>
      </c>
      <c r="BR138" s="81">
        <f t="shared" si="162"/>
        <v>100</v>
      </c>
      <c r="BS138" s="79">
        <f t="shared" si="163"/>
        <v>87.604617604617602</v>
      </c>
      <c r="BT138" s="79">
        <f t="shared" si="164"/>
        <v>21.443001443001446</v>
      </c>
      <c r="BU138" s="79">
        <f t="shared" si="165"/>
        <v>0</v>
      </c>
      <c r="BV138" s="79">
        <f t="shared" si="125"/>
        <v>0</v>
      </c>
      <c r="BW138" s="79">
        <f t="shared" si="126"/>
        <v>0</v>
      </c>
      <c r="BX138" s="79">
        <f t="shared" si="127"/>
        <v>0</v>
      </c>
      <c r="BY138" s="79">
        <f t="shared" si="128"/>
        <v>0</v>
      </c>
      <c r="BZ138" s="81">
        <f t="shared" si="175"/>
        <v>0</v>
      </c>
      <c r="CA138" s="79">
        <f t="shared" si="175"/>
        <v>12.395382395382398</v>
      </c>
      <c r="CB138" s="79">
        <f t="shared" si="175"/>
        <v>78.55699855699855</v>
      </c>
      <c r="CC138" s="79">
        <f t="shared" si="175"/>
        <v>100</v>
      </c>
      <c r="CD138" s="79">
        <f t="shared" si="175"/>
        <v>100</v>
      </c>
      <c r="CE138" s="79">
        <f t="shared" si="129"/>
        <v>100</v>
      </c>
      <c r="CF138" s="79">
        <f t="shared" si="129"/>
        <v>100</v>
      </c>
      <c r="CG138" s="264">
        <f t="shared" si="129"/>
        <v>100</v>
      </c>
    </row>
    <row r="139" spans="2:85" x14ac:dyDescent="0.3">
      <c r="B139" s="409"/>
      <c r="C139" s="412"/>
      <c r="D139" s="70" t="s">
        <v>803</v>
      </c>
      <c r="E139" s="65">
        <v>14</v>
      </c>
      <c r="F139" s="65">
        <v>14</v>
      </c>
      <c r="G139" s="66">
        <v>13</v>
      </c>
      <c r="H139" s="65">
        <f t="shared" si="166"/>
        <v>41</v>
      </c>
      <c r="I139" s="67">
        <v>11</v>
      </c>
      <c r="J139" s="67">
        <v>14</v>
      </c>
      <c r="K139" s="66">
        <v>11</v>
      </c>
      <c r="L139" s="67">
        <v>8</v>
      </c>
      <c r="M139" s="67">
        <v>11</v>
      </c>
      <c r="N139" s="66">
        <v>8</v>
      </c>
      <c r="O139" s="67">
        <v>4</v>
      </c>
      <c r="P139" s="67">
        <v>5</v>
      </c>
      <c r="Q139" s="66">
        <v>4</v>
      </c>
      <c r="R139" s="67">
        <v>2</v>
      </c>
      <c r="S139" s="67">
        <v>0</v>
      </c>
      <c r="T139" s="66">
        <v>1</v>
      </c>
      <c r="U139" s="67">
        <v>1</v>
      </c>
      <c r="V139" s="67">
        <v>0</v>
      </c>
      <c r="W139" s="66">
        <v>0</v>
      </c>
      <c r="X139" s="67">
        <v>0</v>
      </c>
      <c r="Y139" s="67">
        <v>0</v>
      </c>
      <c r="Z139" s="66">
        <v>0</v>
      </c>
      <c r="AA139" s="67">
        <v>0</v>
      </c>
      <c r="AB139" s="67">
        <v>0</v>
      </c>
      <c r="AC139" s="66">
        <v>0</v>
      </c>
      <c r="AD139" s="65">
        <f t="shared" si="130"/>
        <v>100</v>
      </c>
      <c r="AE139" s="65">
        <f t="shared" si="131"/>
        <v>100</v>
      </c>
      <c r="AF139" s="66">
        <f t="shared" si="132"/>
        <v>100</v>
      </c>
      <c r="AG139" s="65">
        <f t="shared" si="133"/>
        <v>78.571428571428569</v>
      </c>
      <c r="AH139" s="65">
        <f t="shared" si="134"/>
        <v>100</v>
      </c>
      <c r="AI139" s="66">
        <f t="shared" si="135"/>
        <v>84.615384615384613</v>
      </c>
      <c r="AJ139" s="65">
        <f t="shared" si="136"/>
        <v>57.142857142857146</v>
      </c>
      <c r="AK139" s="65">
        <f t="shared" si="137"/>
        <v>78.571428571428569</v>
      </c>
      <c r="AL139" s="66">
        <f t="shared" si="138"/>
        <v>61.53846153846154</v>
      </c>
      <c r="AM139" s="65">
        <f t="shared" si="139"/>
        <v>28.571428571428573</v>
      </c>
      <c r="AN139" s="65">
        <f t="shared" si="140"/>
        <v>35.714285714285715</v>
      </c>
      <c r="AO139" s="66">
        <f t="shared" si="141"/>
        <v>30.76923076923077</v>
      </c>
      <c r="AP139" s="65">
        <f t="shared" si="142"/>
        <v>14.285714285714286</v>
      </c>
      <c r="AQ139" s="65">
        <f t="shared" si="143"/>
        <v>0</v>
      </c>
      <c r="AR139" s="66">
        <f t="shared" si="144"/>
        <v>7.6923076923076925</v>
      </c>
      <c r="AS139" s="65">
        <f t="shared" si="145"/>
        <v>7.1428571428571432</v>
      </c>
      <c r="AT139" s="65">
        <f t="shared" si="146"/>
        <v>0</v>
      </c>
      <c r="AU139" s="66">
        <f t="shared" si="147"/>
        <v>0</v>
      </c>
      <c r="AV139" s="65">
        <f t="shared" si="148"/>
        <v>0</v>
      </c>
      <c r="AW139" s="65">
        <f t="shared" si="149"/>
        <v>0</v>
      </c>
      <c r="AX139" s="66">
        <f t="shared" si="150"/>
        <v>0</v>
      </c>
      <c r="AY139" s="65">
        <f t="shared" si="151"/>
        <v>0</v>
      </c>
      <c r="AZ139" s="65">
        <f t="shared" si="152"/>
        <v>0</v>
      </c>
      <c r="BA139" s="66">
        <f t="shared" si="153"/>
        <v>0</v>
      </c>
      <c r="BB139" s="68">
        <f t="shared" si="154"/>
        <v>0</v>
      </c>
      <c r="BC139" s="65">
        <f t="shared" si="155"/>
        <v>11.048374455571935</v>
      </c>
      <c r="BD139" s="65">
        <f t="shared" si="156"/>
        <v>11.318325681670506</v>
      </c>
      <c r="BE139" s="65">
        <f t="shared" si="157"/>
        <v>3.6584220431205452</v>
      </c>
      <c r="BF139" s="65">
        <f t="shared" si="158"/>
        <v>7.1498979106018803</v>
      </c>
      <c r="BG139" s="65">
        <f t="shared" si="159"/>
        <v>4.1239304942116126</v>
      </c>
      <c r="BH139" s="65">
        <f t="shared" si="160"/>
        <v>0</v>
      </c>
      <c r="BI139" s="65">
        <f t="shared" si="161"/>
        <v>0</v>
      </c>
      <c r="BJ139" s="68">
        <f t="shared" si="167"/>
        <v>0</v>
      </c>
      <c r="BK139" s="65">
        <f t="shared" si="168"/>
        <v>1.725466201480649</v>
      </c>
      <c r="BL139" s="65">
        <f t="shared" si="169"/>
        <v>1.7676254999869045</v>
      </c>
      <c r="BM139" s="65">
        <f t="shared" si="170"/>
        <v>0.57134953305033576</v>
      </c>
      <c r="BN139" s="65">
        <f t="shared" si="171"/>
        <v>1.11662645381818</v>
      </c>
      <c r="BO139" s="65">
        <f t="shared" si="172"/>
        <v>0.64404973904816598</v>
      </c>
      <c r="BP139" s="65">
        <f t="shared" si="173"/>
        <v>0</v>
      </c>
      <c r="BQ139" s="90">
        <f t="shared" si="174"/>
        <v>0</v>
      </c>
      <c r="BR139" s="69">
        <f t="shared" si="162"/>
        <v>100</v>
      </c>
      <c r="BS139" s="67">
        <f t="shared" si="163"/>
        <v>87.728937728937737</v>
      </c>
      <c r="BT139" s="67">
        <f t="shared" si="164"/>
        <v>65.750915750915752</v>
      </c>
      <c r="BU139" s="67">
        <f t="shared" si="165"/>
        <v>31.68498168498169</v>
      </c>
      <c r="BV139" s="67">
        <f t="shared" si="125"/>
        <v>7.3260073260073257</v>
      </c>
      <c r="BW139" s="67">
        <f t="shared" si="126"/>
        <v>2.3809523809523809</v>
      </c>
      <c r="BX139" s="67">
        <f t="shared" si="127"/>
        <v>0</v>
      </c>
      <c r="BY139" s="67">
        <f t="shared" si="128"/>
        <v>0</v>
      </c>
      <c r="BZ139" s="69">
        <f t="shared" si="175"/>
        <v>0</v>
      </c>
      <c r="CA139" s="67">
        <f t="shared" si="175"/>
        <v>12.271062271062263</v>
      </c>
      <c r="CB139" s="67">
        <f t="shared" si="175"/>
        <v>34.249084249084248</v>
      </c>
      <c r="CC139" s="67">
        <f t="shared" si="175"/>
        <v>68.315018315018307</v>
      </c>
      <c r="CD139" s="67">
        <f t="shared" si="175"/>
        <v>92.673992673992672</v>
      </c>
      <c r="CE139" s="67">
        <f t="shared" si="129"/>
        <v>97.61904761904762</v>
      </c>
      <c r="CF139" s="67">
        <f t="shared" si="129"/>
        <v>100</v>
      </c>
      <c r="CG139" s="116">
        <f t="shared" si="129"/>
        <v>100</v>
      </c>
    </row>
    <row r="140" spans="2:85" x14ac:dyDescent="0.3">
      <c r="B140" s="409"/>
      <c r="C140" s="412"/>
      <c r="D140" s="70" t="s">
        <v>804</v>
      </c>
      <c r="E140" s="65">
        <v>13</v>
      </c>
      <c r="F140" s="65">
        <v>14</v>
      </c>
      <c r="G140" s="66">
        <v>13</v>
      </c>
      <c r="H140" s="65">
        <f t="shared" si="166"/>
        <v>40</v>
      </c>
      <c r="I140" s="67">
        <v>11</v>
      </c>
      <c r="J140" s="67">
        <v>12</v>
      </c>
      <c r="K140" s="66">
        <v>12</v>
      </c>
      <c r="L140" s="67">
        <v>9</v>
      </c>
      <c r="M140" s="67">
        <v>11</v>
      </c>
      <c r="N140" s="66">
        <v>11</v>
      </c>
      <c r="O140" s="67">
        <v>7</v>
      </c>
      <c r="P140" s="67">
        <v>8</v>
      </c>
      <c r="Q140" s="66">
        <v>6</v>
      </c>
      <c r="R140" s="67">
        <v>5</v>
      </c>
      <c r="S140" s="67">
        <v>6</v>
      </c>
      <c r="T140" s="66">
        <v>2</v>
      </c>
      <c r="U140" s="67">
        <v>2</v>
      </c>
      <c r="V140" s="67">
        <v>5</v>
      </c>
      <c r="W140" s="66">
        <v>1</v>
      </c>
      <c r="X140" s="67">
        <v>2</v>
      </c>
      <c r="Y140" s="67">
        <v>4</v>
      </c>
      <c r="Z140" s="66">
        <v>1</v>
      </c>
      <c r="AA140" s="67">
        <v>2</v>
      </c>
      <c r="AB140" s="67">
        <v>2</v>
      </c>
      <c r="AC140" s="66">
        <v>0</v>
      </c>
      <c r="AD140" s="65">
        <f t="shared" si="130"/>
        <v>100</v>
      </c>
      <c r="AE140" s="65">
        <f t="shared" si="131"/>
        <v>100</v>
      </c>
      <c r="AF140" s="66">
        <f t="shared" si="132"/>
        <v>100</v>
      </c>
      <c r="AG140" s="65">
        <f t="shared" si="133"/>
        <v>84.615384615384613</v>
      </c>
      <c r="AH140" s="65">
        <f t="shared" si="134"/>
        <v>85.714285714285722</v>
      </c>
      <c r="AI140" s="66">
        <f t="shared" si="135"/>
        <v>92.307692307692307</v>
      </c>
      <c r="AJ140" s="65">
        <f t="shared" si="136"/>
        <v>69.230769230769226</v>
      </c>
      <c r="AK140" s="65">
        <f t="shared" si="137"/>
        <v>78.571428571428569</v>
      </c>
      <c r="AL140" s="66">
        <f t="shared" si="138"/>
        <v>84.615384615384613</v>
      </c>
      <c r="AM140" s="65">
        <f t="shared" si="139"/>
        <v>53.846153846153847</v>
      </c>
      <c r="AN140" s="65">
        <f t="shared" si="140"/>
        <v>57.142857142857146</v>
      </c>
      <c r="AO140" s="66">
        <f t="shared" si="141"/>
        <v>46.153846153846153</v>
      </c>
      <c r="AP140" s="65">
        <f t="shared" si="142"/>
        <v>38.46153846153846</v>
      </c>
      <c r="AQ140" s="65">
        <f t="shared" si="143"/>
        <v>42.857142857142861</v>
      </c>
      <c r="AR140" s="66">
        <f t="shared" si="144"/>
        <v>15.384615384615385</v>
      </c>
      <c r="AS140" s="65">
        <f t="shared" si="145"/>
        <v>15.384615384615385</v>
      </c>
      <c r="AT140" s="65">
        <f t="shared" si="146"/>
        <v>35.714285714285715</v>
      </c>
      <c r="AU140" s="66">
        <f t="shared" si="147"/>
        <v>7.6923076923076925</v>
      </c>
      <c r="AV140" s="65">
        <f t="shared" si="148"/>
        <v>15.384615384615385</v>
      </c>
      <c r="AW140" s="65">
        <f t="shared" si="149"/>
        <v>28.571428571428573</v>
      </c>
      <c r="AX140" s="66">
        <f t="shared" si="150"/>
        <v>7.6923076923076925</v>
      </c>
      <c r="AY140" s="65">
        <f t="shared" si="151"/>
        <v>15.384615384615385</v>
      </c>
      <c r="AZ140" s="65">
        <f t="shared" si="152"/>
        <v>14.285714285714286</v>
      </c>
      <c r="BA140" s="66">
        <f t="shared" si="153"/>
        <v>0</v>
      </c>
      <c r="BB140" s="68">
        <f t="shared" si="154"/>
        <v>0</v>
      </c>
      <c r="BC140" s="65">
        <f t="shared" si="155"/>
        <v>4.1603724145056935</v>
      </c>
      <c r="BD140" s="65">
        <f t="shared" si="156"/>
        <v>7.7509538349812566</v>
      </c>
      <c r="BE140" s="65">
        <f t="shared" si="157"/>
        <v>5.6391224609306434</v>
      </c>
      <c r="BF140" s="65">
        <f t="shared" si="158"/>
        <v>14.7569502406474</v>
      </c>
      <c r="BG140" s="65">
        <f t="shared" si="159"/>
        <v>14.478134925986573</v>
      </c>
      <c r="BH140" s="65">
        <f t="shared" si="160"/>
        <v>10.559366524102252</v>
      </c>
      <c r="BI140" s="65">
        <f t="shared" si="161"/>
        <v>8.5826919515457742</v>
      </c>
      <c r="BJ140" s="68">
        <f t="shared" si="167"/>
        <v>0</v>
      </c>
      <c r="BK140" s="65">
        <f t="shared" si="168"/>
        <v>0.65781263721860672</v>
      </c>
      <c r="BL140" s="65">
        <f t="shared" si="169"/>
        <v>1.2255334078678826</v>
      </c>
      <c r="BM140" s="65">
        <f t="shared" si="170"/>
        <v>0.89162354905773533</v>
      </c>
      <c r="BN140" s="65">
        <f t="shared" si="171"/>
        <v>2.333278703910783</v>
      </c>
      <c r="BO140" s="65">
        <f t="shared" si="172"/>
        <v>2.2891941318675455</v>
      </c>
      <c r="BP140" s="65">
        <f t="shared" si="173"/>
        <v>1.6695824432349191</v>
      </c>
      <c r="BQ140" s="90">
        <f t="shared" si="174"/>
        <v>1.3570427511240075</v>
      </c>
      <c r="BR140" s="69">
        <f t="shared" si="162"/>
        <v>100</v>
      </c>
      <c r="BS140" s="67">
        <f t="shared" si="163"/>
        <v>87.545787545787547</v>
      </c>
      <c r="BT140" s="67">
        <f t="shared" si="164"/>
        <v>77.47252747252746</v>
      </c>
      <c r="BU140" s="67">
        <f t="shared" si="165"/>
        <v>52.38095238095238</v>
      </c>
      <c r="BV140" s="67">
        <f t="shared" si="125"/>
        <v>32.234432234432234</v>
      </c>
      <c r="BW140" s="67">
        <f t="shared" si="126"/>
        <v>19.597069597069599</v>
      </c>
      <c r="BX140" s="67">
        <f t="shared" si="127"/>
        <v>19.597069597069599</v>
      </c>
      <c r="BY140" s="67">
        <f t="shared" si="128"/>
        <v>17.216117216117215</v>
      </c>
      <c r="BZ140" s="69">
        <f t="shared" si="175"/>
        <v>0</v>
      </c>
      <c r="CA140" s="67">
        <f t="shared" si="175"/>
        <v>12.454212454212453</v>
      </c>
      <c r="CB140" s="67">
        <f t="shared" si="175"/>
        <v>22.52747252747254</v>
      </c>
      <c r="CC140" s="67">
        <f t="shared" si="175"/>
        <v>47.61904761904762</v>
      </c>
      <c r="CD140" s="67">
        <f t="shared" si="175"/>
        <v>67.765567765567766</v>
      </c>
      <c r="CE140" s="67">
        <f t="shared" si="129"/>
        <v>80.402930402930394</v>
      </c>
      <c r="CF140" s="67">
        <f t="shared" si="129"/>
        <v>80.402930402930394</v>
      </c>
      <c r="CG140" s="116">
        <f t="shared" si="129"/>
        <v>82.783882783882788</v>
      </c>
    </row>
    <row r="141" spans="2:85" x14ac:dyDescent="0.3">
      <c r="B141" s="410"/>
      <c r="C141" s="413"/>
      <c r="D141" s="70" t="s">
        <v>805</v>
      </c>
      <c r="E141" s="71">
        <v>15</v>
      </c>
      <c r="F141" s="71">
        <v>15</v>
      </c>
      <c r="G141" s="72">
        <v>15</v>
      </c>
      <c r="H141" s="71">
        <f t="shared" si="166"/>
        <v>45</v>
      </c>
      <c r="I141" s="73">
        <v>13</v>
      </c>
      <c r="J141" s="73">
        <v>13</v>
      </c>
      <c r="K141" s="72">
        <v>11</v>
      </c>
      <c r="L141" s="73">
        <v>11</v>
      </c>
      <c r="M141" s="73">
        <v>9</v>
      </c>
      <c r="N141" s="72">
        <v>11</v>
      </c>
      <c r="O141" s="73">
        <v>6</v>
      </c>
      <c r="P141" s="73">
        <v>7</v>
      </c>
      <c r="Q141" s="72">
        <v>7</v>
      </c>
      <c r="R141" s="73">
        <v>3</v>
      </c>
      <c r="S141" s="73">
        <v>4</v>
      </c>
      <c r="T141" s="72">
        <v>4</v>
      </c>
      <c r="U141" s="73">
        <v>3</v>
      </c>
      <c r="V141" s="73">
        <v>2</v>
      </c>
      <c r="W141" s="72">
        <v>2</v>
      </c>
      <c r="X141" s="73">
        <v>3</v>
      </c>
      <c r="Y141" s="73">
        <v>2</v>
      </c>
      <c r="Z141" s="72">
        <v>2</v>
      </c>
      <c r="AA141" s="73">
        <v>2</v>
      </c>
      <c r="AB141" s="73">
        <v>2</v>
      </c>
      <c r="AC141" s="72">
        <v>2</v>
      </c>
      <c r="AD141" s="71">
        <f t="shared" si="130"/>
        <v>100</v>
      </c>
      <c r="AE141" s="71">
        <f t="shared" si="131"/>
        <v>100</v>
      </c>
      <c r="AF141" s="72">
        <f t="shared" si="132"/>
        <v>100</v>
      </c>
      <c r="AG141" s="71">
        <f t="shared" si="133"/>
        <v>86.666666666666671</v>
      </c>
      <c r="AH141" s="71">
        <f t="shared" si="134"/>
        <v>86.666666666666671</v>
      </c>
      <c r="AI141" s="72">
        <f t="shared" si="135"/>
        <v>73.333333333333343</v>
      </c>
      <c r="AJ141" s="71">
        <f t="shared" si="136"/>
        <v>73.333333333333343</v>
      </c>
      <c r="AK141" s="71">
        <f t="shared" si="137"/>
        <v>60</v>
      </c>
      <c r="AL141" s="72">
        <f t="shared" si="138"/>
        <v>73.333333333333343</v>
      </c>
      <c r="AM141" s="71">
        <f t="shared" si="139"/>
        <v>40</v>
      </c>
      <c r="AN141" s="71">
        <f t="shared" si="140"/>
        <v>46.666666666666671</v>
      </c>
      <c r="AO141" s="72">
        <f t="shared" si="141"/>
        <v>46.666666666666671</v>
      </c>
      <c r="AP141" s="71">
        <f t="shared" si="142"/>
        <v>20</v>
      </c>
      <c r="AQ141" s="71">
        <f t="shared" si="143"/>
        <v>26.666666666666668</v>
      </c>
      <c r="AR141" s="72">
        <f t="shared" si="144"/>
        <v>26.666666666666668</v>
      </c>
      <c r="AS141" s="71">
        <f t="shared" si="145"/>
        <v>20</v>
      </c>
      <c r="AT141" s="71">
        <f t="shared" si="146"/>
        <v>13.333333333333334</v>
      </c>
      <c r="AU141" s="72">
        <f t="shared" si="147"/>
        <v>13.333333333333334</v>
      </c>
      <c r="AV141" s="71">
        <f t="shared" si="148"/>
        <v>20</v>
      </c>
      <c r="AW141" s="71">
        <f t="shared" si="149"/>
        <v>13.333333333333334</v>
      </c>
      <c r="AX141" s="72">
        <f t="shared" si="150"/>
        <v>13.333333333333334</v>
      </c>
      <c r="AY141" s="71">
        <f t="shared" si="151"/>
        <v>13.333333333333334</v>
      </c>
      <c r="AZ141" s="71">
        <f t="shared" si="152"/>
        <v>13.333333333333334</v>
      </c>
      <c r="BA141" s="72">
        <f t="shared" si="153"/>
        <v>13.333333333333334</v>
      </c>
      <c r="BB141" s="74">
        <f t="shared" si="154"/>
        <v>0</v>
      </c>
      <c r="BC141" s="71">
        <f t="shared" si="155"/>
        <v>7.6980035891950074</v>
      </c>
      <c r="BD141" s="71">
        <f t="shared" si="156"/>
        <v>7.6980035891950154</v>
      </c>
      <c r="BE141" s="71">
        <f t="shared" si="157"/>
        <v>3.8490017945975077</v>
      </c>
      <c r="BF141" s="71">
        <f t="shared" si="158"/>
        <v>3.8490017945975006</v>
      </c>
      <c r="BG141" s="71">
        <f t="shared" si="159"/>
        <v>3.8490017945975006</v>
      </c>
      <c r="BH141" s="71">
        <f t="shared" si="160"/>
        <v>3.8490017945975006</v>
      </c>
      <c r="BI141" s="71">
        <f t="shared" si="161"/>
        <v>0</v>
      </c>
      <c r="BJ141" s="74">
        <f t="shared" si="167"/>
        <v>0</v>
      </c>
      <c r="BK141" s="71">
        <f t="shared" si="168"/>
        <v>1.1475506210984934</v>
      </c>
      <c r="BL141" s="71">
        <f t="shared" si="169"/>
        <v>1.1475506210984947</v>
      </c>
      <c r="BM141" s="71">
        <f t="shared" si="170"/>
        <v>0.57377531054924735</v>
      </c>
      <c r="BN141" s="71">
        <f t="shared" si="171"/>
        <v>0.57377531054924624</v>
      </c>
      <c r="BO141" s="71">
        <f t="shared" si="172"/>
        <v>0.57377531054924624</v>
      </c>
      <c r="BP141" s="71">
        <f t="shared" si="173"/>
        <v>0.57377531054924624</v>
      </c>
      <c r="BQ141" s="91">
        <f t="shared" si="174"/>
        <v>0</v>
      </c>
      <c r="BR141" s="75">
        <f t="shared" si="162"/>
        <v>100</v>
      </c>
      <c r="BS141" s="73">
        <f t="shared" si="163"/>
        <v>82.222222222222229</v>
      </c>
      <c r="BT141" s="73">
        <f t="shared" si="164"/>
        <v>68.8888888888889</v>
      </c>
      <c r="BU141" s="73">
        <f t="shared" si="165"/>
        <v>44.44444444444445</v>
      </c>
      <c r="BV141" s="73">
        <f t="shared" si="125"/>
        <v>24.444444444444446</v>
      </c>
      <c r="BW141" s="73">
        <f t="shared" si="126"/>
        <v>15.555555555555557</v>
      </c>
      <c r="BX141" s="73">
        <f t="shared" si="127"/>
        <v>15.555555555555557</v>
      </c>
      <c r="BY141" s="73">
        <f t="shared" si="128"/>
        <v>15.555555555555557</v>
      </c>
      <c r="BZ141" s="75">
        <f t="shared" si="175"/>
        <v>0</v>
      </c>
      <c r="CA141" s="73">
        <f t="shared" si="175"/>
        <v>17.777777777777771</v>
      </c>
      <c r="CB141" s="73">
        <f t="shared" si="175"/>
        <v>31.1111111111111</v>
      </c>
      <c r="CC141" s="73">
        <f t="shared" si="175"/>
        <v>55.55555555555555</v>
      </c>
      <c r="CD141" s="73">
        <f t="shared" si="175"/>
        <v>75.555555555555557</v>
      </c>
      <c r="CE141" s="73">
        <f t="shared" si="129"/>
        <v>84.444444444444443</v>
      </c>
      <c r="CF141" s="73">
        <f t="shared" si="129"/>
        <v>84.444444444444443</v>
      </c>
      <c r="CG141" s="265">
        <f t="shared" si="129"/>
        <v>84.444444444444443</v>
      </c>
    </row>
    <row r="142" spans="2:85" ht="15" customHeight="1" x14ac:dyDescent="0.3">
      <c r="B142" s="408">
        <v>35</v>
      </c>
      <c r="C142" s="411" t="s">
        <v>458</v>
      </c>
      <c r="D142" s="76" t="s">
        <v>802</v>
      </c>
      <c r="E142" s="77">
        <v>12</v>
      </c>
      <c r="F142" s="77">
        <v>12</v>
      </c>
      <c r="G142" s="78">
        <v>12</v>
      </c>
      <c r="H142" s="77">
        <f t="shared" si="166"/>
        <v>36</v>
      </c>
      <c r="I142" s="79">
        <v>9</v>
      </c>
      <c r="J142" s="79">
        <v>10</v>
      </c>
      <c r="K142" s="78">
        <v>8</v>
      </c>
      <c r="L142" s="79">
        <v>4</v>
      </c>
      <c r="M142" s="79">
        <v>5</v>
      </c>
      <c r="N142" s="78">
        <v>5</v>
      </c>
      <c r="O142" s="79">
        <v>1</v>
      </c>
      <c r="P142" s="79">
        <v>1</v>
      </c>
      <c r="Q142" s="78">
        <v>4</v>
      </c>
      <c r="R142" s="79">
        <v>0</v>
      </c>
      <c r="S142" s="79">
        <v>0</v>
      </c>
      <c r="T142" s="78">
        <v>1</v>
      </c>
      <c r="U142" s="79">
        <v>0</v>
      </c>
      <c r="V142" s="79">
        <v>0</v>
      </c>
      <c r="W142" s="78">
        <v>0</v>
      </c>
      <c r="X142" s="79">
        <v>0</v>
      </c>
      <c r="Y142" s="79">
        <v>0</v>
      </c>
      <c r="Z142" s="78">
        <v>0</v>
      </c>
      <c r="AA142" s="79">
        <v>0</v>
      </c>
      <c r="AB142" s="79">
        <v>0</v>
      </c>
      <c r="AC142" s="78">
        <v>0</v>
      </c>
      <c r="AD142" s="77">
        <f t="shared" si="130"/>
        <v>100</v>
      </c>
      <c r="AE142" s="77">
        <f t="shared" si="131"/>
        <v>100</v>
      </c>
      <c r="AF142" s="78">
        <f t="shared" si="132"/>
        <v>100</v>
      </c>
      <c r="AG142" s="77">
        <f t="shared" si="133"/>
        <v>75</v>
      </c>
      <c r="AH142" s="77">
        <f t="shared" si="134"/>
        <v>83.333333333333343</v>
      </c>
      <c r="AI142" s="78">
        <f t="shared" si="135"/>
        <v>66.666666666666671</v>
      </c>
      <c r="AJ142" s="77">
        <f t="shared" si="136"/>
        <v>33.333333333333336</v>
      </c>
      <c r="AK142" s="77">
        <f t="shared" si="137"/>
        <v>41.666666666666671</v>
      </c>
      <c r="AL142" s="78">
        <f t="shared" si="138"/>
        <v>41.666666666666671</v>
      </c>
      <c r="AM142" s="77">
        <f t="shared" si="139"/>
        <v>8.3333333333333339</v>
      </c>
      <c r="AN142" s="77">
        <f t="shared" si="140"/>
        <v>8.3333333333333339</v>
      </c>
      <c r="AO142" s="78">
        <f t="shared" si="141"/>
        <v>33.333333333333336</v>
      </c>
      <c r="AP142" s="77">
        <f t="shared" si="142"/>
        <v>0</v>
      </c>
      <c r="AQ142" s="77">
        <f t="shared" si="143"/>
        <v>0</v>
      </c>
      <c r="AR142" s="78">
        <f t="shared" si="144"/>
        <v>8.3333333333333339</v>
      </c>
      <c r="AS142" s="77">
        <f t="shared" si="145"/>
        <v>0</v>
      </c>
      <c r="AT142" s="77">
        <f t="shared" si="146"/>
        <v>0</v>
      </c>
      <c r="AU142" s="78">
        <f t="shared" si="147"/>
        <v>0</v>
      </c>
      <c r="AV142" s="77">
        <f t="shared" si="148"/>
        <v>0</v>
      </c>
      <c r="AW142" s="77">
        <f t="shared" si="149"/>
        <v>0</v>
      </c>
      <c r="AX142" s="78">
        <f t="shared" si="150"/>
        <v>0</v>
      </c>
      <c r="AY142" s="77">
        <f t="shared" si="151"/>
        <v>0</v>
      </c>
      <c r="AZ142" s="77">
        <f t="shared" si="152"/>
        <v>0</v>
      </c>
      <c r="BA142" s="78">
        <f t="shared" si="153"/>
        <v>0</v>
      </c>
      <c r="BB142" s="80">
        <f t="shared" si="154"/>
        <v>0</v>
      </c>
      <c r="BC142" s="77">
        <f t="shared" si="155"/>
        <v>8.3333333333333357</v>
      </c>
      <c r="BD142" s="77">
        <f t="shared" si="156"/>
        <v>4.8112522432468934</v>
      </c>
      <c r="BE142" s="77">
        <f t="shared" si="157"/>
        <v>14.433756729740647</v>
      </c>
      <c r="BF142" s="77">
        <f t="shared" si="158"/>
        <v>4.8112522432468818</v>
      </c>
      <c r="BG142" s="77">
        <f t="shared" si="159"/>
        <v>0</v>
      </c>
      <c r="BH142" s="77">
        <f t="shared" si="160"/>
        <v>0</v>
      </c>
      <c r="BI142" s="77">
        <f t="shared" si="161"/>
        <v>0</v>
      </c>
      <c r="BJ142" s="80">
        <f t="shared" si="167"/>
        <v>0</v>
      </c>
      <c r="BK142" s="77">
        <f t="shared" si="168"/>
        <v>1.3888888888888893</v>
      </c>
      <c r="BL142" s="77">
        <f t="shared" si="169"/>
        <v>0.80187537387448227</v>
      </c>
      <c r="BM142" s="77">
        <f t="shared" si="170"/>
        <v>2.4056261216234414</v>
      </c>
      <c r="BN142" s="77">
        <f t="shared" si="171"/>
        <v>0.80187537387448027</v>
      </c>
      <c r="BO142" s="77">
        <f t="shared" si="172"/>
        <v>0</v>
      </c>
      <c r="BP142" s="77">
        <f t="shared" si="173"/>
        <v>0</v>
      </c>
      <c r="BQ142" s="92">
        <f t="shared" si="174"/>
        <v>0</v>
      </c>
      <c r="BR142" s="81">
        <f t="shared" si="162"/>
        <v>100</v>
      </c>
      <c r="BS142" s="79">
        <f t="shared" si="163"/>
        <v>75</v>
      </c>
      <c r="BT142" s="79">
        <f t="shared" si="164"/>
        <v>38.888888888888893</v>
      </c>
      <c r="BU142" s="79">
        <f t="shared" si="165"/>
        <v>16.666666666666668</v>
      </c>
      <c r="BV142" s="79">
        <f t="shared" si="125"/>
        <v>2.7777777777777781</v>
      </c>
      <c r="BW142" s="79">
        <f t="shared" si="126"/>
        <v>0</v>
      </c>
      <c r="BX142" s="79">
        <f t="shared" si="127"/>
        <v>0</v>
      </c>
      <c r="BY142" s="79">
        <f t="shared" si="128"/>
        <v>0</v>
      </c>
      <c r="BZ142" s="81">
        <f t="shared" si="175"/>
        <v>0</v>
      </c>
      <c r="CA142" s="79">
        <f t="shared" si="175"/>
        <v>25</v>
      </c>
      <c r="CB142" s="79">
        <f t="shared" si="175"/>
        <v>61.111111111111107</v>
      </c>
      <c r="CC142" s="79">
        <f t="shared" si="175"/>
        <v>83.333333333333329</v>
      </c>
      <c r="CD142" s="79">
        <f t="shared" si="175"/>
        <v>97.222222222222229</v>
      </c>
      <c r="CE142" s="79">
        <f t="shared" si="129"/>
        <v>100</v>
      </c>
      <c r="CF142" s="79">
        <f t="shared" si="129"/>
        <v>100</v>
      </c>
      <c r="CG142" s="264">
        <f t="shared" si="129"/>
        <v>100</v>
      </c>
    </row>
    <row r="143" spans="2:85" x14ac:dyDescent="0.3">
      <c r="B143" s="409"/>
      <c r="C143" s="412"/>
      <c r="D143" s="70" t="s">
        <v>803</v>
      </c>
      <c r="E143" s="65">
        <v>12</v>
      </c>
      <c r="F143" s="65">
        <v>12</v>
      </c>
      <c r="G143" s="66">
        <v>12</v>
      </c>
      <c r="H143" s="65">
        <f t="shared" si="166"/>
        <v>36</v>
      </c>
      <c r="I143" s="67">
        <v>7</v>
      </c>
      <c r="J143" s="67">
        <v>8</v>
      </c>
      <c r="K143" s="66">
        <v>8</v>
      </c>
      <c r="L143" s="67">
        <v>4</v>
      </c>
      <c r="M143" s="67">
        <v>4</v>
      </c>
      <c r="N143" s="66">
        <v>4</v>
      </c>
      <c r="O143" s="67">
        <v>3</v>
      </c>
      <c r="P143" s="67">
        <v>3</v>
      </c>
      <c r="Q143" s="66">
        <v>2</v>
      </c>
      <c r="R143" s="67">
        <v>3</v>
      </c>
      <c r="S143" s="67">
        <v>2</v>
      </c>
      <c r="T143" s="66">
        <v>2</v>
      </c>
      <c r="U143" s="67">
        <v>0</v>
      </c>
      <c r="V143" s="67">
        <v>0</v>
      </c>
      <c r="W143" s="66">
        <v>0</v>
      </c>
      <c r="X143" s="67">
        <v>0</v>
      </c>
      <c r="Y143" s="67">
        <v>0</v>
      </c>
      <c r="Z143" s="66">
        <v>0</v>
      </c>
      <c r="AA143" s="67">
        <v>0</v>
      </c>
      <c r="AB143" s="67">
        <v>0</v>
      </c>
      <c r="AC143" s="66">
        <v>0</v>
      </c>
      <c r="AD143" s="65">
        <f t="shared" si="130"/>
        <v>100</v>
      </c>
      <c r="AE143" s="65">
        <f t="shared" si="131"/>
        <v>100</v>
      </c>
      <c r="AF143" s="66">
        <f t="shared" si="132"/>
        <v>100</v>
      </c>
      <c r="AG143" s="65">
        <f t="shared" si="133"/>
        <v>58.333333333333336</v>
      </c>
      <c r="AH143" s="65">
        <f t="shared" si="134"/>
        <v>66.666666666666671</v>
      </c>
      <c r="AI143" s="66">
        <f t="shared" si="135"/>
        <v>66.666666666666671</v>
      </c>
      <c r="AJ143" s="65">
        <f t="shared" si="136"/>
        <v>33.333333333333336</v>
      </c>
      <c r="AK143" s="65">
        <f t="shared" si="137"/>
        <v>33.333333333333336</v>
      </c>
      <c r="AL143" s="66">
        <f t="shared" si="138"/>
        <v>33.333333333333336</v>
      </c>
      <c r="AM143" s="65">
        <f t="shared" si="139"/>
        <v>25</v>
      </c>
      <c r="AN143" s="65">
        <f t="shared" si="140"/>
        <v>25</v>
      </c>
      <c r="AO143" s="66">
        <f t="shared" si="141"/>
        <v>16.666666666666668</v>
      </c>
      <c r="AP143" s="65">
        <f t="shared" si="142"/>
        <v>25</v>
      </c>
      <c r="AQ143" s="65">
        <f t="shared" si="143"/>
        <v>16.666666666666668</v>
      </c>
      <c r="AR143" s="66">
        <f t="shared" si="144"/>
        <v>16.666666666666668</v>
      </c>
      <c r="AS143" s="65">
        <f t="shared" si="145"/>
        <v>0</v>
      </c>
      <c r="AT143" s="65">
        <f t="shared" si="146"/>
        <v>0</v>
      </c>
      <c r="AU143" s="66">
        <f t="shared" si="147"/>
        <v>0</v>
      </c>
      <c r="AV143" s="65">
        <f t="shared" si="148"/>
        <v>0</v>
      </c>
      <c r="AW143" s="65">
        <f t="shared" si="149"/>
        <v>0</v>
      </c>
      <c r="AX143" s="66">
        <f t="shared" si="150"/>
        <v>0</v>
      </c>
      <c r="AY143" s="65">
        <f t="shared" si="151"/>
        <v>0</v>
      </c>
      <c r="AZ143" s="65">
        <f t="shared" si="152"/>
        <v>0</v>
      </c>
      <c r="BA143" s="66">
        <f t="shared" si="153"/>
        <v>0</v>
      </c>
      <c r="BB143" s="68">
        <f t="shared" si="154"/>
        <v>0</v>
      </c>
      <c r="BC143" s="65">
        <f t="shared" si="155"/>
        <v>4.8112522432468827</v>
      </c>
      <c r="BD143" s="65">
        <f t="shared" si="156"/>
        <v>0</v>
      </c>
      <c r="BE143" s="65">
        <f t="shared" si="157"/>
        <v>4.8112522432468703</v>
      </c>
      <c r="BF143" s="65">
        <f t="shared" si="158"/>
        <v>4.8112522432468703</v>
      </c>
      <c r="BG143" s="65">
        <f t="shared" si="159"/>
        <v>0</v>
      </c>
      <c r="BH143" s="65">
        <f t="shared" si="160"/>
        <v>0</v>
      </c>
      <c r="BI143" s="65">
        <f t="shared" si="161"/>
        <v>0</v>
      </c>
      <c r="BJ143" s="68">
        <f t="shared" si="167"/>
        <v>0</v>
      </c>
      <c r="BK143" s="65">
        <f t="shared" si="168"/>
        <v>0.80187537387448049</v>
      </c>
      <c r="BL143" s="65">
        <f t="shared" si="169"/>
        <v>0</v>
      </c>
      <c r="BM143" s="65">
        <f t="shared" si="170"/>
        <v>0.80187537387447838</v>
      </c>
      <c r="BN143" s="65">
        <f t="shared" si="171"/>
        <v>0.80187537387447838</v>
      </c>
      <c r="BO143" s="65">
        <f t="shared" si="172"/>
        <v>0</v>
      </c>
      <c r="BP143" s="65">
        <f t="shared" si="173"/>
        <v>0</v>
      </c>
      <c r="BQ143" s="90">
        <f t="shared" si="174"/>
        <v>0</v>
      </c>
      <c r="BR143" s="69">
        <f t="shared" si="162"/>
        <v>100</v>
      </c>
      <c r="BS143" s="67">
        <f t="shared" si="163"/>
        <v>63.888888888888893</v>
      </c>
      <c r="BT143" s="67">
        <f t="shared" si="164"/>
        <v>33.333333333333336</v>
      </c>
      <c r="BU143" s="67">
        <f t="shared" si="165"/>
        <v>22.222222222222225</v>
      </c>
      <c r="BV143" s="67">
        <f t="shared" ref="BV143:BV174" si="176">AVERAGE(AP143:AR143)</f>
        <v>19.444444444444446</v>
      </c>
      <c r="BW143" s="67">
        <f t="shared" si="126"/>
        <v>0</v>
      </c>
      <c r="BX143" s="67">
        <f t="shared" si="127"/>
        <v>0</v>
      </c>
      <c r="BY143" s="67">
        <f t="shared" si="128"/>
        <v>0</v>
      </c>
      <c r="BZ143" s="69">
        <f t="shared" si="175"/>
        <v>0</v>
      </c>
      <c r="CA143" s="67">
        <f t="shared" si="175"/>
        <v>36.111111111111107</v>
      </c>
      <c r="CB143" s="67">
        <f t="shared" si="175"/>
        <v>66.666666666666657</v>
      </c>
      <c r="CC143" s="67">
        <f t="shared" si="175"/>
        <v>77.777777777777771</v>
      </c>
      <c r="CD143" s="67">
        <f t="shared" si="175"/>
        <v>80.555555555555557</v>
      </c>
      <c r="CE143" s="67">
        <f t="shared" si="129"/>
        <v>100</v>
      </c>
      <c r="CF143" s="67">
        <f t="shared" si="129"/>
        <v>100</v>
      </c>
      <c r="CG143" s="116">
        <f t="shared" si="129"/>
        <v>100</v>
      </c>
    </row>
    <row r="144" spans="2:85" x14ac:dyDescent="0.3">
      <c r="B144" s="409"/>
      <c r="C144" s="412"/>
      <c r="D144" s="70" t="s">
        <v>804</v>
      </c>
      <c r="E144" s="65">
        <v>12</v>
      </c>
      <c r="F144" s="65">
        <v>12</v>
      </c>
      <c r="G144" s="66">
        <v>12</v>
      </c>
      <c r="H144" s="65">
        <f t="shared" si="166"/>
        <v>36</v>
      </c>
      <c r="I144" s="67">
        <v>8</v>
      </c>
      <c r="J144" s="67">
        <v>6</v>
      </c>
      <c r="K144" s="66">
        <v>6</v>
      </c>
      <c r="L144" s="67">
        <v>7</v>
      </c>
      <c r="M144" s="67">
        <v>4</v>
      </c>
      <c r="N144" s="66">
        <v>3</v>
      </c>
      <c r="O144" s="67">
        <v>5</v>
      </c>
      <c r="P144" s="67">
        <v>1</v>
      </c>
      <c r="Q144" s="66">
        <v>2</v>
      </c>
      <c r="R144" s="67">
        <v>3</v>
      </c>
      <c r="S144" s="67">
        <v>1</v>
      </c>
      <c r="T144" s="66">
        <v>2</v>
      </c>
      <c r="U144" s="67">
        <v>1</v>
      </c>
      <c r="V144" s="67">
        <v>0</v>
      </c>
      <c r="W144" s="66">
        <v>1</v>
      </c>
      <c r="X144" s="67">
        <v>1</v>
      </c>
      <c r="Y144" s="67">
        <v>0</v>
      </c>
      <c r="Z144" s="66">
        <v>1</v>
      </c>
      <c r="AA144" s="67">
        <v>0</v>
      </c>
      <c r="AB144" s="67">
        <v>0</v>
      </c>
      <c r="AC144" s="66">
        <v>0</v>
      </c>
      <c r="AD144" s="65">
        <f t="shared" si="130"/>
        <v>100</v>
      </c>
      <c r="AE144" s="65">
        <f t="shared" si="131"/>
        <v>100</v>
      </c>
      <c r="AF144" s="66">
        <f t="shared" si="132"/>
        <v>100</v>
      </c>
      <c r="AG144" s="65">
        <f t="shared" si="133"/>
        <v>66.666666666666671</v>
      </c>
      <c r="AH144" s="65">
        <f t="shared" si="134"/>
        <v>50</v>
      </c>
      <c r="AI144" s="66">
        <f t="shared" si="135"/>
        <v>50</v>
      </c>
      <c r="AJ144" s="65">
        <f t="shared" si="136"/>
        <v>58.333333333333336</v>
      </c>
      <c r="AK144" s="65">
        <f t="shared" si="137"/>
        <v>33.333333333333336</v>
      </c>
      <c r="AL144" s="66">
        <f t="shared" si="138"/>
        <v>25</v>
      </c>
      <c r="AM144" s="65">
        <f t="shared" si="139"/>
        <v>41.666666666666671</v>
      </c>
      <c r="AN144" s="65">
        <f t="shared" si="140"/>
        <v>8.3333333333333339</v>
      </c>
      <c r="AO144" s="66">
        <f t="shared" si="141"/>
        <v>16.666666666666668</v>
      </c>
      <c r="AP144" s="65">
        <f t="shared" si="142"/>
        <v>25</v>
      </c>
      <c r="AQ144" s="65">
        <f t="shared" si="143"/>
        <v>8.3333333333333339</v>
      </c>
      <c r="AR144" s="66">
        <f t="shared" si="144"/>
        <v>16.666666666666668</v>
      </c>
      <c r="AS144" s="65">
        <f t="shared" si="145"/>
        <v>8.3333333333333339</v>
      </c>
      <c r="AT144" s="65">
        <f t="shared" si="146"/>
        <v>0</v>
      </c>
      <c r="AU144" s="66">
        <f t="shared" si="147"/>
        <v>8.3333333333333339</v>
      </c>
      <c r="AV144" s="65">
        <f t="shared" si="148"/>
        <v>8.3333333333333339</v>
      </c>
      <c r="AW144" s="65">
        <f t="shared" si="149"/>
        <v>0</v>
      </c>
      <c r="AX144" s="66">
        <f t="shared" si="150"/>
        <v>8.3333333333333339</v>
      </c>
      <c r="AY144" s="65">
        <f t="shared" si="151"/>
        <v>0</v>
      </c>
      <c r="AZ144" s="65">
        <f t="shared" si="152"/>
        <v>0</v>
      </c>
      <c r="BA144" s="66">
        <f t="shared" si="153"/>
        <v>0</v>
      </c>
      <c r="BB144" s="68">
        <f t="shared" si="154"/>
        <v>0</v>
      </c>
      <c r="BC144" s="65">
        <f t="shared" si="155"/>
        <v>9.6225044864937406</v>
      </c>
      <c r="BD144" s="65">
        <f t="shared" si="156"/>
        <v>17.347216662217765</v>
      </c>
      <c r="BE144" s="65">
        <f t="shared" si="157"/>
        <v>17.347216662217779</v>
      </c>
      <c r="BF144" s="65">
        <f t="shared" si="158"/>
        <v>8.3333333333333339</v>
      </c>
      <c r="BG144" s="65">
        <f t="shared" si="159"/>
        <v>4.8112522432468818</v>
      </c>
      <c r="BH144" s="65">
        <f t="shared" si="160"/>
        <v>4.8112522432468818</v>
      </c>
      <c r="BI144" s="65">
        <f t="shared" si="161"/>
        <v>0</v>
      </c>
      <c r="BJ144" s="68">
        <f t="shared" si="167"/>
        <v>0</v>
      </c>
      <c r="BK144" s="65">
        <f t="shared" si="168"/>
        <v>1.6037507477489568</v>
      </c>
      <c r="BL144" s="65">
        <f t="shared" si="169"/>
        <v>2.8912027770362942</v>
      </c>
      <c r="BM144" s="65">
        <f t="shared" si="170"/>
        <v>2.8912027770362965</v>
      </c>
      <c r="BN144" s="65">
        <f t="shared" si="171"/>
        <v>1.3888888888888891</v>
      </c>
      <c r="BO144" s="65">
        <f t="shared" si="172"/>
        <v>0.80187537387448027</v>
      </c>
      <c r="BP144" s="65">
        <f t="shared" si="173"/>
        <v>0.80187537387448027</v>
      </c>
      <c r="BQ144" s="90">
        <f t="shared" si="174"/>
        <v>0</v>
      </c>
      <c r="BR144" s="69">
        <f t="shared" si="162"/>
        <v>100</v>
      </c>
      <c r="BS144" s="67">
        <f t="shared" si="163"/>
        <v>55.555555555555564</v>
      </c>
      <c r="BT144" s="67">
        <f t="shared" si="164"/>
        <v>38.888888888888893</v>
      </c>
      <c r="BU144" s="67">
        <f t="shared" si="165"/>
        <v>22.222222222222225</v>
      </c>
      <c r="BV144" s="67">
        <f t="shared" si="176"/>
        <v>16.666666666666668</v>
      </c>
      <c r="BW144" s="67">
        <f t="shared" si="126"/>
        <v>5.5555555555555562</v>
      </c>
      <c r="BX144" s="67">
        <f t="shared" si="127"/>
        <v>5.5555555555555562</v>
      </c>
      <c r="BY144" s="67">
        <f t="shared" si="128"/>
        <v>5.5555555555555562</v>
      </c>
      <c r="BZ144" s="69">
        <f t="shared" si="175"/>
        <v>0</v>
      </c>
      <c r="CA144" s="67">
        <f t="shared" si="175"/>
        <v>44.444444444444436</v>
      </c>
      <c r="CB144" s="67">
        <f t="shared" si="175"/>
        <v>61.111111111111107</v>
      </c>
      <c r="CC144" s="67">
        <f t="shared" si="175"/>
        <v>77.777777777777771</v>
      </c>
      <c r="CD144" s="67">
        <f t="shared" si="175"/>
        <v>83.333333333333329</v>
      </c>
      <c r="CE144" s="67">
        <f t="shared" si="129"/>
        <v>94.444444444444443</v>
      </c>
      <c r="CF144" s="67">
        <f t="shared" si="129"/>
        <v>94.444444444444443</v>
      </c>
      <c r="CG144" s="116">
        <f t="shared" si="129"/>
        <v>94.444444444444443</v>
      </c>
    </row>
    <row r="145" spans="2:85" x14ac:dyDescent="0.3">
      <c r="B145" s="410"/>
      <c r="C145" s="413"/>
      <c r="D145" s="70" t="s">
        <v>805</v>
      </c>
      <c r="E145" s="71">
        <v>12</v>
      </c>
      <c r="F145" s="71">
        <v>12</v>
      </c>
      <c r="G145" s="72">
        <v>12</v>
      </c>
      <c r="H145" s="71">
        <f t="shared" si="166"/>
        <v>36</v>
      </c>
      <c r="I145" s="73">
        <v>5</v>
      </c>
      <c r="J145" s="73">
        <v>6</v>
      </c>
      <c r="K145" s="72">
        <v>6</v>
      </c>
      <c r="L145" s="73">
        <v>4</v>
      </c>
      <c r="M145" s="73">
        <v>5</v>
      </c>
      <c r="N145" s="72">
        <v>4</v>
      </c>
      <c r="O145" s="73">
        <v>2</v>
      </c>
      <c r="P145" s="73">
        <v>2</v>
      </c>
      <c r="Q145" s="72">
        <v>2</v>
      </c>
      <c r="R145" s="73">
        <v>2</v>
      </c>
      <c r="S145" s="73">
        <v>2</v>
      </c>
      <c r="T145" s="72">
        <v>2</v>
      </c>
      <c r="U145" s="73">
        <v>1</v>
      </c>
      <c r="V145" s="73">
        <v>1</v>
      </c>
      <c r="W145" s="72">
        <v>0</v>
      </c>
      <c r="X145" s="73">
        <v>1</v>
      </c>
      <c r="Y145" s="73">
        <v>1</v>
      </c>
      <c r="Z145" s="72">
        <v>0</v>
      </c>
      <c r="AA145" s="73">
        <v>1</v>
      </c>
      <c r="AB145" s="73">
        <v>1</v>
      </c>
      <c r="AC145" s="72">
        <v>0</v>
      </c>
      <c r="AD145" s="71">
        <f t="shared" si="130"/>
        <v>100</v>
      </c>
      <c r="AE145" s="71">
        <f t="shared" si="131"/>
        <v>100</v>
      </c>
      <c r="AF145" s="72">
        <f t="shared" si="132"/>
        <v>100</v>
      </c>
      <c r="AG145" s="71">
        <f t="shared" si="133"/>
        <v>41.666666666666671</v>
      </c>
      <c r="AH145" s="71">
        <f t="shared" si="134"/>
        <v>50</v>
      </c>
      <c r="AI145" s="72">
        <f t="shared" si="135"/>
        <v>50</v>
      </c>
      <c r="AJ145" s="71">
        <f t="shared" si="136"/>
        <v>33.333333333333336</v>
      </c>
      <c r="AK145" s="71">
        <f t="shared" si="137"/>
        <v>41.666666666666671</v>
      </c>
      <c r="AL145" s="72">
        <f t="shared" si="138"/>
        <v>33.333333333333336</v>
      </c>
      <c r="AM145" s="71">
        <f t="shared" si="139"/>
        <v>16.666666666666668</v>
      </c>
      <c r="AN145" s="71">
        <f t="shared" si="140"/>
        <v>16.666666666666668</v>
      </c>
      <c r="AO145" s="72">
        <f t="shared" si="141"/>
        <v>16.666666666666668</v>
      </c>
      <c r="AP145" s="71">
        <f t="shared" si="142"/>
        <v>16.666666666666668</v>
      </c>
      <c r="AQ145" s="71">
        <f t="shared" si="143"/>
        <v>16.666666666666668</v>
      </c>
      <c r="AR145" s="72">
        <f t="shared" si="144"/>
        <v>16.666666666666668</v>
      </c>
      <c r="AS145" s="71">
        <f t="shared" si="145"/>
        <v>8.3333333333333339</v>
      </c>
      <c r="AT145" s="71">
        <f t="shared" si="146"/>
        <v>8.3333333333333339</v>
      </c>
      <c r="AU145" s="72">
        <f t="shared" si="147"/>
        <v>0</v>
      </c>
      <c r="AV145" s="71">
        <f t="shared" si="148"/>
        <v>8.3333333333333339</v>
      </c>
      <c r="AW145" s="71">
        <f t="shared" si="149"/>
        <v>8.3333333333333339</v>
      </c>
      <c r="AX145" s="72">
        <f t="shared" si="150"/>
        <v>0</v>
      </c>
      <c r="AY145" s="71">
        <f t="shared" si="151"/>
        <v>8.3333333333333339</v>
      </c>
      <c r="AZ145" s="71">
        <f t="shared" si="152"/>
        <v>8.3333333333333339</v>
      </c>
      <c r="BA145" s="72">
        <f t="shared" si="153"/>
        <v>0</v>
      </c>
      <c r="BB145" s="74">
        <f t="shared" si="154"/>
        <v>0</v>
      </c>
      <c r="BC145" s="71">
        <f t="shared" si="155"/>
        <v>4.8112522432468783</v>
      </c>
      <c r="BD145" s="71">
        <f t="shared" si="156"/>
        <v>4.8112522432468703</v>
      </c>
      <c r="BE145" s="71">
        <f t="shared" si="157"/>
        <v>0</v>
      </c>
      <c r="BF145" s="71">
        <f t="shared" si="158"/>
        <v>0</v>
      </c>
      <c r="BG145" s="71">
        <f t="shared" si="159"/>
        <v>4.8112522432468818</v>
      </c>
      <c r="BH145" s="71">
        <f t="shared" si="160"/>
        <v>4.8112522432468818</v>
      </c>
      <c r="BI145" s="71">
        <f t="shared" si="161"/>
        <v>4.8112522432468818</v>
      </c>
      <c r="BJ145" s="74">
        <f t="shared" si="167"/>
        <v>0</v>
      </c>
      <c r="BK145" s="71">
        <f t="shared" si="168"/>
        <v>0.80187537387447971</v>
      </c>
      <c r="BL145" s="71">
        <f t="shared" si="169"/>
        <v>0.80187537387447838</v>
      </c>
      <c r="BM145" s="71">
        <f t="shared" si="170"/>
        <v>0</v>
      </c>
      <c r="BN145" s="71">
        <f t="shared" si="171"/>
        <v>0</v>
      </c>
      <c r="BO145" s="71">
        <f t="shared" si="172"/>
        <v>0.80187537387448027</v>
      </c>
      <c r="BP145" s="71">
        <f t="shared" si="173"/>
        <v>0.80187537387448027</v>
      </c>
      <c r="BQ145" s="91">
        <f t="shared" si="174"/>
        <v>0.80187537387448027</v>
      </c>
      <c r="BR145" s="75">
        <f t="shared" si="162"/>
        <v>100</v>
      </c>
      <c r="BS145" s="73">
        <f t="shared" si="163"/>
        <v>47.222222222222229</v>
      </c>
      <c r="BT145" s="73">
        <f t="shared" si="164"/>
        <v>36.111111111111114</v>
      </c>
      <c r="BU145" s="73">
        <f t="shared" si="165"/>
        <v>16.666666666666668</v>
      </c>
      <c r="BV145" s="73">
        <f t="shared" si="176"/>
        <v>16.666666666666668</v>
      </c>
      <c r="BW145" s="73">
        <f t="shared" si="126"/>
        <v>5.5555555555555562</v>
      </c>
      <c r="BX145" s="73">
        <f t="shared" si="127"/>
        <v>5.5555555555555562</v>
      </c>
      <c r="BY145" s="73">
        <f t="shared" si="128"/>
        <v>5.5555555555555562</v>
      </c>
      <c r="BZ145" s="75">
        <f t="shared" si="175"/>
        <v>0</v>
      </c>
      <c r="CA145" s="73">
        <f t="shared" si="175"/>
        <v>52.777777777777771</v>
      </c>
      <c r="CB145" s="73">
        <f t="shared" si="175"/>
        <v>63.888888888888886</v>
      </c>
      <c r="CC145" s="73">
        <f t="shared" si="175"/>
        <v>83.333333333333329</v>
      </c>
      <c r="CD145" s="73">
        <f t="shared" si="175"/>
        <v>83.333333333333329</v>
      </c>
      <c r="CE145" s="73">
        <f t="shared" si="129"/>
        <v>94.444444444444443</v>
      </c>
      <c r="CF145" s="73">
        <f t="shared" si="129"/>
        <v>94.444444444444443</v>
      </c>
      <c r="CG145" s="265">
        <f t="shared" si="129"/>
        <v>94.444444444444443</v>
      </c>
    </row>
    <row r="146" spans="2:85" ht="15" customHeight="1" x14ac:dyDescent="0.3">
      <c r="B146" s="408">
        <v>36</v>
      </c>
      <c r="C146" s="411" t="s">
        <v>806</v>
      </c>
      <c r="D146" s="76" t="s">
        <v>802</v>
      </c>
      <c r="E146" s="77">
        <v>12</v>
      </c>
      <c r="F146" s="77">
        <v>12</v>
      </c>
      <c r="G146" s="78">
        <v>12</v>
      </c>
      <c r="H146" s="77">
        <f t="shared" si="166"/>
        <v>36</v>
      </c>
      <c r="I146" s="79">
        <v>11</v>
      </c>
      <c r="J146" s="79">
        <v>9</v>
      </c>
      <c r="K146" s="78">
        <v>9</v>
      </c>
      <c r="L146" s="79">
        <v>5</v>
      </c>
      <c r="M146" s="79">
        <v>7</v>
      </c>
      <c r="N146" s="78">
        <v>3</v>
      </c>
      <c r="O146" s="79">
        <v>4</v>
      </c>
      <c r="P146" s="79">
        <v>3</v>
      </c>
      <c r="Q146" s="78">
        <v>2</v>
      </c>
      <c r="R146" s="79">
        <v>3</v>
      </c>
      <c r="S146" s="79">
        <v>3</v>
      </c>
      <c r="T146" s="78">
        <v>1</v>
      </c>
      <c r="U146" s="79">
        <v>2</v>
      </c>
      <c r="V146" s="79">
        <v>3</v>
      </c>
      <c r="W146" s="78">
        <v>1</v>
      </c>
      <c r="X146" s="79">
        <v>1</v>
      </c>
      <c r="Y146" s="79">
        <v>2</v>
      </c>
      <c r="Z146" s="78">
        <v>1</v>
      </c>
      <c r="AA146" s="79">
        <v>0</v>
      </c>
      <c r="AB146" s="79">
        <v>0</v>
      </c>
      <c r="AC146" s="78">
        <v>0</v>
      </c>
      <c r="AD146" s="77">
        <f t="shared" si="130"/>
        <v>100</v>
      </c>
      <c r="AE146" s="77">
        <f t="shared" si="131"/>
        <v>100</v>
      </c>
      <c r="AF146" s="78">
        <f t="shared" si="132"/>
        <v>100</v>
      </c>
      <c r="AG146" s="77">
        <f t="shared" si="133"/>
        <v>91.666666666666671</v>
      </c>
      <c r="AH146" s="77">
        <f t="shared" si="134"/>
        <v>75</v>
      </c>
      <c r="AI146" s="78">
        <f t="shared" si="135"/>
        <v>75</v>
      </c>
      <c r="AJ146" s="77">
        <f t="shared" si="136"/>
        <v>41.666666666666671</v>
      </c>
      <c r="AK146" s="77">
        <f t="shared" si="137"/>
        <v>58.333333333333336</v>
      </c>
      <c r="AL146" s="78">
        <f t="shared" si="138"/>
        <v>25</v>
      </c>
      <c r="AM146" s="77">
        <f t="shared" si="139"/>
        <v>33.333333333333336</v>
      </c>
      <c r="AN146" s="77">
        <f t="shared" si="140"/>
        <v>25</v>
      </c>
      <c r="AO146" s="78">
        <f t="shared" si="141"/>
        <v>16.666666666666668</v>
      </c>
      <c r="AP146" s="77">
        <f t="shared" si="142"/>
        <v>25</v>
      </c>
      <c r="AQ146" s="77">
        <f t="shared" si="143"/>
        <v>25</v>
      </c>
      <c r="AR146" s="78">
        <f t="shared" si="144"/>
        <v>8.3333333333333339</v>
      </c>
      <c r="AS146" s="77">
        <f t="shared" si="145"/>
        <v>16.666666666666668</v>
      </c>
      <c r="AT146" s="77">
        <f t="shared" si="146"/>
        <v>25</v>
      </c>
      <c r="AU146" s="78">
        <f t="shared" si="147"/>
        <v>8.3333333333333339</v>
      </c>
      <c r="AV146" s="77">
        <f t="shared" si="148"/>
        <v>8.3333333333333339</v>
      </c>
      <c r="AW146" s="77">
        <f t="shared" si="149"/>
        <v>16.666666666666668</v>
      </c>
      <c r="AX146" s="78">
        <f t="shared" si="150"/>
        <v>8.3333333333333339</v>
      </c>
      <c r="AY146" s="77">
        <f t="shared" si="151"/>
        <v>0</v>
      </c>
      <c r="AZ146" s="77">
        <f t="shared" si="152"/>
        <v>0</v>
      </c>
      <c r="BA146" s="78">
        <f t="shared" si="153"/>
        <v>0</v>
      </c>
      <c r="BB146" s="80">
        <f t="shared" si="154"/>
        <v>0</v>
      </c>
      <c r="BC146" s="77">
        <f t="shared" si="155"/>
        <v>9.6225044864937654</v>
      </c>
      <c r="BD146" s="77">
        <f t="shared" si="156"/>
        <v>16.666666666666682</v>
      </c>
      <c r="BE146" s="77">
        <f t="shared" si="157"/>
        <v>8.333333333333341</v>
      </c>
      <c r="BF146" s="77">
        <f t="shared" si="158"/>
        <v>9.6225044864937583</v>
      </c>
      <c r="BG146" s="77">
        <f t="shared" si="159"/>
        <v>8.3333333333333268</v>
      </c>
      <c r="BH146" s="77">
        <f t="shared" si="160"/>
        <v>4.8112522432468818</v>
      </c>
      <c r="BI146" s="77">
        <f t="shared" si="161"/>
        <v>0</v>
      </c>
      <c r="BJ146" s="80">
        <f t="shared" si="167"/>
        <v>0</v>
      </c>
      <c r="BK146" s="77">
        <f t="shared" si="168"/>
        <v>1.603750747748961</v>
      </c>
      <c r="BL146" s="77">
        <f t="shared" si="169"/>
        <v>2.7777777777777803</v>
      </c>
      <c r="BM146" s="77">
        <f t="shared" si="170"/>
        <v>1.3888888888888902</v>
      </c>
      <c r="BN146" s="77">
        <f t="shared" si="171"/>
        <v>1.6037507477489596</v>
      </c>
      <c r="BO146" s="77">
        <f t="shared" si="172"/>
        <v>1.3888888888888877</v>
      </c>
      <c r="BP146" s="77">
        <f t="shared" si="173"/>
        <v>0.80187537387448027</v>
      </c>
      <c r="BQ146" s="92">
        <f t="shared" si="174"/>
        <v>0</v>
      </c>
      <c r="BR146" s="81">
        <f t="shared" si="162"/>
        <v>100</v>
      </c>
      <c r="BS146" s="79">
        <f t="shared" si="163"/>
        <v>80.555555555555557</v>
      </c>
      <c r="BT146" s="79">
        <f t="shared" si="164"/>
        <v>41.666666666666664</v>
      </c>
      <c r="BU146" s="79">
        <f t="shared" si="165"/>
        <v>25</v>
      </c>
      <c r="BV146" s="79">
        <f t="shared" si="176"/>
        <v>19.444444444444446</v>
      </c>
      <c r="BW146" s="79">
        <f t="shared" si="126"/>
        <v>16.666666666666668</v>
      </c>
      <c r="BX146" s="79">
        <f t="shared" si="127"/>
        <v>13.888888888888891</v>
      </c>
      <c r="BY146" s="79">
        <f t="shared" si="128"/>
        <v>11.111111111111112</v>
      </c>
      <c r="BZ146" s="81">
        <f t="shared" si="175"/>
        <v>0</v>
      </c>
      <c r="CA146" s="79">
        <f t="shared" si="175"/>
        <v>19.444444444444443</v>
      </c>
      <c r="CB146" s="79">
        <f t="shared" si="175"/>
        <v>58.333333333333336</v>
      </c>
      <c r="CC146" s="79">
        <f t="shared" si="175"/>
        <v>75</v>
      </c>
      <c r="CD146" s="79">
        <f t="shared" si="175"/>
        <v>80.555555555555557</v>
      </c>
      <c r="CE146" s="79">
        <f t="shared" si="129"/>
        <v>83.333333333333329</v>
      </c>
      <c r="CF146" s="79">
        <f t="shared" si="129"/>
        <v>86.111111111111114</v>
      </c>
      <c r="CG146" s="264">
        <f t="shared" si="129"/>
        <v>88.888888888888886</v>
      </c>
    </row>
    <row r="147" spans="2:85" x14ac:dyDescent="0.3">
      <c r="B147" s="409"/>
      <c r="C147" s="412"/>
      <c r="D147" s="70" t="s">
        <v>803</v>
      </c>
      <c r="E147" s="65">
        <v>12</v>
      </c>
      <c r="F147" s="65">
        <v>12</v>
      </c>
      <c r="G147" s="66">
        <v>12</v>
      </c>
      <c r="H147" s="65">
        <f t="shared" si="166"/>
        <v>36</v>
      </c>
      <c r="I147" s="67">
        <v>10</v>
      </c>
      <c r="J147" s="67">
        <v>11</v>
      </c>
      <c r="K147" s="66">
        <v>11</v>
      </c>
      <c r="L147" s="67">
        <v>8</v>
      </c>
      <c r="M147" s="67">
        <v>10</v>
      </c>
      <c r="N147" s="66">
        <v>9</v>
      </c>
      <c r="O147" s="67">
        <v>7</v>
      </c>
      <c r="P147" s="67">
        <v>9</v>
      </c>
      <c r="Q147" s="66">
        <v>9</v>
      </c>
      <c r="R147" s="67">
        <v>7</v>
      </c>
      <c r="S147" s="67">
        <v>8</v>
      </c>
      <c r="T147" s="66">
        <v>8</v>
      </c>
      <c r="U147" s="67">
        <v>7</v>
      </c>
      <c r="V147" s="67">
        <v>7</v>
      </c>
      <c r="W147" s="66">
        <v>7</v>
      </c>
      <c r="X147" s="67">
        <v>7</v>
      </c>
      <c r="Y147" s="67">
        <v>7</v>
      </c>
      <c r="Z147" s="66">
        <v>7</v>
      </c>
      <c r="AA147" s="67">
        <v>7</v>
      </c>
      <c r="AB147" s="67">
        <v>7</v>
      </c>
      <c r="AC147" s="66">
        <v>7</v>
      </c>
      <c r="AD147" s="65">
        <f t="shared" si="130"/>
        <v>100</v>
      </c>
      <c r="AE147" s="65">
        <f t="shared" si="131"/>
        <v>100</v>
      </c>
      <c r="AF147" s="66">
        <f t="shared" si="132"/>
        <v>100</v>
      </c>
      <c r="AG147" s="65">
        <f t="shared" si="133"/>
        <v>83.333333333333343</v>
      </c>
      <c r="AH147" s="65">
        <f t="shared" si="134"/>
        <v>91.666666666666671</v>
      </c>
      <c r="AI147" s="66">
        <f t="shared" si="135"/>
        <v>91.666666666666671</v>
      </c>
      <c r="AJ147" s="65">
        <f t="shared" si="136"/>
        <v>66.666666666666671</v>
      </c>
      <c r="AK147" s="65">
        <f t="shared" si="137"/>
        <v>83.333333333333343</v>
      </c>
      <c r="AL147" s="66">
        <f t="shared" si="138"/>
        <v>75</v>
      </c>
      <c r="AM147" s="65">
        <f t="shared" si="139"/>
        <v>58.333333333333336</v>
      </c>
      <c r="AN147" s="65">
        <f t="shared" si="140"/>
        <v>75</v>
      </c>
      <c r="AO147" s="66">
        <f t="shared" si="141"/>
        <v>75</v>
      </c>
      <c r="AP147" s="65">
        <f t="shared" si="142"/>
        <v>58.333333333333336</v>
      </c>
      <c r="AQ147" s="65">
        <f t="shared" si="143"/>
        <v>66.666666666666671</v>
      </c>
      <c r="AR147" s="66">
        <f t="shared" si="144"/>
        <v>66.666666666666671</v>
      </c>
      <c r="AS147" s="65">
        <f t="shared" si="145"/>
        <v>58.333333333333336</v>
      </c>
      <c r="AT147" s="65">
        <f t="shared" si="146"/>
        <v>58.333333333333336</v>
      </c>
      <c r="AU147" s="66">
        <f t="shared" si="147"/>
        <v>58.333333333333336</v>
      </c>
      <c r="AV147" s="65">
        <f t="shared" si="148"/>
        <v>58.333333333333336</v>
      </c>
      <c r="AW147" s="65">
        <f t="shared" si="149"/>
        <v>58.333333333333336</v>
      </c>
      <c r="AX147" s="66">
        <f t="shared" si="150"/>
        <v>58.333333333333336</v>
      </c>
      <c r="AY147" s="65">
        <f t="shared" si="151"/>
        <v>58.333333333333336</v>
      </c>
      <c r="AZ147" s="65">
        <f t="shared" si="152"/>
        <v>58.333333333333336</v>
      </c>
      <c r="BA147" s="66">
        <f t="shared" si="153"/>
        <v>58.333333333333336</v>
      </c>
      <c r="BB147" s="68">
        <f t="shared" si="154"/>
        <v>0</v>
      </c>
      <c r="BC147" s="65">
        <f t="shared" si="155"/>
        <v>4.8112522432468783</v>
      </c>
      <c r="BD147" s="65">
        <f t="shared" si="156"/>
        <v>8.3333333333333357</v>
      </c>
      <c r="BE147" s="65">
        <f t="shared" si="157"/>
        <v>9.6225044864937406</v>
      </c>
      <c r="BF147" s="65">
        <f t="shared" si="158"/>
        <v>4.8112522432468827</v>
      </c>
      <c r="BG147" s="65">
        <f t="shared" si="159"/>
        <v>0</v>
      </c>
      <c r="BH147" s="65">
        <f t="shared" si="160"/>
        <v>0</v>
      </c>
      <c r="BI147" s="65">
        <f t="shared" si="161"/>
        <v>0</v>
      </c>
      <c r="BJ147" s="68">
        <f t="shared" si="167"/>
        <v>0</v>
      </c>
      <c r="BK147" s="65">
        <f t="shared" si="168"/>
        <v>0.80187537387447971</v>
      </c>
      <c r="BL147" s="65">
        <f t="shared" si="169"/>
        <v>1.3888888888888893</v>
      </c>
      <c r="BM147" s="65">
        <f t="shared" si="170"/>
        <v>1.6037507477489568</v>
      </c>
      <c r="BN147" s="65">
        <f t="shared" si="171"/>
        <v>0.80187537387448049</v>
      </c>
      <c r="BO147" s="65">
        <f t="shared" si="172"/>
        <v>0</v>
      </c>
      <c r="BP147" s="65">
        <f t="shared" si="173"/>
        <v>0</v>
      </c>
      <c r="BQ147" s="90">
        <f t="shared" si="174"/>
        <v>0</v>
      </c>
      <c r="BR147" s="69">
        <f t="shared" si="162"/>
        <v>100</v>
      </c>
      <c r="BS147" s="67">
        <f t="shared" si="163"/>
        <v>88.8888888888889</v>
      </c>
      <c r="BT147" s="67">
        <f t="shared" si="164"/>
        <v>75</v>
      </c>
      <c r="BU147" s="67">
        <f t="shared" si="165"/>
        <v>69.444444444444443</v>
      </c>
      <c r="BV147" s="67">
        <f t="shared" si="176"/>
        <v>63.888888888888893</v>
      </c>
      <c r="BW147" s="67">
        <f t="shared" si="126"/>
        <v>58.333333333333336</v>
      </c>
      <c r="BX147" s="67">
        <f t="shared" si="127"/>
        <v>58.333333333333336</v>
      </c>
      <c r="BY147" s="67">
        <f t="shared" si="128"/>
        <v>58.333333333333336</v>
      </c>
      <c r="BZ147" s="69">
        <f t="shared" si="175"/>
        <v>0</v>
      </c>
      <c r="CA147" s="67">
        <f t="shared" si="175"/>
        <v>11.1111111111111</v>
      </c>
      <c r="CB147" s="67">
        <f t="shared" si="175"/>
        <v>25</v>
      </c>
      <c r="CC147" s="67">
        <f t="shared" si="175"/>
        <v>30.555555555555557</v>
      </c>
      <c r="CD147" s="67">
        <f t="shared" si="175"/>
        <v>36.111111111111107</v>
      </c>
      <c r="CE147" s="67">
        <f t="shared" si="129"/>
        <v>41.666666666666664</v>
      </c>
      <c r="CF147" s="67">
        <f t="shared" si="129"/>
        <v>41.666666666666664</v>
      </c>
      <c r="CG147" s="116">
        <f t="shared" si="129"/>
        <v>41.666666666666664</v>
      </c>
    </row>
    <row r="148" spans="2:85" x14ac:dyDescent="0.3">
      <c r="B148" s="409"/>
      <c r="C148" s="412"/>
      <c r="D148" s="70" t="s">
        <v>804</v>
      </c>
      <c r="E148" s="65">
        <v>12</v>
      </c>
      <c r="F148" s="65">
        <v>12</v>
      </c>
      <c r="G148" s="66">
        <v>12</v>
      </c>
      <c r="H148" s="65">
        <f t="shared" si="166"/>
        <v>36</v>
      </c>
      <c r="I148" s="67">
        <v>10</v>
      </c>
      <c r="J148" s="67">
        <v>8</v>
      </c>
      <c r="K148" s="66">
        <v>6</v>
      </c>
      <c r="L148" s="67">
        <v>10</v>
      </c>
      <c r="M148" s="67">
        <v>8</v>
      </c>
      <c r="N148" s="66">
        <v>5</v>
      </c>
      <c r="O148" s="67">
        <v>10</v>
      </c>
      <c r="P148" s="67">
        <v>8</v>
      </c>
      <c r="Q148" s="66">
        <v>5</v>
      </c>
      <c r="R148" s="67">
        <v>10</v>
      </c>
      <c r="S148" s="67">
        <v>8</v>
      </c>
      <c r="T148" s="66">
        <v>5</v>
      </c>
      <c r="U148" s="67">
        <v>10</v>
      </c>
      <c r="V148" s="67">
        <v>7</v>
      </c>
      <c r="W148" s="66">
        <v>5</v>
      </c>
      <c r="X148" s="67">
        <v>10</v>
      </c>
      <c r="Y148" s="67">
        <v>6</v>
      </c>
      <c r="Z148" s="66">
        <v>5</v>
      </c>
      <c r="AA148" s="67">
        <v>8</v>
      </c>
      <c r="AB148" s="67">
        <v>6</v>
      </c>
      <c r="AC148" s="66">
        <v>5</v>
      </c>
      <c r="AD148" s="65">
        <f t="shared" si="130"/>
        <v>100</v>
      </c>
      <c r="AE148" s="65">
        <f t="shared" si="131"/>
        <v>100</v>
      </c>
      <c r="AF148" s="66">
        <f t="shared" si="132"/>
        <v>100</v>
      </c>
      <c r="AG148" s="65">
        <f t="shared" si="133"/>
        <v>83.333333333333343</v>
      </c>
      <c r="AH148" s="65">
        <f t="shared" si="134"/>
        <v>66.666666666666671</v>
      </c>
      <c r="AI148" s="66">
        <f t="shared" si="135"/>
        <v>50</v>
      </c>
      <c r="AJ148" s="65">
        <f t="shared" si="136"/>
        <v>83.333333333333343</v>
      </c>
      <c r="AK148" s="65">
        <f t="shared" si="137"/>
        <v>66.666666666666671</v>
      </c>
      <c r="AL148" s="66">
        <f t="shared" si="138"/>
        <v>41.666666666666671</v>
      </c>
      <c r="AM148" s="65">
        <f t="shared" si="139"/>
        <v>83.333333333333343</v>
      </c>
      <c r="AN148" s="65">
        <f t="shared" si="140"/>
        <v>66.666666666666671</v>
      </c>
      <c r="AO148" s="66">
        <f t="shared" si="141"/>
        <v>41.666666666666671</v>
      </c>
      <c r="AP148" s="65">
        <f t="shared" si="142"/>
        <v>83.333333333333343</v>
      </c>
      <c r="AQ148" s="65">
        <f t="shared" si="143"/>
        <v>66.666666666666671</v>
      </c>
      <c r="AR148" s="66">
        <f t="shared" si="144"/>
        <v>41.666666666666671</v>
      </c>
      <c r="AS148" s="65">
        <f t="shared" si="145"/>
        <v>83.333333333333343</v>
      </c>
      <c r="AT148" s="65">
        <f t="shared" si="146"/>
        <v>58.333333333333336</v>
      </c>
      <c r="AU148" s="66">
        <f t="shared" si="147"/>
        <v>41.666666666666671</v>
      </c>
      <c r="AV148" s="65">
        <f t="shared" si="148"/>
        <v>83.333333333333343</v>
      </c>
      <c r="AW148" s="65">
        <f t="shared" si="149"/>
        <v>50</v>
      </c>
      <c r="AX148" s="66">
        <f t="shared" si="150"/>
        <v>41.666666666666671</v>
      </c>
      <c r="AY148" s="65">
        <f t="shared" si="151"/>
        <v>66.666666666666671</v>
      </c>
      <c r="AZ148" s="65">
        <f t="shared" si="152"/>
        <v>50</v>
      </c>
      <c r="BA148" s="66">
        <f t="shared" si="153"/>
        <v>41.666666666666671</v>
      </c>
      <c r="BB148" s="68">
        <f t="shared" si="154"/>
        <v>0</v>
      </c>
      <c r="BC148" s="65">
        <f t="shared" si="155"/>
        <v>16.666666666666682</v>
      </c>
      <c r="BD148" s="65">
        <f t="shared" si="156"/>
        <v>20.971762320196525</v>
      </c>
      <c r="BE148" s="65">
        <f t="shared" si="157"/>
        <v>20.971762320196525</v>
      </c>
      <c r="BF148" s="65">
        <f t="shared" si="158"/>
        <v>20.971762320196525</v>
      </c>
      <c r="BG148" s="65">
        <f t="shared" si="159"/>
        <v>20.971762320196504</v>
      </c>
      <c r="BH148" s="65">
        <f t="shared" si="160"/>
        <v>22.047927592204925</v>
      </c>
      <c r="BI148" s="65">
        <f t="shared" si="161"/>
        <v>12.729376930432867</v>
      </c>
      <c r="BJ148" s="68">
        <f t="shared" si="167"/>
        <v>0</v>
      </c>
      <c r="BK148" s="65">
        <f t="shared" si="168"/>
        <v>2.7777777777777803</v>
      </c>
      <c r="BL148" s="65">
        <f t="shared" si="169"/>
        <v>3.4952937200327541</v>
      </c>
      <c r="BM148" s="65">
        <f t="shared" si="170"/>
        <v>3.4952937200327541</v>
      </c>
      <c r="BN148" s="65">
        <f t="shared" si="171"/>
        <v>3.4952937200327541</v>
      </c>
      <c r="BO148" s="65">
        <f t="shared" si="172"/>
        <v>3.4952937200327505</v>
      </c>
      <c r="BP148" s="65">
        <f t="shared" si="173"/>
        <v>3.6746545987008208</v>
      </c>
      <c r="BQ148" s="90">
        <f t="shared" si="174"/>
        <v>2.1215628217388112</v>
      </c>
      <c r="BR148" s="69">
        <f t="shared" si="162"/>
        <v>100</v>
      </c>
      <c r="BS148" s="67">
        <f t="shared" si="163"/>
        <v>66.666666666666671</v>
      </c>
      <c r="BT148" s="67">
        <f t="shared" si="164"/>
        <v>63.888888888888893</v>
      </c>
      <c r="BU148" s="67">
        <f t="shared" si="165"/>
        <v>63.888888888888893</v>
      </c>
      <c r="BV148" s="67">
        <f t="shared" si="176"/>
        <v>63.888888888888893</v>
      </c>
      <c r="BW148" s="67">
        <f t="shared" si="126"/>
        <v>61.111111111111121</v>
      </c>
      <c r="BX148" s="67">
        <f t="shared" si="127"/>
        <v>61.111111111111114</v>
      </c>
      <c r="BY148" s="67">
        <f t="shared" si="128"/>
        <v>58.333333333333336</v>
      </c>
      <c r="BZ148" s="69">
        <f t="shared" si="175"/>
        <v>0</v>
      </c>
      <c r="CA148" s="67">
        <f t="shared" si="175"/>
        <v>33.333333333333329</v>
      </c>
      <c r="CB148" s="67">
        <f t="shared" si="175"/>
        <v>36.111111111111107</v>
      </c>
      <c r="CC148" s="67">
        <f t="shared" si="175"/>
        <v>36.111111111111107</v>
      </c>
      <c r="CD148" s="67">
        <f t="shared" si="175"/>
        <v>36.111111111111107</v>
      </c>
      <c r="CE148" s="67">
        <f t="shared" si="129"/>
        <v>38.888888888888879</v>
      </c>
      <c r="CF148" s="67">
        <f t="shared" si="129"/>
        <v>38.888888888888886</v>
      </c>
      <c r="CG148" s="116">
        <f t="shared" si="129"/>
        <v>41.666666666666664</v>
      </c>
    </row>
    <row r="149" spans="2:85" x14ac:dyDescent="0.3">
      <c r="B149" s="410"/>
      <c r="C149" s="413"/>
      <c r="D149" s="70" t="s">
        <v>805</v>
      </c>
      <c r="E149" s="71">
        <v>12</v>
      </c>
      <c r="F149" s="71">
        <v>12</v>
      </c>
      <c r="G149" s="72">
        <v>12</v>
      </c>
      <c r="H149" s="71">
        <f t="shared" si="166"/>
        <v>36</v>
      </c>
      <c r="I149" s="73">
        <v>6</v>
      </c>
      <c r="J149" s="73">
        <v>9</v>
      </c>
      <c r="K149" s="72">
        <v>9</v>
      </c>
      <c r="L149" s="73">
        <v>5</v>
      </c>
      <c r="M149" s="73">
        <v>8</v>
      </c>
      <c r="N149" s="72">
        <v>9</v>
      </c>
      <c r="O149" s="73">
        <v>5</v>
      </c>
      <c r="P149" s="73">
        <v>6</v>
      </c>
      <c r="Q149" s="72">
        <v>9</v>
      </c>
      <c r="R149" s="73">
        <v>5</v>
      </c>
      <c r="S149" s="73">
        <v>6</v>
      </c>
      <c r="T149" s="72">
        <v>9</v>
      </c>
      <c r="U149" s="73">
        <v>5</v>
      </c>
      <c r="V149" s="73">
        <v>6</v>
      </c>
      <c r="W149" s="72">
        <v>8</v>
      </c>
      <c r="X149" s="73">
        <v>5</v>
      </c>
      <c r="Y149" s="73">
        <v>6</v>
      </c>
      <c r="Z149" s="72">
        <v>7</v>
      </c>
      <c r="AA149" s="73">
        <v>5</v>
      </c>
      <c r="AB149" s="73">
        <v>6</v>
      </c>
      <c r="AC149" s="72">
        <v>7</v>
      </c>
      <c r="AD149" s="71">
        <f t="shared" si="130"/>
        <v>100</v>
      </c>
      <c r="AE149" s="71">
        <f t="shared" si="131"/>
        <v>100</v>
      </c>
      <c r="AF149" s="72">
        <f t="shared" si="132"/>
        <v>100</v>
      </c>
      <c r="AG149" s="71">
        <f t="shared" si="133"/>
        <v>50</v>
      </c>
      <c r="AH149" s="71">
        <f t="shared" si="134"/>
        <v>75</v>
      </c>
      <c r="AI149" s="72">
        <f t="shared" si="135"/>
        <v>75</v>
      </c>
      <c r="AJ149" s="71">
        <f t="shared" si="136"/>
        <v>41.666666666666671</v>
      </c>
      <c r="AK149" s="71">
        <f t="shared" si="137"/>
        <v>66.666666666666671</v>
      </c>
      <c r="AL149" s="72">
        <f t="shared" si="138"/>
        <v>75</v>
      </c>
      <c r="AM149" s="71">
        <f t="shared" si="139"/>
        <v>41.666666666666671</v>
      </c>
      <c r="AN149" s="71">
        <f t="shared" si="140"/>
        <v>50</v>
      </c>
      <c r="AO149" s="72">
        <f t="shared" si="141"/>
        <v>75</v>
      </c>
      <c r="AP149" s="71">
        <f t="shared" si="142"/>
        <v>41.666666666666671</v>
      </c>
      <c r="AQ149" s="71">
        <f t="shared" si="143"/>
        <v>50</v>
      </c>
      <c r="AR149" s="72">
        <f t="shared" si="144"/>
        <v>75</v>
      </c>
      <c r="AS149" s="71">
        <f t="shared" si="145"/>
        <v>41.666666666666671</v>
      </c>
      <c r="AT149" s="71">
        <f t="shared" si="146"/>
        <v>50</v>
      </c>
      <c r="AU149" s="72">
        <f t="shared" si="147"/>
        <v>66.666666666666671</v>
      </c>
      <c r="AV149" s="71">
        <f t="shared" si="148"/>
        <v>41.666666666666671</v>
      </c>
      <c r="AW149" s="71">
        <f t="shared" si="149"/>
        <v>50</v>
      </c>
      <c r="AX149" s="72">
        <f t="shared" si="150"/>
        <v>58.333333333333336</v>
      </c>
      <c r="AY149" s="71">
        <f t="shared" si="151"/>
        <v>41.666666666666671</v>
      </c>
      <c r="AZ149" s="71">
        <f t="shared" si="152"/>
        <v>50</v>
      </c>
      <c r="BA149" s="72">
        <f t="shared" si="153"/>
        <v>58.333333333333336</v>
      </c>
      <c r="BB149" s="74">
        <f t="shared" si="154"/>
        <v>0</v>
      </c>
      <c r="BC149" s="71">
        <f t="shared" si="155"/>
        <v>14.433756729740633</v>
      </c>
      <c r="BD149" s="71">
        <f t="shared" si="156"/>
        <v>17.34721666221775</v>
      </c>
      <c r="BE149" s="71">
        <f t="shared" si="157"/>
        <v>17.34721666221775</v>
      </c>
      <c r="BF149" s="71">
        <f t="shared" si="158"/>
        <v>17.34721666221775</v>
      </c>
      <c r="BG149" s="71">
        <f t="shared" si="159"/>
        <v>12.729376930432867</v>
      </c>
      <c r="BH149" s="71">
        <f t="shared" si="160"/>
        <v>8.3333333333333268</v>
      </c>
      <c r="BI149" s="71">
        <f t="shared" si="161"/>
        <v>8.3333333333333268</v>
      </c>
      <c r="BJ149" s="74">
        <f t="shared" si="167"/>
        <v>0</v>
      </c>
      <c r="BK149" s="71">
        <f t="shared" si="168"/>
        <v>2.4056261216234387</v>
      </c>
      <c r="BL149" s="71">
        <f t="shared" si="169"/>
        <v>2.8912027770362916</v>
      </c>
      <c r="BM149" s="71">
        <f t="shared" si="170"/>
        <v>2.8912027770362916</v>
      </c>
      <c r="BN149" s="71">
        <f t="shared" si="171"/>
        <v>2.8912027770362916</v>
      </c>
      <c r="BO149" s="71">
        <f t="shared" si="172"/>
        <v>2.1215628217388112</v>
      </c>
      <c r="BP149" s="71">
        <f t="shared" si="173"/>
        <v>1.3888888888888877</v>
      </c>
      <c r="BQ149" s="91">
        <f t="shared" si="174"/>
        <v>1.3888888888888877</v>
      </c>
      <c r="BR149" s="75">
        <f t="shared" si="162"/>
        <v>100</v>
      </c>
      <c r="BS149" s="73">
        <f t="shared" si="163"/>
        <v>66.666666666666671</v>
      </c>
      <c r="BT149" s="73">
        <f t="shared" si="164"/>
        <v>61.111111111111114</v>
      </c>
      <c r="BU149" s="73">
        <f t="shared" si="165"/>
        <v>55.555555555555564</v>
      </c>
      <c r="BV149" s="73">
        <f t="shared" si="176"/>
        <v>55.555555555555564</v>
      </c>
      <c r="BW149" s="73">
        <f t="shared" si="126"/>
        <v>52.777777777777779</v>
      </c>
      <c r="BX149" s="73">
        <f t="shared" si="127"/>
        <v>52.777777777777779</v>
      </c>
      <c r="BY149" s="73">
        <f t="shared" si="128"/>
        <v>52.777777777777779</v>
      </c>
      <c r="BZ149" s="75">
        <f t="shared" si="175"/>
        <v>0</v>
      </c>
      <c r="CA149" s="73">
        <f t="shared" si="175"/>
        <v>33.333333333333329</v>
      </c>
      <c r="CB149" s="73">
        <f t="shared" si="175"/>
        <v>38.888888888888886</v>
      </c>
      <c r="CC149" s="73">
        <f t="shared" si="175"/>
        <v>44.444444444444436</v>
      </c>
      <c r="CD149" s="73">
        <f t="shared" si="175"/>
        <v>44.444444444444436</v>
      </c>
      <c r="CE149" s="73">
        <f t="shared" si="129"/>
        <v>47.222222222222221</v>
      </c>
      <c r="CF149" s="73">
        <f t="shared" si="129"/>
        <v>47.222222222222221</v>
      </c>
      <c r="CG149" s="265">
        <f t="shared" si="129"/>
        <v>47.222222222222221</v>
      </c>
    </row>
    <row r="150" spans="2:85" ht="15" customHeight="1" x14ac:dyDescent="0.3">
      <c r="B150" s="408">
        <v>37</v>
      </c>
      <c r="C150" s="411" t="s">
        <v>487</v>
      </c>
      <c r="D150" s="76" t="s">
        <v>802</v>
      </c>
      <c r="E150" s="77">
        <v>12</v>
      </c>
      <c r="F150" s="77">
        <v>12</v>
      </c>
      <c r="G150" s="78">
        <v>12</v>
      </c>
      <c r="H150" s="77">
        <f t="shared" si="166"/>
        <v>36</v>
      </c>
      <c r="I150" s="79">
        <v>8</v>
      </c>
      <c r="J150" s="79">
        <v>7</v>
      </c>
      <c r="K150" s="78">
        <v>7</v>
      </c>
      <c r="L150" s="79">
        <v>5</v>
      </c>
      <c r="M150" s="79">
        <v>4</v>
      </c>
      <c r="N150" s="78">
        <v>4</v>
      </c>
      <c r="O150" s="79">
        <v>1</v>
      </c>
      <c r="P150" s="79">
        <v>2</v>
      </c>
      <c r="Q150" s="78">
        <v>1</v>
      </c>
      <c r="R150" s="79">
        <v>0</v>
      </c>
      <c r="S150" s="79">
        <v>0</v>
      </c>
      <c r="T150" s="78">
        <v>0</v>
      </c>
      <c r="U150" s="79">
        <v>0</v>
      </c>
      <c r="V150" s="79">
        <v>0</v>
      </c>
      <c r="W150" s="78">
        <v>0</v>
      </c>
      <c r="X150" s="79">
        <v>0</v>
      </c>
      <c r="Y150" s="79">
        <v>0</v>
      </c>
      <c r="Z150" s="78">
        <v>0</v>
      </c>
      <c r="AA150" s="79">
        <v>0</v>
      </c>
      <c r="AB150" s="79">
        <v>0</v>
      </c>
      <c r="AC150" s="78">
        <v>0</v>
      </c>
      <c r="AD150" s="77">
        <f t="shared" si="130"/>
        <v>100</v>
      </c>
      <c r="AE150" s="77">
        <f t="shared" si="131"/>
        <v>100</v>
      </c>
      <c r="AF150" s="78">
        <f t="shared" si="132"/>
        <v>100</v>
      </c>
      <c r="AG150" s="77">
        <f t="shared" si="133"/>
        <v>66.666666666666671</v>
      </c>
      <c r="AH150" s="77">
        <f t="shared" si="134"/>
        <v>58.333333333333336</v>
      </c>
      <c r="AI150" s="78">
        <f t="shared" si="135"/>
        <v>58.333333333333336</v>
      </c>
      <c r="AJ150" s="77">
        <f t="shared" si="136"/>
        <v>41.666666666666671</v>
      </c>
      <c r="AK150" s="77">
        <f t="shared" si="137"/>
        <v>33.333333333333336</v>
      </c>
      <c r="AL150" s="78">
        <f t="shared" si="138"/>
        <v>33.333333333333336</v>
      </c>
      <c r="AM150" s="77">
        <f t="shared" si="139"/>
        <v>8.3333333333333339</v>
      </c>
      <c r="AN150" s="77">
        <f t="shared" si="140"/>
        <v>16.666666666666668</v>
      </c>
      <c r="AO150" s="78">
        <f t="shared" si="141"/>
        <v>8.3333333333333339</v>
      </c>
      <c r="AP150" s="77">
        <f t="shared" si="142"/>
        <v>0</v>
      </c>
      <c r="AQ150" s="77">
        <f t="shared" si="143"/>
        <v>0</v>
      </c>
      <c r="AR150" s="78">
        <f t="shared" si="144"/>
        <v>0</v>
      </c>
      <c r="AS150" s="77">
        <f t="shared" si="145"/>
        <v>0</v>
      </c>
      <c r="AT150" s="77">
        <f t="shared" si="146"/>
        <v>0</v>
      </c>
      <c r="AU150" s="78">
        <f t="shared" si="147"/>
        <v>0</v>
      </c>
      <c r="AV150" s="77">
        <f t="shared" si="148"/>
        <v>0</v>
      </c>
      <c r="AW150" s="77">
        <f t="shared" si="149"/>
        <v>0</v>
      </c>
      <c r="AX150" s="78">
        <f t="shared" si="150"/>
        <v>0</v>
      </c>
      <c r="AY150" s="77">
        <f t="shared" si="151"/>
        <v>0</v>
      </c>
      <c r="AZ150" s="77">
        <f t="shared" si="152"/>
        <v>0</v>
      </c>
      <c r="BA150" s="78">
        <f t="shared" si="153"/>
        <v>0</v>
      </c>
      <c r="BB150" s="80">
        <f t="shared" si="154"/>
        <v>0</v>
      </c>
      <c r="BC150" s="77">
        <f t="shared" si="155"/>
        <v>4.8112522432468827</v>
      </c>
      <c r="BD150" s="77">
        <f t="shared" si="156"/>
        <v>4.8112522432468703</v>
      </c>
      <c r="BE150" s="77">
        <f t="shared" si="157"/>
        <v>4.8112522432468818</v>
      </c>
      <c r="BF150" s="77">
        <f t="shared" si="158"/>
        <v>0</v>
      </c>
      <c r="BG150" s="77">
        <f t="shared" si="159"/>
        <v>0</v>
      </c>
      <c r="BH150" s="77">
        <f t="shared" si="160"/>
        <v>0</v>
      </c>
      <c r="BI150" s="77">
        <f t="shared" si="161"/>
        <v>0</v>
      </c>
      <c r="BJ150" s="80">
        <f t="shared" si="167"/>
        <v>0</v>
      </c>
      <c r="BK150" s="77">
        <f t="shared" si="168"/>
        <v>0.80187537387448049</v>
      </c>
      <c r="BL150" s="77">
        <f t="shared" si="169"/>
        <v>0.80187537387447838</v>
      </c>
      <c r="BM150" s="77">
        <f t="shared" si="170"/>
        <v>0.80187537387448027</v>
      </c>
      <c r="BN150" s="77">
        <f t="shared" si="171"/>
        <v>0</v>
      </c>
      <c r="BO150" s="77">
        <f t="shared" si="172"/>
        <v>0</v>
      </c>
      <c r="BP150" s="77">
        <f t="shared" si="173"/>
        <v>0</v>
      </c>
      <c r="BQ150" s="92">
        <f t="shared" si="174"/>
        <v>0</v>
      </c>
      <c r="BR150" s="81">
        <f t="shared" si="162"/>
        <v>100</v>
      </c>
      <c r="BS150" s="79">
        <f t="shared" si="163"/>
        <v>61.111111111111114</v>
      </c>
      <c r="BT150" s="79">
        <f t="shared" si="164"/>
        <v>36.111111111111114</v>
      </c>
      <c r="BU150" s="79">
        <f t="shared" si="165"/>
        <v>11.111111111111112</v>
      </c>
      <c r="BV150" s="79">
        <f t="shared" si="176"/>
        <v>0</v>
      </c>
      <c r="BW150" s="79">
        <f t="shared" si="126"/>
        <v>0</v>
      </c>
      <c r="BX150" s="79">
        <f t="shared" si="127"/>
        <v>0</v>
      </c>
      <c r="BY150" s="79">
        <f t="shared" si="128"/>
        <v>0</v>
      </c>
      <c r="BZ150" s="81">
        <f t="shared" si="175"/>
        <v>0</v>
      </c>
      <c r="CA150" s="79">
        <f t="shared" si="175"/>
        <v>38.888888888888886</v>
      </c>
      <c r="CB150" s="79">
        <f t="shared" si="175"/>
        <v>63.888888888888886</v>
      </c>
      <c r="CC150" s="79">
        <f t="shared" si="175"/>
        <v>88.888888888888886</v>
      </c>
      <c r="CD150" s="79">
        <f t="shared" si="175"/>
        <v>100</v>
      </c>
      <c r="CE150" s="79">
        <f t="shared" si="129"/>
        <v>100</v>
      </c>
      <c r="CF150" s="79">
        <f t="shared" si="129"/>
        <v>100</v>
      </c>
      <c r="CG150" s="264">
        <f t="shared" si="129"/>
        <v>100</v>
      </c>
    </row>
    <row r="151" spans="2:85" x14ac:dyDescent="0.3">
      <c r="B151" s="409"/>
      <c r="C151" s="412"/>
      <c r="D151" s="70" t="s">
        <v>803</v>
      </c>
      <c r="E151" s="65">
        <v>12</v>
      </c>
      <c r="F151" s="65">
        <v>12</v>
      </c>
      <c r="G151" s="66">
        <v>12</v>
      </c>
      <c r="H151" s="65">
        <f t="shared" si="166"/>
        <v>36</v>
      </c>
      <c r="I151" s="67">
        <v>10</v>
      </c>
      <c r="J151" s="67">
        <v>8</v>
      </c>
      <c r="K151" s="66">
        <v>9</v>
      </c>
      <c r="L151" s="67">
        <v>10</v>
      </c>
      <c r="M151" s="67">
        <v>8</v>
      </c>
      <c r="N151" s="66">
        <v>9</v>
      </c>
      <c r="O151" s="67">
        <v>6</v>
      </c>
      <c r="P151" s="67">
        <v>3</v>
      </c>
      <c r="Q151" s="66">
        <v>8</v>
      </c>
      <c r="R151" s="67">
        <v>2</v>
      </c>
      <c r="S151" s="67">
        <v>2</v>
      </c>
      <c r="T151" s="66">
        <v>3</v>
      </c>
      <c r="U151" s="67">
        <v>0</v>
      </c>
      <c r="V151" s="67">
        <v>1</v>
      </c>
      <c r="W151" s="66">
        <v>0</v>
      </c>
      <c r="X151" s="67">
        <v>0</v>
      </c>
      <c r="Y151" s="67">
        <v>0</v>
      </c>
      <c r="Z151" s="66">
        <v>0</v>
      </c>
      <c r="AA151" s="67">
        <v>0</v>
      </c>
      <c r="AB151" s="67">
        <v>0</v>
      </c>
      <c r="AC151" s="66">
        <v>0</v>
      </c>
      <c r="AD151" s="65">
        <f t="shared" si="130"/>
        <v>100</v>
      </c>
      <c r="AE151" s="65">
        <f t="shared" si="131"/>
        <v>100</v>
      </c>
      <c r="AF151" s="66">
        <f t="shared" si="132"/>
        <v>100</v>
      </c>
      <c r="AG151" s="65">
        <f t="shared" si="133"/>
        <v>83.333333333333343</v>
      </c>
      <c r="AH151" s="65">
        <f t="shared" si="134"/>
        <v>66.666666666666671</v>
      </c>
      <c r="AI151" s="66">
        <f t="shared" si="135"/>
        <v>75</v>
      </c>
      <c r="AJ151" s="65">
        <f t="shared" si="136"/>
        <v>83.333333333333343</v>
      </c>
      <c r="AK151" s="65">
        <f t="shared" si="137"/>
        <v>66.666666666666671</v>
      </c>
      <c r="AL151" s="66">
        <f t="shared" si="138"/>
        <v>75</v>
      </c>
      <c r="AM151" s="65">
        <f t="shared" si="139"/>
        <v>50</v>
      </c>
      <c r="AN151" s="65">
        <f t="shared" si="140"/>
        <v>25</v>
      </c>
      <c r="AO151" s="66">
        <f t="shared" si="141"/>
        <v>66.666666666666671</v>
      </c>
      <c r="AP151" s="65">
        <f t="shared" si="142"/>
        <v>16.666666666666668</v>
      </c>
      <c r="AQ151" s="65">
        <f t="shared" si="143"/>
        <v>16.666666666666668</v>
      </c>
      <c r="AR151" s="66">
        <f t="shared" si="144"/>
        <v>25</v>
      </c>
      <c r="AS151" s="65">
        <f t="shared" si="145"/>
        <v>0</v>
      </c>
      <c r="AT151" s="65">
        <f t="shared" si="146"/>
        <v>8.3333333333333339</v>
      </c>
      <c r="AU151" s="66">
        <f t="shared" si="147"/>
        <v>0</v>
      </c>
      <c r="AV151" s="65">
        <f t="shared" si="148"/>
        <v>0</v>
      </c>
      <c r="AW151" s="65">
        <f t="shared" si="149"/>
        <v>0</v>
      </c>
      <c r="AX151" s="66">
        <f t="shared" si="150"/>
        <v>0</v>
      </c>
      <c r="AY151" s="65">
        <f t="shared" si="151"/>
        <v>0</v>
      </c>
      <c r="AZ151" s="65">
        <f t="shared" si="152"/>
        <v>0</v>
      </c>
      <c r="BA151" s="66">
        <f t="shared" si="153"/>
        <v>0</v>
      </c>
      <c r="BB151" s="68">
        <f t="shared" si="154"/>
        <v>0</v>
      </c>
      <c r="BC151" s="65">
        <f t="shared" si="155"/>
        <v>8.3333333333333357</v>
      </c>
      <c r="BD151" s="65">
        <f t="shared" si="156"/>
        <v>8.3333333333333357</v>
      </c>
      <c r="BE151" s="65">
        <f t="shared" si="157"/>
        <v>20.971762320196515</v>
      </c>
      <c r="BF151" s="65">
        <f t="shared" si="158"/>
        <v>4.8112522432468818</v>
      </c>
      <c r="BG151" s="65">
        <f t="shared" si="159"/>
        <v>4.8112522432468818</v>
      </c>
      <c r="BH151" s="65">
        <f t="shared" si="160"/>
        <v>0</v>
      </c>
      <c r="BI151" s="65">
        <f t="shared" si="161"/>
        <v>0</v>
      </c>
      <c r="BJ151" s="68">
        <f t="shared" si="167"/>
        <v>0</v>
      </c>
      <c r="BK151" s="65">
        <f t="shared" si="168"/>
        <v>1.3888888888888893</v>
      </c>
      <c r="BL151" s="65">
        <f t="shared" si="169"/>
        <v>1.3888888888888893</v>
      </c>
      <c r="BM151" s="65">
        <f t="shared" si="170"/>
        <v>3.4952937200327523</v>
      </c>
      <c r="BN151" s="65">
        <f t="shared" si="171"/>
        <v>0.80187537387448027</v>
      </c>
      <c r="BO151" s="65">
        <f t="shared" si="172"/>
        <v>0.80187537387448027</v>
      </c>
      <c r="BP151" s="65">
        <f t="shared" si="173"/>
        <v>0</v>
      </c>
      <c r="BQ151" s="90">
        <f t="shared" si="174"/>
        <v>0</v>
      </c>
      <c r="BR151" s="69">
        <f t="shared" si="162"/>
        <v>100</v>
      </c>
      <c r="BS151" s="67">
        <f t="shared" si="163"/>
        <v>75</v>
      </c>
      <c r="BT151" s="67">
        <f t="shared" si="164"/>
        <v>75</v>
      </c>
      <c r="BU151" s="67">
        <f t="shared" si="165"/>
        <v>47.222222222222229</v>
      </c>
      <c r="BV151" s="67">
        <f t="shared" si="176"/>
        <v>19.444444444444446</v>
      </c>
      <c r="BW151" s="67">
        <f t="shared" ref="BW151:BW182" si="177">AVERAGE(AS151:AU151)</f>
        <v>2.7777777777777781</v>
      </c>
      <c r="BX151" s="67">
        <f t="shared" si="127"/>
        <v>2.7777777777777781</v>
      </c>
      <c r="BY151" s="67">
        <f t="shared" si="128"/>
        <v>0</v>
      </c>
      <c r="BZ151" s="69">
        <f t="shared" si="175"/>
        <v>0</v>
      </c>
      <c r="CA151" s="67">
        <f t="shared" si="175"/>
        <v>25</v>
      </c>
      <c r="CB151" s="67">
        <f t="shared" si="175"/>
        <v>25</v>
      </c>
      <c r="CC151" s="67">
        <f t="shared" si="175"/>
        <v>52.777777777777771</v>
      </c>
      <c r="CD151" s="67">
        <f t="shared" si="175"/>
        <v>80.555555555555557</v>
      </c>
      <c r="CE151" s="67">
        <f t="shared" si="129"/>
        <v>97.222222222222229</v>
      </c>
      <c r="CF151" s="67">
        <f t="shared" si="129"/>
        <v>97.222222222222229</v>
      </c>
      <c r="CG151" s="116">
        <f t="shared" si="129"/>
        <v>100</v>
      </c>
    </row>
    <row r="152" spans="2:85" x14ac:dyDescent="0.3">
      <c r="B152" s="409"/>
      <c r="C152" s="412"/>
      <c r="D152" s="70" t="s">
        <v>804</v>
      </c>
      <c r="E152" s="65">
        <v>12</v>
      </c>
      <c r="F152" s="65">
        <v>12</v>
      </c>
      <c r="G152" s="66">
        <v>12</v>
      </c>
      <c r="H152" s="65">
        <f t="shared" si="166"/>
        <v>36</v>
      </c>
      <c r="I152" s="67">
        <v>6</v>
      </c>
      <c r="J152" s="67">
        <v>7</v>
      </c>
      <c r="K152" s="66">
        <v>9</v>
      </c>
      <c r="L152" s="67">
        <v>6</v>
      </c>
      <c r="M152" s="67">
        <v>7</v>
      </c>
      <c r="N152" s="66">
        <v>9</v>
      </c>
      <c r="O152" s="67">
        <v>6</v>
      </c>
      <c r="P152" s="67">
        <v>7</v>
      </c>
      <c r="Q152" s="66">
        <v>7</v>
      </c>
      <c r="R152" s="67">
        <v>5</v>
      </c>
      <c r="S152" s="67">
        <v>7</v>
      </c>
      <c r="T152" s="66">
        <v>7</v>
      </c>
      <c r="U152" s="67">
        <v>4</v>
      </c>
      <c r="V152" s="67">
        <v>6</v>
      </c>
      <c r="W152" s="66">
        <v>4</v>
      </c>
      <c r="X152" s="67">
        <v>4</v>
      </c>
      <c r="Y152" s="67">
        <v>6</v>
      </c>
      <c r="Z152" s="66">
        <v>4</v>
      </c>
      <c r="AA152" s="67">
        <v>4</v>
      </c>
      <c r="AB152" s="67">
        <v>6</v>
      </c>
      <c r="AC152" s="66">
        <v>4</v>
      </c>
      <c r="AD152" s="65">
        <f t="shared" si="130"/>
        <v>100</v>
      </c>
      <c r="AE152" s="65">
        <f t="shared" si="131"/>
        <v>100</v>
      </c>
      <c r="AF152" s="66">
        <f t="shared" si="132"/>
        <v>100</v>
      </c>
      <c r="AG152" s="65">
        <f t="shared" si="133"/>
        <v>50</v>
      </c>
      <c r="AH152" s="65">
        <f t="shared" si="134"/>
        <v>58.333333333333336</v>
      </c>
      <c r="AI152" s="66">
        <f t="shared" si="135"/>
        <v>75</v>
      </c>
      <c r="AJ152" s="65">
        <f t="shared" si="136"/>
        <v>50</v>
      </c>
      <c r="AK152" s="65">
        <f t="shared" si="137"/>
        <v>58.333333333333336</v>
      </c>
      <c r="AL152" s="66">
        <f t="shared" si="138"/>
        <v>75</v>
      </c>
      <c r="AM152" s="65">
        <f t="shared" si="139"/>
        <v>50</v>
      </c>
      <c r="AN152" s="65">
        <f t="shared" si="140"/>
        <v>58.333333333333336</v>
      </c>
      <c r="AO152" s="66">
        <f t="shared" si="141"/>
        <v>58.333333333333336</v>
      </c>
      <c r="AP152" s="65">
        <f t="shared" si="142"/>
        <v>41.666666666666671</v>
      </c>
      <c r="AQ152" s="65">
        <f t="shared" si="143"/>
        <v>58.333333333333336</v>
      </c>
      <c r="AR152" s="66">
        <f t="shared" si="144"/>
        <v>58.333333333333336</v>
      </c>
      <c r="AS152" s="65">
        <f t="shared" si="145"/>
        <v>33.333333333333336</v>
      </c>
      <c r="AT152" s="65">
        <f t="shared" si="146"/>
        <v>50</v>
      </c>
      <c r="AU152" s="66">
        <f t="shared" si="147"/>
        <v>33.333333333333336</v>
      </c>
      <c r="AV152" s="65">
        <f t="shared" si="148"/>
        <v>33.333333333333336</v>
      </c>
      <c r="AW152" s="65">
        <f t="shared" si="149"/>
        <v>50</v>
      </c>
      <c r="AX152" s="66">
        <f t="shared" si="150"/>
        <v>33.333333333333336</v>
      </c>
      <c r="AY152" s="65">
        <f t="shared" si="151"/>
        <v>33.333333333333336</v>
      </c>
      <c r="AZ152" s="65">
        <f t="shared" si="152"/>
        <v>50</v>
      </c>
      <c r="BA152" s="66">
        <f t="shared" si="153"/>
        <v>33.333333333333336</v>
      </c>
      <c r="BB152" s="68">
        <f t="shared" si="154"/>
        <v>0</v>
      </c>
      <c r="BC152" s="65">
        <f t="shared" si="155"/>
        <v>12.729376930432831</v>
      </c>
      <c r="BD152" s="65">
        <f t="shared" si="156"/>
        <v>12.729376930432831</v>
      </c>
      <c r="BE152" s="65">
        <f t="shared" si="157"/>
        <v>4.8112522432468827</v>
      </c>
      <c r="BF152" s="65">
        <f t="shared" si="158"/>
        <v>9.6225044864937406</v>
      </c>
      <c r="BG152" s="65">
        <f t="shared" si="159"/>
        <v>9.6225044864937406</v>
      </c>
      <c r="BH152" s="65">
        <f t="shared" si="160"/>
        <v>9.6225044864937406</v>
      </c>
      <c r="BI152" s="65">
        <f t="shared" si="161"/>
        <v>9.6225044864937406</v>
      </c>
      <c r="BJ152" s="68">
        <f t="shared" si="167"/>
        <v>0</v>
      </c>
      <c r="BK152" s="65">
        <f t="shared" si="168"/>
        <v>2.1215628217388054</v>
      </c>
      <c r="BL152" s="65">
        <f t="shared" si="169"/>
        <v>2.1215628217388054</v>
      </c>
      <c r="BM152" s="65">
        <f t="shared" si="170"/>
        <v>0.80187537387448049</v>
      </c>
      <c r="BN152" s="65">
        <f t="shared" si="171"/>
        <v>1.6037507477489568</v>
      </c>
      <c r="BO152" s="65">
        <f t="shared" si="172"/>
        <v>1.6037507477489568</v>
      </c>
      <c r="BP152" s="65">
        <f t="shared" si="173"/>
        <v>1.6037507477489568</v>
      </c>
      <c r="BQ152" s="90">
        <f t="shared" si="174"/>
        <v>1.6037507477489568</v>
      </c>
      <c r="BR152" s="69">
        <f t="shared" si="162"/>
        <v>100</v>
      </c>
      <c r="BS152" s="67">
        <f t="shared" si="163"/>
        <v>61.111111111111114</v>
      </c>
      <c r="BT152" s="67">
        <f t="shared" si="164"/>
        <v>61.111111111111114</v>
      </c>
      <c r="BU152" s="67">
        <f t="shared" si="165"/>
        <v>55.555555555555564</v>
      </c>
      <c r="BV152" s="67">
        <f t="shared" si="176"/>
        <v>52.777777777777779</v>
      </c>
      <c r="BW152" s="67">
        <f t="shared" si="177"/>
        <v>38.888888888888893</v>
      </c>
      <c r="BX152" s="67">
        <f t="shared" si="127"/>
        <v>38.888888888888893</v>
      </c>
      <c r="BY152" s="67">
        <f t="shared" si="128"/>
        <v>38.888888888888893</v>
      </c>
      <c r="BZ152" s="69">
        <f t="shared" si="175"/>
        <v>0</v>
      </c>
      <c r="CA152" s="67">
        <f t="shared" si="175"/>
        <v>38.888888888888886</v>
      </c>
      <c r="CB152" s="67">
        <f t="shared" si="175"/>
        <v>38.888888888888886</v>
      </c>
      <c r="CC152" s="67">
        <f t="shared" si="175"/>
        <v>44.444444444444436</v>
      </c>
      <c r="CD152" s="67">
        <f t="shared" si="175"/>
        <v>47.222222222222221</v>
      </c>
      <c r="CE152" s="67">
        <f t="shared" si="129"/>
        <v>61.111111111111107</v>
      </c>
      <c r="CF152" s="67">
        <f t="shared" si="129"/>
        <v>61.111111111111107</v>
      </c>
      <c r="CG152" s="116">
        <f t="shared" si="129"/>
        <v>61.111111111111107</v>
      </c>
    </row>
    <row r="153" spans="2:85" x14ac:dyDescent="0.3">
      <c r="B153" s="410"/>
      <c r="C153" s="413"/>
      <c r="D153" s="70" t="s">
        <v>805</v>
      </c>
      <c r="E153" s="71">
        <v>12</v>
      </c>
      <c r="F153" s="71">
        <v>12</v>
      </c>
      <c r="G153" s="72">
        <v>12</v>
      </c>
      <c r="H153" s="71">
        <f t="shared" si="166"/>
        <v>36</v>
      </c>
      <c r="I153" s="73">
        <v>10</v>
      </c>
      <c r="J153" s="73">
        <v>11</v>
      </c>
      <c r="K153" s="72">
        <v>9</v>
      </c>
      <c r="L153" s="73">
        <v>10</v>
      </c>
      <c r="M153" s="73">
        <v>11</v>
      </c>
      <c r="N153" s="72">
        <v>9</v>
      </c>
      <c r="O153" s="73">
        <v>9</v>
      </c>
      <c r="P153" s="73">
        <v>10</v>
      </c>
      <c r="Q153" s="72">
        <v>8</v>
      </c>
      <c r="R153" s="73">
        <v>9</v>
      </c>
      <c r="S153" s="73">
        <v>10</v>
      </c>
      <c r="T153" s="72">
        <v>8</v>
      </c>
      <c r="U153" s="73">
        <v>9</v>
      </c>
      <c r="V153" s="73">
        <v>10</v>
      </c>
      <c r="W153" s="72">
        <v>8</v>
      </c>
      <c r="X153" s="73">
        <v>9</v>
      </c>
      <c r="Y153" s="73">
        <v>10</v>
      </c>
      <c r="Z153" s="72">
        <v>8</v>
      </c>
      <c r="AA153" s="73">
        <v>9</v>
      </c>
      <c r="AB153" s="73">
        <v>10</v>
      </c>
      <c r="AC153" s="72">
        <v>8</v>
      </c>
      <c r="AD153" s="71">
        <f t="shared" si="130"/>
        <v>100</v>
      </c>
      <c r="AE153" s="71">
        <f t="shared" si="131"/>
        <v>100</v>
      </c>
      <c r="AF153" s="72">
        <f t="shared" si="132"/>
        <v>100</v>
      </c>
      <c r="AG153" s="71">
        <f t="shared" si="133"/>
        <v>83.333333333333343</v>
      </c>
      <c r="AH153" s="71">
        <f t="shared" si="134"/>
        <v>91.666666666666671</v>
      </c>
      <c r="AI153" s="72">
        <f t="shared" si="135"/>
        <v>75</v>
      </c>
      <c r="AJ153" s="71">
        <f t="shared" si="136"/>
        <v>83.333333333333343</v>
      </c>
      <c r="AK153" s="71">
        <f t="shared" si="137"/>
        <v>91.666666666666671</v>
      </c>
      <c r="AL153" s="72">
        <f t="shared" si="138"/>
        <v>75</v>
      </c>
      <c r="AM153" s="71">
        <f t="shared" si="139"/>
        <v>75</v>
      </c>
      <c r="AN153" s="71">
        <f t="shared" si="140"/>
        <v>83.333333333333343</v>
      </c>
      <c r="AO153" s="72">
        <f t="shared" si="141"/>
        <v>66.666666666666671</v>
      </c>
      <c r="AP153" s="71">
        <f t="shared" si="142"/>
        <v>75</v>
      </c>
      <c r="AQ153" s="71">
        <f t="shared" si="143"/>
        <v>83.333333333333343</v>
      </c>
      <c r="AR153" s="72">
        <f t="shared" si="144"/>
        <v>66.666666666666671</v>
      </c>
      <c r="AS153" s="71">
        <f t="shared" si="145"/>
        <v>75</v>
      </c>
      <c r="AT153" s="71">
        <f t="shared" si="146"/>
        <v>83.333333333333343</v>
      </c>
      <c r="AU153" s="72">
        <f t="shared" si="147"/>
        <v>66.666666666666671</v>
      </c>
      <c r="AV153" s="71">
        <f t="shared" si="148"/>
        <v>75</v>
      </c>
      <c r="AW153" s="71">
        <f t="shared" si="149"/>
        <v>83.333333333333343</v>
      </c>
      <c r="AX153" s="72">
        <f t="shared" si="150"/>
        <v>66.666666666666671</v>
      </c>
      <c r="AY153" s="71">
        <f t="shared" si="151"/>
        <v>75</v>
      </c>
      <c r="AZ153" s="71">
        <f t="shared" si="152"/>
        <v>83.333333333333343</v>
      </c>
      <c r="BA153" s="72">
        <f t="shared" si="153"/>
        <v>66.666666666666671</v>
      </c>
      <c r="BB153" s="74">
        <f t="shared" si="154"/>
        <v>0</v>
      </c>
      <c r="BC153" s="71">
        <f t="shared" si="155"/>
        <v>8.3333333333333357</v>
      </c>
      <c r="BD153" s="71">
        <f t="shared" si="156"/>
        <v>8.3333333333333357</v>
      </c>
      <c r="BE153" s="71">
        <f t="shared" si="157"/>
        <v>8.3333333333333357</v>
      </c>
      <c r="BF153" s="71">
        <f t="shared" si="158"/>
        <v>8.3333333333333357</v>
      </c>
      <c r="BG153" s="71">
        <f t="shared" si="159"/>
        <v>8.3333333333333357</v>
      </c>
      <c r="BH153" s="71">
        <f t="shared" si="160"/>
        <v>8.3333333333333357</v>
      </c>
      <c r="BI153" s="71">
        <f t="shared" si="161"/>
        <v>8.3333333333333357</v>
      </c>
      <c r="BJ153" s="74">
        <f t="shared" si="167"/>
        <v>0</v>
      </c>
      <c r="BK153" s="71">
        <f t="shared" si="168"/>
        <v>1.3888888888888893</v>
      </c>
      <c r="BL153" s="71">
        <f t="shared" si="169"/>
        <v>1.3888888888888893</v>
      </c>
      <c r="BM153" s="71">
        <f t="shared" si="170"/>
        <v>1.3888888888888893</v>
      </c>
      <c r="BN153" s="71">
        <f t="shared" si="171"/>
        <v>1.3888888888888893</v>
      </c>
      <c r="BO153" s="71">
        <f t="shared" si="172"/>
        <v>1.3888888888888893</v>
      </c>
      <c r="BP153" s="71">
        <f t="shared" si="173"/>
        <v>1.3888888888888893</v>
      </c>
      <c r="BQ153" s="91">
        <f t="shared" si="174"/>
        <v>1.3888888888888893</v>
      </c>
      <c r="BR153" s="75">
        <f t="shared" si="162"/>
        <v>100</v>
      </c>
      <c r="BS153" s="73">
        <f t="shared" si="163"/>
        <v>83.333333333333329</v>
      </c>
      <c r="BT153" s="73">
        <f t="shared" si="164"/>
        <v>83.333333333333329</v>
      </c>
      <c r="BU153" s="73">
        <f t="shared" si="165"/>
        <v>75</v>
      </c>
      <c r="BV153" s="73">
        <f t="shared" si="176"/>
        <v>75</v>
      </c>
      <c r="BW153" s="73">
        <f t="shared" si="177"/>
        <v>75</v>
      </c>
      <c r="BX153" s="73">
        <f t="shared" si="127"/>
        <v>75</v>
      </c>
      <c r="BY153" s="73">
        <f t="shared" si="128"/>
        <v>75.000000000000014</v>
      </c>
      <c r="BZ153" s="75">
        <f t="shared" si="175"/>
        <v>0</v>
      </c>
      <c r="CA153" s="73">
        <f t="shared" si="175"/>
        <v>16.666666666666671</v>
      </c>
      <c r="CB153" s="73">
        <f t="shared" si="175"/>
        <v>16.666666666666671</v>
      </c>
      <c r="CC153" s="73">
        <f t="shared" si="175"/>
        <v>25</v>
      </c>
      <c r="CD153" s="73">
        <f t="shared" si="175"/>
        <v>25</v>
      </c>
      <c r="CE153" s="73">
        <f t="shared" si="129"/>
        <v>25</v>
      </c>
      <c r="CF153" s="73">
        <f t="shared" si="129"/>
        <v>25</v>
      </c>
      <c r="CG153" s="265">
        <f t="shared" si="129"/>
        <v>24.999999999999986</v>
      </c>
    </row>
    <row r="154" spans="2:85" ht="15" customHeight="1" x14ac:dyDescent="0.3">
      <c r="B154" s="408">
        <v>38</v>
      </c>
      <c r="C154" s="411" t="s">
        <v>496</v>
      </c>
      <c r="D154" s="76" t="s">
        <v>802</v>
      </c>
      <c r="E154" s="77">
        <v>4</v>
      </c>
      <c r="F154" s="77">
        <v>10</v>
      </c>
      <c r="G154" s="78">
        <v>7</v>
      </c>
      <c r="H154" s="77">
        <f t="shared" si="166"/>
        <v>21</v>
      </c>
      <c r="I154" s="79">
        <v>4</v>
      </c>
      <c r="J154" s="79">
        <v>6</v>
      </c>
      <c r="K154" s="78">
        <v>6</v>
      </c>
      <c r="L154" s="79">
        <v>2</v>
      </c>
      <c r="M154" s="79">
        <v>2</v>
      </c>
      <c r="N154" s="78">
        <v>2</v>
      </c>
      <c r="O154" s="79">
        <v>1</v>
      </c>
      <c r="P154" s="79">
        <v>0</v>
      </c>
      <c r="Q154" s="78">
        <v>0</v>
      </c>
      <c r="R154" s="79">
        <v>0</v>
      </c>
      <c r="S154" s="79">
        <v>0</v>
      </c>
      <c r="T154" s="78">
        <v>0</v>
      </c>
      <c r="U154" s="79">
        <v>0</v>
      </c>
      <c r="V154" s="79">
        <v>0</v>
      </c>
      <c r="W154" s="78">
        <v>0</v>
      </c>
      <c r="X154" s="79">
        <v>0</v>
      </c>
      <c r="Y154" s="79">
        <v>0</v>
      </c>
      <c r="Z154" s="78">
        <v>0</v>
      </c>
      <c r="AA154" s="79">
        <v>0</v>
      </c>
      <c r="AB154" s="79">
        <v>0</v>
      </c>
      <c r="AC154" s="78">
        <v>0</v>
      </c>
      <c r="AD154" s="77">
        <f t="shared" si="130"/>
        <v>100</v>
      </c>
      <c r="AE154" s="77">
        <f t="shared" si="131"/>
        <v>100</v>
      </c>
      <c r="AF154" s="78">
        <f t="shared" si="132"/>
        <v>100</v>
      </c>
      <c r="AG154" s="77">
        <f t="shared" si="133"/>
        <v>100</v>
      </c>
      <c r="AH154" s="77">
        <f t="shared" si="134"/>
        <v>60</v>
      </c>
      <c r="AI154" s="78">
        <f t="shared" si="135"/>
        <v>85.714285714285722</v>
      </c>
      <c r="AJ154" s="77">
        <f t="shared" si="136"/>
        <v>50</v>
      </c>
      <c r="AK154" s="77">
        <f t="shared" si="137"/>
        <v>20</v>
      </c>
      <c r="AL154" s="78">
        <f t="shared" si="138"/>
        <v>28.571428571428573</v>
      </c>
      <c r="AM154" s="77">
        <f t="shared" si="139"/>
        <v>25</v>
      </c>
      <c r="AN154" s="77">
        <f t="shared" si="140"/>
        <v>0</v>
      </c>
      <c r="AO154" s="78">
        <f t="shared" si="141"/>
        <v>0</v>
      </c>
      <c r="AP154" s="77">
        <f t="shared" si="142"/>
        <v>0</v>
      </c>
      <c r="AQ154" s="77">
        <f t="shared" si="143"/>
        <v>0</v>
      </c>
      <c r="AR154" s="78">
        <f t="shared" si="144"/>
        <v>0</v>
      </c>
      <c r="AS154" s="77">
        <f t="shared" si="145"/>
        <v>0</v>
      </c>
      <c r="AT154" s="77">
        <f t="shared" si="146"/>
        <v>0</v>
      </c>
      <c r="AU154" s="78">
        <f t="shared" si="147"/>
        <v>0</v>
      </c>
      <c r="AV154" s="77">
        <f t="shared" si="148"/>
        <v>0</v>
      </c>
      <c r="AW154" s="77">
        <f t="shared" si="149"/>
        <v>0</v>
      </c>
      <c r="AX154" s="78">
        <f t="shared" si="150"/>
        <v>0</v>
      </c>
      <c r="AY154" s="77">
        <f t="shared" si="151"/>
        <v>0</v>
      </c>
      <c r="AZ154" s="77">
        <f t="shared" si="152"/>
        <v>0</v>
      </c>
      <c r="BA154" s="78">
        <f t="shared" si="153"/>
        <v>0</v>
      </c>
      <c r="BB154" s="80">
        <f t="shared" si="154"/>
        <v>0</v>
      </c>
      <c r="BC154" s="77">
        <f t="shared" si="155"/>
        <v>20.270282527421706</v>
      </c>
      <c r="BD154" s="77">
        <f t="shared" si="156"/>
        <v>15.452362609131384</v>
      </c>
      <c r="BE154" s="77">
        <f t="shared" si="157"/>
        <v>14.433756729740644</v>
      </c>
      <c r="BF154" s="77">
        <f t="shared" si="158"/>
        <v>0</v>
      </c>
      <c r="BG154" s="77">
        <f t="shared" si="159"/>
        <v>0</v>
      </c>
      <c r="BH154" s="77">
        <f t="shared" si="160"/>
        <v>0</v>
      </c>
      <c r="BI154" s="77">
        <f t="shared" si="161"/>
        <v>0</v>
      </c>
      <c r="BJ154" s="80">
        <f t="shared" si="167"/>
        <v>0</v>
      </c>
      <c r="BK154" s="77">
        <f t="shared" si="168"/>
        <v>4.4233382876214646</v>
      </c>
      <c r="BL154" s="77">
        <f t="shared" si="169"/>
        <v>3.3719819677261853</v>
      </c>
      <c r="BM154" s="77">
        <f t="shared" si="170"/>
        <v>3.1497039417435602</v>
      </c>
      <c r="BN154" s="77">
        <f t="shared" si="171"/>
        <v>0</v>
      </c>
      <c r="BO154" s="77">
        <f t="shared" si="172"/>
        <v>0</v>
      </c>
      <c r="BP154" s="77">
        <f t="shared" si="173"/>
        <v>0</v>
      </c>
      <c r="BQ154" s="92">
        <f t="shared" si="174"/>
        <v>0</v>
      </c>
      <c r="BR154" s="81">
        <f t="shared" si="162"/>
        <v>100</v>
      </c>
      <c r="BS154" s="79">
        <f t="shared" si="163"/>
        <v>81.904761904761912</v>
      </c>
      <c r="BT154" s="79">
        <f t="shared" si="164"/>
        <v>32.857142857142854</v>
      </c>
      <c r="BU154" s="79">
        <f t="shared" si="165"/>
        <v>8.3333333333333339</v>
      </c>
      <c r="BV154" s="79">
        <f t="shared" si="176"/>
        <v>0</v>
      </c>
      <c r="BW154" s="79">
        <f t="shared" si="177"/>
        <v>0</v>
      </c>
      <c r="BX154" s="79">
        <f t="shared" ref="BX154:BX185" si="178">AVERAGE(AT154:AV154)</f>
        <v>0</v>
      </c>
      <c r="BY154" s="79">
        <f t="shared" ref="BY154:BY185" si="179">AVERAGE(AU154:AW154)</f>
        <v>0</v>
      </c>
      <c r="BZ154" s="81">
        <f t="shared" si="175"/>
        <v>0</v>
      </c>
      <c r="CA154" s="79">
        <f t="shared" si="175"/>
        <v>18.095238095238088</v>
      </c>
      <c r="CB154" s="79">
        <f t="shared" si="175"/>
        <v>67.142857142857139</v>
      </c>
      <c r="CC154" s="79">
        <f t="shared" si="175"/>
        <v>91.666666666666671</v>
      </c>
      <c r="CD154" s="79">
        <f t="shared" si="175"/>
        <v>100</v>
      </c>
      <c r="CE154" s="79">
        <f t="shared" si="129"/>
        <v>100</v>
      </c>
      <c r="CF154" s="79">
        <f t="shared" si="129"/>
        <v>100</v>
      </c>
      <c r="CG154" s="264">
        <f t="shared" si="129"/>
        <v>100</v>
      </c>
    </row>
    <row r="155" spans="2:85" x14ac:dyDescent="0.3">
      <c r="B155" s="409"/>
      <c r="C155" s="412"/>
      <c r="D155" s="70" t="s">
        <v>803</v>
      </c>
      <c r="E155" s="65">
        <v>12</v>
      </c>
      <c r="F155" s="65">
        <v>13</v>
      </c>
      <c r="G155" s="66">
        <v>12</v>
      </c>
      <c r="H155" s="65">
        <f t="shared" si="166"/>
        <v>37</v>
      </c>
      <c r="I155" s="67">
        <v>10</v>
      </c>
      <c r="J155" s="67">
        <v>8</v>
      </c>
      <c r="K155" s="66">
        <v>9</v>
      </c>
      <c r="L155" s="67">
        <v>7</v>
      </c>
      <c r="M155" s="67">
        <v>5</v>
      </c>
      <c r="N155" s="66">
        <v>6</v>
      </c>
      <c r="O155" s="67">
        <v>5</v>
      </c>
      <c r="P155" s="67">
        <v>2</v>
      </c>
      <c r="Q155" s="66">
        <v>4</v>
      </c>
      <c r="R155" s="67">
        <v>2</v>
      </c>
      <c r="S155" s="67">
        <v>0</v>
      </c>
      <c r="T155" s="66">
        <v>1</v>
      </c>
      <c r="U155" s="67">
        <v>0</v>
      </c>
      <c r="V155" s="67">
        <v>0</v>
      </c>
      <c r="W155" s="66">
        <v>0</v>
      </c>
      <c r="X155" s="67">
        <v>0</v>
      </c>
      <c r="Y155" s="67">
        <v>0</v>
      </c>
      <c r="Z155" s="66">
        <v>0</v>
      </c>
      <c r="AA155" s="67">
        <v>0</v>
      </c>
      <c r="AB155" s="67">
        <v>0</v>
      </c>
      <c r="AC155" s="66">
        <v>0</v>
      </c>
      <c r="AD155" s="65">
        <f t="shared" si="130"/>
        <v>100</v>
      </c>
      <c r="AE155" s="65">
        <f t="shared" si="131"/>
        <v>100</v>
      </c>
      <c r="AF155" s="66">
        <f t="shared" si="132"/>
        <v>100</v>
      </c>
      <c r="AG155" s="65">
        <f t="shared" si="133"/>
        <v>83.333333333333343</v>
      </c>
      <c r="AH155" s="65">
        <f t="shared" si="134"/>
        <v>61.53846153846154</v>
      </c>
      <c r="AI155" s="66">
        <f t="shared" si="135"/>
        <v>75</v>
      </c>
      <c r="AJ155" s="65">
        <f t="shared" si="136"/>
        <v>58.333333333333336</v>
      </c>
      <c r="AK155" s="65">
        <f t="shared" si="137"/>
        <v>38.46153846153846</v>
      </c>
      <c r="AL155" s="66">
        <f t="shared" si="138"/>
        <v>50</v>
      </c>
      <c r="AM155" s="65">
        <f t="shared" si="139"/>
        <v>41.666666666666671</v>
      </c>
      <c r="AN155" s="65">
        <f t="shared" si="140"/>
        <v>15.384615384615385</v>
      </c>
      <c r="AO155" s="66">
        <f t="shared" si="141"/>
        <v>33.333333333333336</v>
      </c>
      <c r="AP155" s="65">
        <f t="shared" si="142"/>
        <v>16.666666666666668</v>
      </c>
      <c r="AQ155" s="65">
        <f t="shared" si="143"/>
        <v>0</v>
      </c>
      <c r="AR155" s="66">
        <f t="shared" si="144"/>
        <v>8.3333333333333339</v>
      </c>
      <c r="AS155" s="65">
        <f t="shared" si="145"/>
        <v>0</v>
      </c>
      <c r="AT155" s="65">
        <f t="shared" si="146"/>
        <v>0</v>
      </c>
      <c r="AU155" s="66">
        <f t="shared" si="147"/>
        <v>0</v>
      </c>
      <c r="AV155" s="65">
        <f t="shared" si="148"/>
        <v>0</v>
      </c>
      <c r="AW155" s="65">
        <f t="shared" si="149"/>
        <v>0</v>
      </c>
      <c r="AX155" s="66">
        <f t="shared" si="150"/>
        <v>0</v>
      </c>
      <c r="AY155" s="65">
        <f t="shared" si="151"/>
        <v>0</v>
      </c>
      <c r="AZ155" s="65">
        <f t="shared" si="152"/>
        <v>0</v>
      </c>
      <c r="BA155" s="66">
        <f t="shared" si="153"/>
        <v>0</v>
      </c>
      <c r="BB155" s="68">
        <f t="shared" si="154"/>
        <v>0</v>
      </c>
      <c r="BC155" s="65">
        <f t="shared" si="155"/>
        <v>10.997529258510912</v>
      </c>
      <c r="BD155" s="65">
        <f t="shared" si="156"/>
        <v>9.9788841272099216</v>
      </c>
      <c r="BE155" s="65">
        <f t="shared" si="157"/>
        <v>13.430978743433958</v>
      </c>
      <c r="BF155" s="65">
        <f t="shared" si="158"/>
        <v>8.3333333333333357</v>
      </c>
      <c r="BG155" s="65">
        <f t="shared" si="159"/>
        <v>0</v>
      </c>
      <c r="BH155" s="65">
        <f t="shared" si="160"/>
        <v>0</v>
      </c>
      <c r="BI155" s="65">
        <f t="shared" si="161"/>
        <v>0</v>
      </c>
      <c r="BJ155" s="68">
        <f t="shared" si="167"/>
        <v>0</v>
      </c>
      <c r="BK155" s="65">
        <f t="shared" si="168"/>
        <v>1.8079826729602309</v>
      </c>
      <c r="BL155" s="65">
        <f t="shared" si="169"/>
        <v>1.6405184449508154</v>
      </c>
      <c r="BM155" s="65">
        <f t="shared" si="170"/>
        <v>2.208039303940323</v>
      </c>
      <c r="BN155" s="65">
        <f t="shared" si="171"/>
        <v>1.3699915608779778</v>
      </c>
      <c r="BO155" s="65">
        <f t="shared" si="172"/>
        <v>0</v>
      </c>
      <c r="BP155" s="65">
        <f t="shared" si="173"/>
        <v>0</v>
      </c>
      <c r="BQ155" s="90">
        <f t="shared" si="174"/>
        <v>0</v>
      </c>
      <c r="BR155" s="69">
        <f t="shared" si="162"/>
        <v>100</v>
      </c>
      <c r="BS155" s="67">
        <f t="shared" si="163"/>
        <v>73.290598290598297</v>
      </c>
      <c r="BT155" s="67">
        <f t="shared" si="164"/>
        <v>48.931623931623932</v>
      </c>
      <c r="BU155" s="67">
        <f t="shared" si="165"/>
        <v>30.128205128205128</v>
      </c>
      <c r="BV155" s="67">
        <f t="shared" si="176"/>
        <v>8.3333333333333339</v>
      </c>
      <c r="BW155" s="67">
        <f t="shared" si="177"/>
        <v>0</v>
      </c>
      <c r="BX155" s="67">
        <f t="shared" si="178"/>
        <v>0</v>
      </c>
      <c r="BY155" s="67">
        <f t="shared" si="179"/>
        <v>0</v>
      </c>
      <c r="BZ155" s="69">
        <f t="shared" si="175"/>
        <v>0</v>
      </c>
      <c r="CA155" s="67">
        <f t="shared" si="175"/>
        <v>26.709401709401703</v>
      </c>
      <c r="CB155" s="67">
        <f t="shared" si="175"/>
        <v>51.068376068376068</v>
      </c>
      <c r="CC155" s="67">
        <f t="shared" si="175"/>
        <v>69.871794871794876</v>
      </c>
      <c r="CD155" s="67">
        <f t="shared" si="175"/>
        <v>91.666666666666671</v>
      </c>
      <c r="CE155" s="67">
        <f t="shared" si="129"/>
        <v>100</v>
      </c>
      <c r="CF155" s="67">
        <f t="shared" si="129"/>
        <v>100</v>
      </c>
      <c r="CG155" s="116">
        <f t="shared" si="129"/>
        <v>100</v>
      </c>
    </row>
    <row r="156" spans="2:85" x14ac:dyDescent="0.3">
      <c r="B156" s="409"/>
      <c r="C156" s="412"/>
      <c r="D156" s="70" t="s">
        <v>804</v>
      </c>
      <c r="E156" s="65">
        <v>14</v>
      </c>
      <c r="F156" s="65">
        <v>12</v>
      </c>
      <c r="G156" s="66">
        <v>13</v>
      </c>
      <c r="H156" s="65">
        <f t="shared" si="166"/>
        <v>39</v>
      </c>
      <c r="I156" s="67">
        <v>12</v>
      </c>
      <c r="J156" s="67">
        <v>10</v>
      </c>
      <c r="K156" s="66">
        <v>11</v>
      </c>
      <c r="L156" s="67">
        <v>9</v>
      </c>
      <c r="M156" s="67">
        <v>9</v>
      </c>
      <c r="N156" s="66">
        <v>8</v>
      </c>
      <c r="O156" s="67">
        <v>7</v>
      </c>
      <c r="P156" s="67">
        <v>9</v>
      </c>
      <c r="Q156" s="66">
        <v>8</v>
      </c>
      <c r="R156" s="67">
        <v>5</v>
      </c>
      <c r="S156" s="67">
        <v>7</v>
      </c>
      <c r="T156" s="66">
        <v>7</v>
      </c>
      <c r="U156" s="67">
        <v>3</v>
      </c>
      <c r="V156" s="67">
        <v>5</v>
      </c>
      <c r="W156" s="66">
        <v>4</v>
      </c>
      <c r="X156" s="67">
        <v>1</v>
      </c>
      <c r="Y156" s="67">
        <v>5</v>
      </c>
      <c r="Z156" s="66">
        <v>4</v>
      </c>
      <c r="AA156" s="67">
        <v>0</v>
      </c>
      <c r="AB156" s="67">
        <v>2</v>
      </c>
      <c r="AC156" s="66">
        <v>1</v>
      </c>
      <c r="AD156" s="65">
        <f t="shared" si="130"/>
        <v>100</v>
      </c>
      <c r="AE156" s="65">
        <f t="shared" si="131"/>
        <v>100</v>
      </c>
      <c r="AF156" s="66">
        <f t="shared" si="132"/>
        <v>100</v>
      </c>
      <c r="AG156" s="65">
        <f t="shared" si="133"/>
        <v>85.714285714285722</v>
      </c>
      <c r="AH156" s="65">
        <f t="shared" si="134"/>
        <v>83.333333333333343</v>
      </c>
      <c r="AI156" s="66">
        <f t="shared" si="135"/>
        <v>84.615384615384613</v>
      </c>
      <c r="AJ156" s="65">
        <f t="shared" si="136"/>
        <v>64.285714285714292</v>
      </c>
      <c r="AK156" s="65">
        <f t="shared" si="137"/>
        <v>75</v>
      </c>
      <c r="AL156" s="66">
        <f t="shared" si="138"/>
        <v>61.53846153846154</v>
      </c>
      <c r="AM156" s="65">
        <f t="shared" si="139"/>
        <v>50</v>
      </c>
      <c r="AN156" s="65">
        <f t="shared" si="140"/>
        <v>75</v>
      </c>
      <c r="AO156" s="66">
        <f t="shared" si="141"/>
        <v>61.53846153846154</v>
      </c>
      <c r="AP156" s="65">
        <f t="shared" si="142"/>
        <v>35.714285714285715</v>
      </c>
      <c r="AQ156" s="65">
        <f t="shared" si="143"/>
        <v>58.333333333333336</v>
      </c>
      <c r="AR156" s="66">
        <f t="shared" si="144"/>
        <v>53.846153846153847</v>
      </c>
      <c r="AS156" s="65">
        <f t="shared" si="145"/>
        <v>21.428571428571431</v>
      </c>
      <c r="AT156" s="65">
        <f t="shared" si="146"/>
        <v>41.666666666666671</v>
      </c>
      <c r="AU156" s="66">
        <f t="shared" si="147"/>
        <v>30.76923076923077</v>
      </c>
      <c r="AV156" s="65">
        <f t="shared" si="148"/>
        <v>7.1428571428571432</v>
      </c>
      <c r="AW156" s="65">
        <f t="shared" si="149"/>
        <v>41.666666666666671</v>
      </c>
      <c r="AX156" s="66">
        <f t="shared" si="150"/>
        <v>30.76923076923077</v>
      </c>
      <c r="AY156" s="65">
        <f t="shared" si="151"/>
        <v>0</v>
      </c>
      <c r="AZ156" s="65">
        <f t="shared" si="152"/>
        <v>16.666666666666668</v>
      </c>
      <c r="BA156" s="66">
        <f t="shared" si="153"/>
        <v>7.6923076923076925</v>
      </c>
      <c r="BB156" s="68">
        <f t="shared" si="154"/>
        <v>0</v>
      </c>
      <c r="BC156" s="65">
        <f t="shared" si="155"/>
        <v>1.1916496517669792</v>
      </c>
      <c r="BD156" s="65">
        <f t="shared" si="156"/>
        <v>7.1128561278869533</v>
      </c>
      <c r="BE156" s="65">
        <f t="shared" si="157"/>
        <v>12.512321343553298</v>
      </c>
      <c r="BF156" s="65">
        <f t="shared" si="158"/>
        <v>11.975814077369698</v>
      </c>
      <c r="BG156" s="65">
        <f t="shared" si="159"/>
        <v>10.129022040019317</v>
      </c>
      <c r="BH156" s="65">
        <f t="shared" si="160"/>
        <v>17.648668806777888</v>
      </c>
      <c r="BI156" s="65">
        <f t="shared" si="161"/>
        <v>8.3415475623688611</v>
      </c>
      <c r="BJ156" s="68">
        <f t="shared" si="167"/>
        <v>0</v>
      </c>
      <c r="BK156" s="65">
        <f t="shared" si="168"/>
        <v>0.19081665871992137</v>
      </c>
      <c r="BL156" s="65">
        <f t="shared" si="169"/>
        <v>1.1389685200397386</v>
      </c>
      <c r="BM156" s="65">
        <f t="shared" si="170"/>
        <v>2.003574916559177</v>
      </c>
      <c r="BN156" s="65">
        <f t="shared" si="171"/>
        <v>1.9176649985221825</v>
      </c>
      <c r="BO156" s="65">
        <f t="shared" si="172"/>
        <v>1.6219415991193307</v>
      </c>
      <c r="BP156" s="65">
        <f t="shared" si="173"/>
        <v>2.8260487531467731</v>
      </c>
      <c r="BQ156" s="90">
        <f t="shared" si="174"/>
        <v>1.3357166110394507</v>
      </c>
      <c r="BR156" s="69">
        <f t="shared" si="162"/>
        <v>100</v>
      </c>
      <c r="BS156" s="67">
        <f t="shared" si="163"/>
        <v>84.554334554334559</v>
      </c>
      <c r="BT156" s="67">
        <f t="shared" si="164"/>
        <v>66.941391941391942</v>
      </c>
      <c r="BU156" s="67">
        <f t="shared" si="165"/>
        <v>62.179487179487182</v>
      </c>
      <c r="BV156" s="67">
        <f t="shared" si="176"/>
        <v>49.297924297924304</v>
      </c>
      <c r="BW156" s="67">
        <f t="shared" si="177"/>
        <v>31.288156288156291</v>
      </c>
      <c r="BX156" s="67">
        <f t="shared" si="178"/>
        <v>26.526251526251528</v>
      </c>
      <c r="BY156" s="67">
        <f t="shared" si="179"/>
        <v>26.526251526251528</v>
      </c>
      <c r="BZ156" s="69">
        <f t="shared" si="175"/>
        <v>0</v>
      </c>
      <c r="CA156" s="67">
        <f t="shared" si="175"/>
        <v>15.445665445665441</v>
      </c>
      <c r="CB156" s="67">
        <f t="shared" si="175"/>
        <v>33.058608058608058</v>
      </c>
      <c r="CC156" s="67">
        <f t="shared" si="175"/>
        <v>37.820512820512818</v>
      </c>
      <c r="CD156" s="67">
        <f t="shared" si="175"/>
        <v>50.702075702075696</v>
      </c>
      <c r="CE156" s="67">
        <f t="shared" si="129"/>
        <v>68.711843711843713</v>
      </c>
      <c r="CF156" s="67">
        <f t="shared" si="129"/>
        <v>73.473748473748472</v>
      </c>
      <c r="CG156" s="116">
        <f t="shared" si="129"/>
        <v>73.473748473748472</v>
      </c>
    </row>
    <row r="157" spans="2:85" x14ac:dyDescent="0.3">
      <c r="B157" s="410"/>
      <c r="C157" s="413"/>
      <c r="D157" s="70" t="s">
        <v>805</v>
      </c>
      <c r="E157" s="71">
        <v>14</v>
      </c>
      <c r="F157" s="71">
        <v>15</v>
      </c>
      <c r="G157" s="72">
        <v>12</v>
      </c>
      <c r="H157" s="71">
        <f t="shared" si="166"/>
        <v>41</v>
      </c>
      <c r="I157" s="73">
        <v>13</v>
      </c>
      <c r="J157" s="73">
        <v>12</v>
      </c>
      <c r="K157" s="72">
        <v>11</v>
      </c>
      <c r="L157" s="73">
        <v>12</v>
      </c>
      <c r="M157" s="73">
        <v>10</v>
      </c>
      <c r="N157" s="72">
        <v>9</v>
      </c>
      <c r="O157" s="73">
        <v>10</v>
      </c>
      <c r="P157" s="73">
        <v>8</v>
      </c>
      <c r="Q157" s="72">
        <v>9</v>
      </c>
      <c r="R157" s="73">
        <v>10</v>
      </c>
      <c r="S157" s="73">
        <v>7</v>
      </c>
      <c r="T157" s="72">
        <v>9</v>
      </c>
      <c r="U157" s="73">
        <v>10</v>
      </c>
      <c r="V157" s="73">
        <v>7</v>
      </c>
      <c r="W157" s="72">
        <v>9</v>
      </c>
      <c r="X157" s="73">
        <v>10</v>
      </c>
      <c r="Y157" s="73">
        <v>6</v>
      </c>
      <c r="Z157" s="72">
        <v>8</v>
      </c>
      <c r="AA157" s="73">
        <v>8</v>
      </c>
      <c r="AB157" s="73">
        <v>6</v>
      </c>
      <c r="AC157" s="72">
        <v>7</v>
      </c>
      <c r="AD157" s="71">
        <f t="shared" si="130"/>
        <v>100</v>
      </c>
      <c r="AE157" s="71">
        <f t="shared" si="131"/>
        <v>100</v>
      </c>
      <c r="AF157" s="72">
        <f t="shared" si="132"/>
        <v>100</v>
      </c>
      <c r="AG157" s="71">
        <f t="shared" si="133"/>
        <v>92.857142857142861</v>
      </c>
      <c r="AH157" s="71">
        <f t="shared" si="134"/>
        <v>80</v>
      </c>
      <c r="AI157" s="72">
        <f t="shared" si="135"/>
        <v>91.666666666666671</v>
      </c>
      <c r="AJ157" s="71">
        <f t="shared" si="136"/>
        <v>85.714285714285722</v>
      </c>
      <c r="AK157" s="71">
        <f t="shared" si="137"/>
        <v>66.666666666666671</v>
      </c>
      <c r="AL157" s="72">
        <f t="shared" si="138"/>
        <v>75</v>
      </c>
      <c r="AM157" s="71">
        <f t="shared" si="139"/>
        <v>71.428571428571431</v>
      </c>
      <c r="AN157" s="71">
        <f t="shared" si="140"/>
        <v>53.333333333333336</v>
      </c>
      <c r="AO157" s="72">
        <f t="shared" si="141"/>
        <v>75</v>
      </c>
      <c r="AP157" s="71">
        <f t="shared" si="142"/>
        <v>71.428571428571431</v>
      </c>
      <c r="AQ157" s="71">
        <f t="shared" si="143"/>
        <v>46.666666666666671</v>
      </c>
      <c r="AR157" s="72">
        <f t="shared" si="144"/>
        <v>75</v>
      </c>
      <c r="AS157" s="71">
        <f t="shared" si="145"/>
        <v>71.428571428571431</v>
      </c>
      <c r="AT157" s="71">
        <f t="shared" si="146"/>
        <v>46.666666666666671</v>
      </c>
      <c r="AU157" s="72">
        <f t="shared" si="147"/>
        <v>75</v>
      </c>
      <c r="AV157" s="71">
        <f t="shared" si="148"/>
        <v>71.428571428571431</v>
      </c>
      <c r="AW157" s="71">
        <f t="shared" si="149"/>
        <v>40</v>
      </c>
      <c r="AX157" s="72">
        <f t="shared" si="150"/>
        <v>66.666666666666671</v>
      </c>
      <c r="AY157" s="71">
        <f t="shared" si="151"/>
        <v>57.142857142857146</v>
      </c>
      <c r="AZ157" s="71">
        <f t="shared" si="152"/>
        <v>40</v>
      </c>
      <c r="BA157" s="72">
        <f t="shared" si="153"/>
        <v>58.333333333333336</v>
      </c>
      <c r="BB157" s="74">
        <f t="shared" si="154"/>
        <v>0</v>
      </c>
      <c r="BC157" s="71">
        <f t="shared" si="155"/>
        <v>7.1043937944554383</v>
      </c>
      <c r="BD157" s="71">
        <f t="shared" si="156"/>
        <v>9.5485789012030811</v>
      </c>
      <c r="BE157" s="71">
        <f t="shared" si="157"/>
        <v>11.616347591566996</v>
      </c>
      <c r="BF157" s="71">
        <f t="shared" si="158"/>
        <v>15.430947298941337</v>
      </c>
      <c r="BG157" s="71">
        <f t="shared" si="159"/>
        <v>15.430947298941337</v>
      </c>
      <c r="BH157" s="71">
        <f t="shared" si="160"/>
        <v>16.938821043751236</v>
      </c>
      <c r="BI157" s="71">
        <f t="shared" si="161"/>
        <v>10.258377841969015</v>
      </c>
      <c r="BJ157" s="74">
        <f t="shared" si="167"/>
        <v>0</v>
      </c>
      <c r="BK157" s="71">
        <f t="shared" si="168"/>
        <v>1.1095199048181741</v>
      </c>
      <c r="BL157" s="71">
        <f t="shared" si="169"/>
        <v>1.4912374876910577</v>
      </c>
      <c r="BM157" s="71">
        <f t="shared" si="170"/>
        <v>1.8141687027806666</v>
      </c>
      <c r="BN157" s="71">
        <f t="shared" si="171"/>
        <v>2.4099090891804935</v>
      </c>
      <c r="BO157" s="71">
        <f t="shared" si="172"/>
        <v>2.4099090891804935</v>
      </c>
      <c r="BP157" s="71">
        <f t="shared" si="173"/>
        <v>2.6453994043605151</v>
      </c>
      <c r="BQ157" s="91">
        <f t="shared" si="174"/>
        <v>1.6020894584550216</v>
      </c>
      <c r="BR157" s="75">
        <f t="shared" si="162"/>
        <v>100</v>
      </c>
      <c r="BS157" s="73">
        <f t="shared" si="163"/>
        <v>88.174603174603178</v>
      </c>
      <c r="BT157" s="73">
        <f t="shared" si="164"/>
        <v>75.793650793650798</v>
      </c>
      <c r="BU157" s="73">
        <f t="shared" si="165"/>
        <v>66.587301587301582</v>
      </c>
      <c r="BV157" s="73">
        <f t="shared" si="176"/>
        <v>64.365079365079367</v>
      </c>
      <c r="BW157" s="73">
        <f t="shared" si="177"/>
        <v>64.365079365079367</v>
      </c>
      <c r="BX157" s="73">
        <f t="shared" si="178"/>
        <v>64.365079365079367</v>
      </c>
      <c r="BY157" s="73">
        <f t="shared" si="179"/>
        <v>62.142857142857146</v>
      </c>
      <c r="BZ157" s="75">
        <f t="shared" si="175"/>
        <v>0</v>
      </c>
      <c r="CA157" s="73">
        <f t="shared" si="175"/>
        <v>11.825396825396822</v>
      </c>
      <c r="CB157" s="73">
        <f t="shared" si="175"/>
        <v>24.206349206349202</v>
      </c>
      <c r="CC157" s="73">
        <f t="shared" si="175"/>
        <v>33.412698412698418</v>
      </c>
      <c r="CD157" s="73">
        <f t="shared" si="175"/>
        <v>35.634920634920633</v>
      </c>
      <c r="CE157" s="73">
        <f t="shared" si="129"/>
        <v>35.634920634920633</v>
      </c>
      <c r="CF157" s="73">
        <f t="shared" si="129"/>
        <v>35.634920634920633</v>
      </c>
      <c r="CG157" s="265">
        <f t="shared" si="129"/>
        <v>37.857142857142854</v>
      </c>
    </row>
    <row r="158" spans="2:85" ht="15" customHeight="1" x14ac:dyDescent="0.3">
      <c r="B158" s="408">
        <v>39</v>
      </c>
      <c r="C158" s="411" t="s">
        <v>510</v>
      </c>
      <c r="D158" s="76" t="s">
        <v>802</v>
      </c>
      <c r="E158" s="77">
        <v>14</v>
      </c>
      <c r="F158" s="77">
        <v>13</v>
      </c>
      <c r="G158" s="78">
        <v>12</v>
      </c>
      <c r="H158" s="77">
        <f t="shared" si="166"/>
        <v>39</v>
      </c>
      <c r="I158" s="79">
        <v>14</v>
      </c>
      <c r="J158" s="79">
        <v>12</v>
      </c>
      <c r="K158" s="78">
        <v>10</v>
      </c>
      <c r="L158" s="79">
        <v>2</v>
      </c>
      <c r="M158" s="79">
        <v>6</v>
      </c>
      <c r="N158" s="78">
        <v>7</v>
      </c>
      <c r="O158" s="79">
        <v>1</v>
      </c>
      <c r="P158" s="79">
        <v>0</v>
      </c>
      <c r="Q158" s="78">
        <v>0</v>
      </c>
      <c r="R158" s="79">
        <v>0</v>
      </c>
      <c r="S158" s="79">
        <v>0</v>
      </c>
      <c r="T158" s="78">
        <v>0</v>
      </c>
      <c r="U158" s="79">
        <v>0</v>
      </c>
      <c r="V158" s="79">
        <v>0</v>
      </c>
      <c r="W158" s="78">
        <v>0</v>
      </c>
      <c r="X158" s="79">
        <v>0</v>
      </c>
      <c r="Y158" s="79">
        <v>0</v>
      </c>
      <c r="Z158" s="78">
        <v>0</v>
      </c>
      <c r="AA158" s="79">
        <v>0</v>
      </c>
      <c r="AB158" s="79">
        <v>0</v>
      </c>
      <c r="AC158" s="78">
        <v>0</v>
      </c>
      <c r="AD158" s="77">
        <f t="shared" si="130"/>
        <v>100</v>
      </c>
      <c r="AE158" s="77">
        <f t="shared" si="131"/>
        <v>100</v>
      </c>
      <c r="AF158" s="78">
        <f t="shared" si="132"/>
        <v>100</v>
      </c>
      <c r="AG158" s="77">
        <f t="shared" si="133"/>
        <v>100</v>
      </c>
      <c r="AH158" s="77">
        <f t="shared" si="134"/>
        <v>92.307692307692307</v>
      </c>
      <c r="AI158" s="78">
        <f t="shared" si="135"/>
        <v>83.333333333333343</v>
      </c>
      <c r="AJ158" s="77">
        <f t="shared" si="136"/>
        <v>14.285714285714286</v>
      </c>
      <c r="AK158" s="77">
        <f t="shared" si="137"/>
        <v>46.153846153846153</v>
      </c>
      <c r="AL158" s="78">
        <f t="shared" si="138"/>
        <v>58.333333333333336</v>
      </c>
      <c r="AM158" s="77">
        <f t="shared" si="139"/>
        <v>7.1428571428571432</v>
      </c>
      <c r="AN158" s="77">
        <f t="shared" si="140"/>
        <v>0</v>
      </c>
      <c r="AO158" s="78">
        <f t="shared" si="141"/>
        <v>0</v>
      </c>
      <c r="AP158" s="77">
        <f t="shared" si="142"/>
        <v>0</v>
      </c>
      <c r="AQ158" s="77">
        <f t="shared" si="143"/>
        <v>0</v>
      </c>
      <c r="AR158" s="78">
        <f t="shared" si="144"/>
        <v>0</v>
      </c>
      <c r="AS158" s="77">
        <f t="shared" si="145"/>
        <v>0</v>
      </c>
      <c r="AT158" s="77">
        <f t="shared" si="146"/>
        <v>0</v>
      </c>
      <c r="AU158" s="78">
        <f t="shared" si="147"/>
        <v>0</v>
      </c>
      <c r="AV158" s="77">
        <f t="shared" si="148"/>
        <v>0</v>
      </c>
      <c r="AW158" s="77">
        <f t="shared" si="149"/>
        <v>0</v>
      </c>
      <c r="AX158" s="78">
        <f t="shared" si="150"/>
        <v>0</v>
      </c>
      <c r="AY158" s="77">
        <f t="shared" si="151"/>
        <v>0</v>
      </c>
      <c r="AZ158" s="77">
        <f t="shared" si="152"/>
        <v>0</v>
      </c>
      <c r="BA158" s="78">
        <f t="shared" si="153"/>
        <v>0</v>
      </c>
      <c r="BB158" s="80">
        <f t="shared" si="154"/>
        <v>0</v>
      </c>
      <c r="BC158" s="77">
        <f t="shared" si="155"/>
        <v>8.3415475623688558</v>
      </c>
      <c r="BD158" s="77">
        <f t="shared" si="156"/>
        <v>22.745367588749819</v>
      </c>
      <c r="BE158" s="77">
        <f t="shared" si="157"/>
        <v>4.1239304942116126</v>
      </c>
      <c r="BF158" s="77">
        <f t="shared" si="158"/>
        <v>0</v>
      </c>
      <c r="BG158" s="77">
        <f t="shared" si="159"/>
        <v>0</v>
      </c>
      <c r="BH158" s="77">
        <f t="shared" si="160"/>
        <v>0</v>
      </c>
      <c r="BI158" s="77">
        <f t="shared" si="161"/>
        <v>0</v>
      </c>
      <c r="BJ158" s="80">
        <f t="shared" si="167"/>
        <v>0</v>
      </c>
      <c r="BK158" s="77">
        <f t="shared" si="168"/>
        <v>1.3357166110394498</v>
      </c>
      <c r="BL158" s="77">
        <f t="shared" si="169"/>
        <v>3.6421737196045747</v>
      </c>
      <c r="BM158" s="77">
        <f t="shared" si="170"/>
        <v>0.66035737645860604</v>
      </c>
      <c r="BN158" s="77">
        <f t="shared" si="171"/>
        <v>0</v>
      </c>
      <c r="BO158" s="77">
        <f t="shared" si="172"/>
        <v>0</v>
      </c>
      <c r="BP158" s="77">
        <f t="shared" si="173"/>
        <v>0</v>
      </c>
      <c r="BQ158" s="92">
        <f t="shared" si="174"/>
        <v>0</v>
      </c>
      <c r="BR158" s="81">
        <f t="shared" si="162"/>
        <v>100</v>
      </c>
      <c r="BS158" s="79">
        <f t="shared" si="163"/>
        <v>91.880341880341874</v>
      </c>
      <c r="BT158" s="79">
        <f t="shared" si="164"/>
        <v>39.590964590964596</v>
      </c>
      <c r="BU158" s="79">
        <f t="shared" si="165"/>
        <v>2.3809523809523809</v>
      </c>
      <c r="BV158" s="79">
        <f t="shared" si="176"/>
        <v>0</v>
      </c>
      <c r="BW158" s="79">
        <f t="shared" si="177"/>
        <v>0</v>
      </c>
      <c r="BX158" s="79">
        <f t="shared" si="178"/>
        <v>0</v>
      </c>
      <c r="BY158" s="79">
        <f t="shared" si="179"/>
        <v>0</v>
      </c>
      <c r="BZ158" s="81">
        <f t="shared" si="175"/>
        <v>0</v>
      </c>
      <c r="CA158" s="79">
        <f t="shared" si="175"/>
        <v>8.1196581196581263</v>
      </c>
      <c r="CB158" s="79">
        <f t="shared" si="175"/>
        <v>60.409035409035404</v>
      </c>
      <c r="CC158" s="79">
        <f t="shared" si="175"/>
        <v>97.61904761904762</v>
      </c>
      <c r="CD158" s="79">
        <f t="shared" si="175"/>
        <v>100</v>
      </c>
      <c r="CE158" s="79">
        <f t="shared" si="129"/>
        <v>100</v>
      </c>
      <c r="CF158" s="79">
        <f t="shared" si="129"/>
        <v>100</v>
      </c>
      <c r="CG158" s="264">
        <f t="shared" si="129"/>
        <v>100</v>
      </c>
    </row>
    <row r="159" spans="2:85" x14ac:dyDescent="0.3">
      <c r="B159" s="409"/>
      <c r="C159" s="412"/>
      <c r="D159" s="70" t="s">
        <v>803</v>
      </c>
      <c r="E159" s="65">
        <v>15</v>
      </c>
      <c r="F159" s="65">
        <v>15</v>
      </c>
      <c r="G159" s="66">
        <v>14</v>
      </c>
      <c r="H159" s="65">
        <f t="shared" si="166"/>
        <v>44</v>
      </c>
      <c r="I159" s="67">
        <v>12</v>
      </c>
      <c r="J159" s="67">
        <v>12</v>
      </c>
      <c r="K159" s="66">
        <v>11</v>
      </c>
      <c r="L159" s="67">
        <v>10</v>
      </c>
      <c r="M159" s="67">
        <v>10</v>
      </c>
      <c r="N159" s="66">
        <v>9</v>
      </c>
      <c r="O159" s="67">
        <v>5</v>
      </c>
      <c r="P159" s="67">
        <v>5</v>
      </c>
      <c r="Q159" s="66">
        <v>6</v>
      </c>
      <c r="R159" s="67">
        <v>3</v>
      </c>
      <c r="S159" s="67">
        <v>0</v>
      </c>
      <c r="T159" s="66">
        <v>0</v>
      </c>
      <c r="U159" s="67">
        <v>2</v>
      </c>
      <c r="V159" s="67">
        <v>0</v>
      </c>
      <c r="W159" s="66">
        <v>0</v>
      </c>
      <c r="X159" s="67">
        <v>2</v>
      </c>
      <c r="Y159" s="67">
        <v>0</v>
      </c>
      <c r="Z159" s="66">
        <v>0</v>
      </c>
      <c r="AA159" s="67">
        <v>0</v>
      </c>
      <c r="AB159" s="67">
        <v>0</v>
      </c>
      <c r="AC159" s="66">
        <v>0</v>
      </c>
      <c r="AD159" s="65">
        <f t="shared" si="130"/>
        <v>100</v>
      </c>
      <c r="AE159" s="65">
        <f t="shared" si="131"/>
        <v>100</v>
      </c>
      <c r="AF159" s="66">
        <f t="shared" si="132"/>
        <v>100</v>
      </c>
      <c r="AG159" s="65">
        <f t="shared" si="133"/>
        <v>80</v>
      </c>
      <c r="AH159" s="65">
        <f t="shared" si="134"/>
        <v>80</v>
      </c>
      <c r="AI159" s="66">
        <f t="shared" si="135"/>
        <v>78.571428571428569</v>
      </c>
      <c r="AJ159" s="65">
        <f t="shared" si="136"/>
        <v>66.666666666666671</v>
      </c>
      <c r="AK159" s="65">
        <f t="shared" si="137"/>
        <v>66.666666666666671</v>
      </c>
      <c r="AL159" s="66">
        <f t="shared" si="138"/>
        <v>64.285714285714292</v>
      </c>
      <c r="AM159" s="65">
        <f t="shared" si="139"/>
        <v>33.333333333333336</v>
      </c>
      <c r="AN159" s="65">
        <f t="shared" si="140"/>
        <v>33.333333333333336</v>
      </c>
      <c r="AO159" s="66">
        <f t="shared" si="141"/>
        <v>42.857142857142861</v>
      </c>
      <c r="AP159" s="65">
        <f t="shared" si="142"/>
        <v>20</v>
      </c>
      <c r="AQ159" s="65">
        <f t="shared" si="143"/>
        <v>0</v>
      </c>
      <c r="AR159" s="66">
        <f t="shared" si="144"/>
        <v>0</v>
      </c>
      <c r="AS159" s="65">
        <f t="shared" si="145"/>
        <v>13.333333333333334</v>
      </c>
      <c r="AT159" s="65">
        <f t="shared" si="146"/>
        <v>0</v>
      </c>
      <c r="AU159" s="66">
        <f t="shared" si="147"/>
        <v>0</v>
      </c>
      <c r="AV159" s="65">
        <f t="shared" si="148"/>
        <v>13.333333333333334</v>
      </c>
      <c r="AW159" s="65">
        <f t="shared" si="149"/>
        <v>0</v>
      </c>
      <c r="AX159" s="66">
        <f t="shared" si="150"/>
        <v>0</v>
      </c>
      <c r="AY159" s="65">
        <f t="shared" si="151"/>
        <v>0</v>
      </c>
      <c r="AZ159" s="65">
        <f t="shared" si="152"/>
        <v>0</v>
      </c>
      <c r="BA159" s="66">
        <f t="shared" si="153"/>
        <v>0</v>
      </c>
      <c r="BB159" s="68">
        <f t="shared" si="154"/>
        <v>0</v>
      </c>
      <c r="BC159" s="65">
        <f t="shared" si="155"/>
        <v>0.82478609884232368</v>
      </c>
      <c r="BD159" s="65">
        <f t="shared" si="156"/>
        <v>1.3746434980705367</v>
      </c>
      <c r="BE159" s="65">
        <f t="shared" si="157"/>
        <v>5.498573992282159</v>
      </c>
      <c r="BF159" s="65">
        <f t="shared" si="158"/>
        <v>11.547005383792515</v>
      </c>
      <c r="BG159" s="65">
        <f t="shared" si="159"/>
        <v>7.6980035891950109</v>
      </c>
      <c r="BH159" s="65">
        <f t="shared" si="160"/>
        <v>7.6980035891950109</v>
      </c>
      <c r="BI159" s="65">
        <f t="shared" si="161"/>
        <v>0</v>
      </c>
      <c r="BJ159" s="68">
        <f t="shared" si="167"/>
        <v>0</v>
      </c>
      <c r="BK159" s="65">
        <f t="shared" si="168"/>
        <v>0.12434118282549864</v>
      </c>
      <c r="BL159" s="65">
        <f t="shared" si="169"/>
        <v>0.20723530470916396</v>
      </c>
      <c r="BM159" s="65">
        <f t="shared" si="170"/>
        <v>0.82894121883665772</v>
      </c>
      <c r="BN159" s="65">
        <f t="shared" si="171"/>
        <v>1.7407765595569784</v>
      </c>
      <c r="BO159" s="65">
        <f t="shared" si="172"/>
        <v>1.160517706371319</v>
      </c>
      <c r="BP159" s="65">
        <f t="shared" si="173"/>
        <v>1.160517706371319</v>
      </c>
      <c r="BQ159" s="90">
        <f t="shared" si="174"/>
        <v>0</v>
      </c>
      <c r="BR159" s="69">
        <f t="shared" si="162"/>
        <v>100</v>
      </c>
      <c r="BS159" s="67">
        <f t="shared" si="163"/>
        <v>79.523809523809518</v>
      </c>
      <c r="BT159" s="67">
        <f t="shared" si="164"/>
        <v>65.873015873015888</v>
      </c>
      <c r="BU159" s="67">
        <f t="shared" si="165"/>
        <v>36.507936507936513</v>
      </c>
      <c r="BV159" s="67">
        <f t="shared" si="176"/>
        <v>6.666666666666667</v>
      </c>
      <c r="BW159" s="67">
        <f t="shared" si="177"/>
        <v>4.4444444444444446</v>
      </c>
      <c r="BX159" s="67">
        <f t="shared" si="178"/>
        <v>4.4444444444444446</v>
      </c>
      <c r="BY159" s="67">
        <f t="shared" si="179"/>
        <v>4.4444444444444446</v>
      </c>
      <c r="BZ159" s="69">
        <f t="shared" si="175"/>
        <v>0</v>
      </c>
      <c r="CA159" s="67">
        <f t="shared" si="175"/>
        <v>20.476190476190482</v>
      </c>
      <c r="CB159" s="67">
        <f t="shared" si="175"/>
        <v>34.126984126984112</v>
      </c>
      <c r="CC159" s="67">
        <f t="shared" si="175"/>
        <v>63.492063492063487</v>
      </c>
      <c r="CD159" s="67">
        <f t="shared" si="175"/>
        <v>93.333333333333329</v>
      </c>
      <c r="CE159" s="67">
        <f t="shared" si="129"/>
        <v>95.555555555555557</v>
      </c>
      <c r="CF159" s="67">
        <f t="shared" si="129"/>
        <v>95.555555555555557</v>
      </c>
      <c r="CG159" s="116">
        <f t="shared" si="129"/>
        <v>95.555555555555557</v>
      </c>
    </row>
    <row r="160" spans="2:85" x14ac:dyDescent="0.3">
      <c r="B160" s="409"/>
      <c r="C160" s="412"/>
      <c r="D160" s="70" t="s">
        <v>804</v>
      </c>
      <c r="E160" s="65">
        <v>13</v>
      </c>
      <c r="F160" s="65">
        <v>15</v>
      </c>
      <c r="G160" s="66">
        <v>15</v>
      </c>
      <c r="H160" s="65">
        <f t="shared" si="166"/>
        <v>43</v>
      </c>
      <c r="I160" s="67">
        <v>9</v>
      </c>
      <c r="J160" s="67">
        <v>13</v>
      </c>
      <c r="K160" s="66">
        <v>12</v>
      </c>
      <c r="L160" s="67">
        <v>9</v>
      </c>
      <c r="M160" s="67">
        <v>11</v>
      </c>
      <c r="N160" s="66">
        <v>13</v>
      </c>
      <c r="O160" s="67">
        <v>8</v>
      </c>
      <c r="P160" s="67">
        <v>11</v>
      </c>
      <c r="Q160" s="66">
        <v>11</v>
      </c>
      <c r="R160" s="67">
        <v>6</v>
      </c>
      <c r="S160" s="67">
        <v>8</v>
      </c>
      <c r="T160" s="66">
        <v>10</v>
      </c>
      <c r="U160" s="67">
        <v>6</v>
      </c>
      <c r="V160" s="67">
        <v>6</v>
      </c>
      <c r="W160" s="66">
        <v>7</v>
      </c>
      <c r="X160" s="67">
        <v>3</v>
      </c>
      <c r="Y160" s="67">
        <v>5</v>
      </c>
      <c r="Z160" s="66">
        <v>5</v>
      </c>
      <c r="AA160" s="67">
        <v>2</v>
      </c>
      <c r="AB160" s="67">
        <v>2</v>
      </c>
      <c r="AC160" s="66">
        <v>2</v>
      </c>
      <c r="AD160" s="65">
        <f t="shared" si="130"/>
        <v>100</v>
      </c>
      <c r="AE160" s="65">
        <f t="shared" si="131"/>
        <v>100</v>
      </c>
      <c r="AF160" s="66">
        <f t="shared" si="132"/>
        <v>100</v>
      </c>
      <c r="AG160" s="65">
        <f t="shared" si="133"/>
        <v>69.230769230769226</v>
      </c>
      <c r="AH160" s="65">
        <f t="shared" si="134"/>
        <v>86.666666666666671</v>
      </c>
      <c r="AI160" s="66">
        <f t="shared" si="135"/>
        <v>80</v>
      </c>
      <c r="AJ160" s="65">
        <f t="shared" si="136"/>
        <v>69.230769230769226</v>
      </c>
      <c r="AK160" s="65">
        <f t="shared" si="137"/>
        <v>73.333333333333343</v>
      </c>
      <c r="AL160" s="66">
        <f t="shared" si="138"/>
        <v>86.666666666666671</v>
      </c>
      <c r="AM160" s="65">
        <f t="shared" si="139"/>
        <v>61.53846153846154</v>
      </c>
      <c r="AN160" s="65">
        <f t="shared" si="140"/>
        <v>73.333333333333343</v>
      </c>
      <c r="AO160" s="66">
        <f t="shared" si="141"/>
        <v>73.333333333333343</v>
      </c>
      <c r="AP160" s="65">
        <f t="shared" si="142"/>
        <v>46.153846153846153</v>
      </c>
      <c r="AQ160" s="65">
        <f t="shared" si="143"/>
        <v>53.333333333333336</v>
      </c>
      <c r="AR160" s="66">
        <f t="shared" si="144"/>
        <v>66.666666666666671</v>
      </c>
      <c r="AS160" s="65">
        <f t="shared" si="145"/>
        <v>46.153846153846153</v>
      </c>
      <c r="AT160" s="65">
        <f t="shared" si="146"/>
        <v>40</v>
      </c>
      <c r="AU160" s="66">
        <f t="shared" si="147"/>
        <v>46.666666666666671</v>
      </c>
      <c r="AV160" s="65">
        <f t="shared" si="148"/>
        <v>23.076923076923077</v>
      </c>
      <c r="AW160" s="65">
        <f t="shared" si="149"/>
        <v>33.333333333333336</v>
      </c>
      <c r="AX160" s="66">
        <f t="shared" si="150"/>
        <v>33.333333333333336</v>
      </c>
      <c r="AY160" s="65">
        <f t="shared" si="151"/>
        <v>15.384615384615385</v>
      </c>
      <c r="AZ160" s="65">
        <f t="shared" si="152"/>
        <v>13.333333333333334</v>
      </c>
      <c r="BA160" s="66">
        <f t="shared" si="153"/>
        <v>13.333333333333334</v>
      </c>
      <c r="BB160" s="68">
        <f t="shared" si="154"/>
        <v>0</v>
      </c>
      <c r="BC160" s="65">
        <f t="shared" si="155"/>
        <v>8.7980234068087366</v>
      </c>
      <c r="BD160" s="65">
        <f t="shared" si="156"/>
        <v>9.1160968382724015</v>
      </c>
      <c r="BE160" s="65">
        <f t="shared" si="157"/>
        <v>6.8097724058263598</v>
      </c>
      <c r="BF160" s="65">
        <f t="shared" si="158"/>
        <v>10.409119553940721</v>
      </c>
      <c r="BG160" s="65">
        <f t="shared" si="159"/>
        <v>3.7098349426001223</v>
      </c>
      <c r="BH160" s="65">
        <f t="shared" si="160"/>
        <v>5.9215412224577015</v>
      </c>
      <c r="BI160" s="65">
        <f t="shared" si="161"/>
        <v>1.1843082444915398</v>
      </c>
      <c r="BJ160" s="68">
        <f t="shared" si="167"/>
        <v>0</v>
      </c>
      <c r="BK160" s="65">
        <f t="shared" si="168"/>
        <v>1.3416859912911243</v>
      </c>
      <c r="BL160" s="65">
        <f t="shared" si="169"/>
        <v>1.3901917348501189</v>
      </c>
      <c r="BM160" s="65">
        <f t="shared" si="170"/>
        <v>1.0384805561789416</v>
      </c>
      <c r="BN160" s="65">
        <f t="shared" si="171"/>
        <v>1.5873758503971196</v>
      </c>
      <c r="BO160" s="65">
        <f t="shared" si="172"/>
        <v>0.56574452491645921</v>
      </c>
      <c r="BP160" s="65">
        <f t="shared" si="173"/>
        <v>0.9030265705903836</v>
      </c>
      <c r="BQ160" s="90">
        <f t="shared" si="174"/>
        <v>0.18060531411807665</v>
      </c>
      <c r="BR160" s="69">
        <f t="shared" si="162"/>
        <v>100</v>
      </c>
      <c r="BS160" s="67">
        <f t="shared" si="163"/>
        <v>78.632478632478637</v>
      </c>
      <c r="BT160" s="67">
        <f t="shared" si="164"/>
        <v>76.410256410256409</v>
      </c>
      <c r="BU160" s="67">
        <f t="shared" si="165"/>
        <v>69.401709401709411</v>
      </c>
      <c r="BV160" s="67">
        <f t="shared" si="176"/>
        <v>55.384615384615387</v>
      </c>
      <c r="BW160" s="67">
        <f t="shared" si="177"/>
        <v>44.273504273504273</v>
      </c>
      <c r="BX160" s="67">
        <f t="shared" si="178"/>
        <v>36.581196581196586</v>
      </c>
      <c r="BY160" s="67">
        <f t="shared" si="179"/>
        <v>34.358974358974365</v>
      </c>
      <c r="BZ160" s="69">
        <f t="shared" si="175"/>
        <v>0</v>
      </c>
      <c r="CA160" s="67">
        <f t="shared" si="175"/>
        <v>21.367521367521363</v>
      </c>
      <c r="CB160" s="67">
        <f t="shared" si="175"/>
        <v>23.589743589743591</v>
      </c>
      <c r="CC160" s="67">
        <f t="shared" si="175"/>
        <v>30.598290598290589</v>
      </c>
      <c r="CD160" s="67">
        <f t="shared" si="175"/>
        <v>44.615384615384613</v>
      </c>
      <c r="CE160" s="67">
        <f t="shared" si="129"/>
        <v>55.726495726495727</v>
      </c>
      <c r="CF160" s="67">
        <f t="shared" si="129"/>
        <v>63.418803418803414</v>
      </c>
      <c r="CG160" s="116">
        <f t="shared" si="129"/>
        <v>65.641025641025635</v>
      </c>
    </row>
    <row r="161" spans="2:85" x14ac:dyDescent="0.3">
      <c r="B161" s="410"/>
      <c r="C161" s="413"/>
      <c r="D161" s="70" t="s">
        <v>805</v>
      </c>
      <c r="E161" s="71">
        <v>15</v>
      </c>
      <c r="F161" s="71">
        <v>15</v>
      </c>
      <c r="G161" s="72">
        <v>14</v>
      </c>
      <c r="H161" s="71">
        <f t="shared" si="166"/>
        <v>44</v>
      </c>
      <c r="I161" s="73">
        <v>13</v>
      </c>
      <c r="J161" s="73">
        <v>15</v>
      </c>
      <c r="K161" s="72">
        <v>14</v>
      </c>
      <c r="L161" s="73">
        <v>13</v>
      </c>
      <c r="M161" s="73">
        <v>15</v>
      </c>
      <c r="N161" s="72">
        <v>14</v>
      </c>
      <c r="O161" s="73">
        <v>13</v>
      </c>
      <c r="P161" s="73">
        <v>15</v>
      </c>
      <c r="Q161" s="72">
        <v>14</v>
      </c>
      <c r="R161" s="73">
        <v>13</v>
      </c>
      <c r="S161" s="73">
        <v>15</v>
      </c>
      <c r="T161" s="72">
        <v>14</v>
      </c>
      <c r="U161" s="73">
        <v>10</v>
      </c>
      <c r="V161" s="73">
        <v>14</v>
      </c>
      <c r="W161" s="72">
        <v>10</v>
      </c>
      <c r="X161" s="73">
        <v>10</v>
      </c>
      <c r="Y161" s="73">
        <v>14</v>
      </c>
      <c r="Z161" s="72">
        <v>9</v>
      </c>
      <c r="AA161" s="73">
        <v>8</v>
      </c>
      <c r="AB161" s="73">
        <v>13</v>
      </c>
      <c r="AC161" s="72">
        <v>4</v>
      </c>
      <c r="AD161" s="71">
        <f t="shared" si="130"/>
        <v>100</v>
      </c>
      <c r="AE161" s="71">
        <f t="shared" si="131"/>
        <v>100</v>
      </c>
      <c r="AF161" s="72">
        <f t="shared" si="132"/>
        <v>100</v>
      </c>
      <c r="AG161" s="71">
        <f t="shared" si="133"/>
        <v>86.666666666666671</v>
      </c>
      <c r="AH161" s="71">
        <f t="shared" si="134"/>
        <v>100</v>
      </c>
      <c r="AI161" s="72">
        <f t="shared" si="135"/>
        <v>100</v>
      </c>
      <c r="AJ161" s="71">
        <f t="shared" si="136"/>
        <v>86.666666666666671</v>
      </c>
      <c r="AK161" s="71">
        <f t="shared" si="137"/>
        <v>100</v>
      </c>
      <c r="AL161" s="72">
        <f t="shared" si="138"/>
        <v>100</v>
      </c>
      <c r="AM161" s="71">
        <f t="shared" si="139"/>
        <v>86.666666666666671</v>
      </c>
      <c r="AN161" s="71">
        <f t="shared" si="140"/>
        <v>100</v>
      </c>
      <c r="AO161" s="72">
        <f t="shared" si="141"/>
        <v>100</v>
      </c>
      <c r="AP161" s="71">
        <f t="shared" si="142"/>
        <v>86.666666666666671</v>
      </c>
      <c r="AQ161" s="71">
        <f t="shared" si="143"/>
        <v>100</v>
      </c>
      <c r="AR161" s="72">
        <f t="shared" si="144"/>
        <v>100</v>
      </c>
      <c r="AS161" s="71">
        <f t="shared" si="145"/>
        <v>66.666666666666671</v>
      </c>
      <c r="AT161" s="71">
        <f t="shared" si="146"/>
        <v>93.333333333333343</v>
      </c>
      <c r="AU161" s="72">
        <f t="shared" si="147"/>
        <v>71.428571428571431</v>
      </c>
      <c r="AV161" s="71">
        <f t="shared" si="148"/>
        <v>66.666666666666671</v>
      </c>
      <c r="AW161" s="71">
        <f t="shared" si="149"/>
        <v>93.333333333333343</v>
      </c>
      <c r="AX161" s="72">
        <f t="shared" si="150"/>
        <v>64.285714285714292</v>
      </c>
      <c r="AY161" s="71">
        <f t="shared" si="151"/>
        <v>53.333333333333336</v>
      </c>
      <c r="AZ161" s="71">
        <f t="shared" si="152"/>
        <v>86.666666666666671</v>
      </c>
      <c r="BA161" s="72">
        <f t="shared" si="153"/>
        <v>28.571428571428573</v>
      </c>
      <c r="BB161" s="74">
        <f t="shared" si="154"/>
        <v>0</v>
      </c>
      <c r="BC161" s="71">
        <f t="shared" si="155"/>
        <v>7.6980035891950074</v>
      </c>
      <c r="BD161" s="71">
        <f t="shared" si="156"/>
        <v>7.6980035891950074</v>
      </c>
      <c r="BE161" s="71">
        <f t="shared" si="157"/>
        <v>7.6980035891950074</v>
      </c>
      <c r="BF161" s="71">
        <f t="shared" si="158"/>
        <v>7.6980035891950074</v>
      </c>
      <c r="BG161" s="71">
        <f t="shared" si="159"/>
        <v>14.222080498160121</v>
      </c>
      <c r="BH161" s="71">
        <f t="shared" si="160"/>
        <v>16.127327830358247</v>
      </c>
      <c r="BI161" s="71">
        <f t="shared" si="161"/>
        <v>29.152814980978977</v>
      </c>
      <c r="BJ161" s="74">
        <f t="shared" si="167"/>
        <v>0</v>
      </c>
      <c r="BK161" s="71">
        <f t="shared" si="168"/>
        <v>1.1605177063713186</v>
      </c>
      <c r="BL161" s="71">
        <f t="shared" si="169"/>
        <v>1.1605177063713186</v>
      </c>
      <c r="BM161" s="71">
        <f t="shared" si="170"/>
        <v>1.1605177063713186</v>
      </c>
      <c r="BN161" s="71">
        <f t="shared" si="171"/>
        <v>1.1605177063713186</v>
      </c>
      <c r="BO161" s="71">
        <f t="shared" si="172"/>
        <v>2.1440593068467244</v>
      </c>
      <c r="BP161" s="71">
        <f t="shared" si="173"/>
        <v>2.4312861492888511</v>
      </c>
      <c r="BQ161" s="91">
        <f t="shared" si="174"/>
        <v>4.394952221570871</v>
      </c>
      <c r="BR161" s="75">
        <f t="shared" si="162"/>
        <v>100</v>
      </c>
      <c r="BS161" s="73">
        <f t="shared" si="163"/>
        <v>95.555555555555557</v>
      </c>
      <c r="BT161" s="73">
        <f t="shared" si="164"/>
        <v>95.555555555555557</v>
      </c>
      <c r="BU161" s="73">
        <f t="shared" si="165"/>
        <v>95.555555555555557</v>
      </c>
      <c r="BV161" s="73">
        <f t="shared" si="176"/>
        <v>95.555555555555557</v>
      </c>
      <c r="BW161" s="73">
        <f t="shared" si="177"/>
        <v>77.142857142857153</v>
      </c>
      <c r="BX161" s="73">
        <f t="shared" si="178"/>
        <v>77.142857142857153</v>
      </c>
      <c r="BY161" s="73">
        <f t="shared" si="179"/>
        <v>77.142857142857153</v>
      </c>
      <c r="BZ161" s="75">
        <f t="shared" si="175"/>
        <v>0</v>
      </c>
      <c r="CA161" s="73">
        <f t="shared" si="175"/>
        <v>4.4444444444444429</v>
      </c>
      <c r="CB161" s="73">
        <f t="shared" si="175"/>
        <v>4.4444444444444429</v>
      </c>
      <c r="CC161" s="73">
        <f t="shared" si="175"/>
        <v>4.4444444444444429</v>
      </c>
      <c r="CD161" s="73">
        <f t="shared" si="175"/>
        <v>4.4444444444444429</v>
      </c>
      <c r="CE161" s="73">
        <f t="shared" si="129"/>
        <v>22.857142857142847</v>
      </c>
      <c r="CF161" s="73">
        <f t="shared" si="129"/>
        <v>22.857142857142847</v>
      </c>
      <c r="CG161" s="265">
        <f t="shared" si="129"/>
        <v>22.857142857142847</v>
      </c>
    </row>
    <row r="162" spans="2:85" ht="15" customHeight="1" x14ac:dyDescent="0.3">
      <c r="B162" s="408">
        <v>40</v>
      </c>
      <c r="C162" s="411" t="s">
        <v>519</v>
      </c>
      <c r="D162" s="76" t="s">
        <v>802</v>
      </c>
      <c r="E162" s="77">
        <v>12</v>
      </c>
      <c r="F162" s="77">
        <v>12</v>
      </c>
      <c r="G162" s="78">
        <v>12</v>
      </c>
      <c r="H162" s="77">
        <f t="shared" si="166"/>
        <v>36</v>
      </c>
      <c r="I162" s="79">
        <v>8</v>
      </c>
      <c r="J162" s="79">
        <v>8</v>
      </c>
      <c r="K162" s="78">
        <v>8</v>
      </c>
      <c r="L162" s="79">
        <v>5</v>
      </c>
      <c r="M162" s="79">
        <v>3</v>
      </c>
      <c r="N162" s="78">
        <v>5</v>
      </c>
      <c r="O162" s="79">
        <v>4</v>
      </c>
      <c r="P162" s="79">
        <v>2</v>
      </c>
      <c r="Q162" s="78">
        <v>2</v>
      </c>
      <c r="R162" s="79">
        <v>3</v>
      </c>
      <c r="S162" s="79">
        <v>1</v>
      </c>
      <c r="T162" s="78">
        <v>0</v>
      </c>
      <c r="U162" s="79">
        <v>1</v>
      </c>
      <c r="V162" s="79">
        <v>1</v>
      </c>
      <c r="W162" s="78">
        <v>0</v>
      </c>
      <c r="X162" s="79">
        <v>0</v>
      </c>
      <c r="Y162" s="79">
        <v>1</v>
      </c>
      <c r="Z162" s="78">
        <v>0</v>
      </c>
      <c r="AA162" s="79">
        <v>0</v>
      </c>
      <c r="AB162" s="79">
        <v>0</v>
      </c>
      <c r="AC162" s="78">
        <v>0</v>
      </c>
      <c r="AD162" s="77">
        <f t="shared" si="130"/>
        <v>100</v>
      </c>
      <c r="AE162" s="77">
        <f t="shared" si="131"/>
        <v>100</v>
      </c>
      <c r="AF162" s="78">
        <f t="shared" si="132"/>
        <v>100</v>
      </c>
      <c r="AG162" s="77">
        <f t="shared" si="133"/>
        <v>66.666666666666671</v>
      </c>
      <c r="AH162" s="77">
        <f t="shared" si="134"/>
        <v>66.666666666666671</v>
      </c>
      <c r="AI162" s="78">
        <f t="shared" si="135"/>
        <v>66.666666666666671</v>
      </c>
      <c r="AJ162" s="77">
        <f t="shared" si="136"/>
        <v>41.666666666666671</v>
      </c>
      <c r="AK162" s="77">
        <f t="shared" si="137"/>
        <v>25</v>
      </c>
      <c r="AL162" s="78">
        <f t="shared" si="138"/>
        <v>41.666666666666671</v>
      </c>
      <c r="AM162" s="77">
        <f t="shared" si="139"/>
        <v>33.333333333333336</v>
      </c>
      <c r="AN162" s="77">
        <f t="shared" si="140"/>
        <v>16.666666666666668</v>
      </c>
      <c r="AO162" s="78">
        <f t="shared" si="141"/>
        <v>16.666666666666668</v>
      </c>
      <c r="AP162" s="77">
        <f t="shared" si="142"/>
        <v>25</v>
      </c>
      <c r="AQ162" s="77">
        <f t="shared" si="143"/>
        <v>8.3333333333333339</v>
      </c>
      <c r="AR162" s="78">
        <f t="shared" si="144"/>
        <v>0</v>
      </c>
      <c r="AS162" s="77">
        <f t="shared" si="145"/>
        <v>8.3333333333333339</v>
      </c>
      <c r="AT162" s="77">
        <f t="shared" si="146"/>
        <v>8.3333333333333339</v>
      </c>
      <c r="AU162" s="78">
        <f t="shared" si="147"/>
        <v>0</v>
      </c>
      <c r="AV162" s="77">
        <f t="shared" si="148"/>
        <v>0</v>
      </c>
      <c r="AW162" s="77">
        <f t="shared" si="149"/>
        <v>8.3333333333333339</v>
      </c>
      <c r="AX162" s="78">
        <f t="shared" si="150"/>
        <v>0</v>
      </c>
      <c r="AY162" s="77">
        <f t="shared" si="151"/>
        <v>0</v>
      </c>
      <c r="AZ162" s="77">
        <f t="shared" si="152"/>
        <v>0</v>
      </c>
      <c r="BA162" s="78">
        <f t="shared" si="153"/>
        <v>0</v>
      </c>
      <c r="BB162" s="80">
        <f t="shared" si="154"/>
        <v>0</v>
      </c>
      <c r="BC162" s="77">
        <f t="shared" si="155"/>
        <v>0</v>
      </c>
      <c r="BD162" s="77">
        <f t="shared" si="156"/>
        <v>9.6225044864937512</v>
      </c>
      <c r="BE162" s="77">
        <f t="shared" si="157"/>
        <v>9.6225044864937637</v>
      </c>
      <c r="BF162" s="77">
        <f t="shared" si="158"/>
        <v>12.729376930432888</v>
      </c>
      <c r="BG162" s="77">
        <f t="shared" si="159"/>
        <v>4.8112522432468818</v>
      </c>
      <c r="BH162" s="77">
        <f t="shared" si="160"/>
        <v>4.8112522432468818</v>
      </c>
      <c r="BI162" s="77">
        <f t="shared" si="161"/>
        <v>0</v>
      </c>
      <c r="BJ162" s="80">
        <f t="shared" si="167"/>
        <v>0</v>
      </c>
      <c r="BK162" s="77">
        <f t="shared" si="168"/>
        <v>0</v>
      </c>
      <c r="BL162" s="77">
        <f t="shared" si="169"/>
        <v>1.6037507477489585</v>
      </c>
      <c r="BM162" s="77">
        <f t="shared" si="170"/>
        <v>1.6037507477489605</v>
      </c>
      <c r="BN162" s="77">
        <f t="shared" si="171"/>
        <v>2.1215628217388147</v>
      </c>
      <c r="BO162" s="77">
        <f t="shared" si="172"/>
        <v>0.80187537387448027</v>
      </c>
      <c r="BP162" s="77">
        <f t="shared" si="173"/>
        <v>0.80187537387448027</v>
      </c>
      <c r="BQ162" s="92">
        <f t="shared" si="174"/>
        <v>0</v>
      </c>
      <c r="BR162" s="81">
        <f t="shared" si="162"/>
        <v>100</v>
      </c>
      <c r="BS162" s="79">
        <f t="shared" si="163"/>
        <v>66.666666666666671</v>
      </c>
      <c r="BT162" s="79">
        <f t="shared" si="164"/>
        <v>36.111111111111114</v>
      </c>
      <c r="BU162" s="79">
        <f t="shared" si="165"/>
        <v>22.222222222222225</v>
      </c>
      <c r="BV162" s="79">
        <f t="shared" si="176"/>
        <v>11.111111111111112</v>
      </c>
      <c r="BW162" s="79">
        <f t="shared" si="177"/>
        <v>5.5555555555555562</v>
      </c>
      <c r="BX162" s="79">
        <f t="shared" si="178"/>
        <v>2.7777777777777781</v>
      </c>
      <c r="BY162" s="79">
        <f t="shared" si="179"/>
        <v>2.7777777777777781</v>
      </c>
      <c r="BZ162" s="81">
        <f t="shared" si="175"/>
        <v>0</v>
      </c>
      <c r="CA162" s="79">
        <f t="shared" si="175"/>
        <v>33.333333333333329</v>
      </c>
      <c r="CB162" s="79">
        <f t="shared" si="175"/>
        <v>63.888888888888886</v>
      </c>
      <c r="CC162" s="79">
        <f t="shared" si="175"/>
        <v>77.777777777777771</v>
      </c>
      <c r="CD162" s="79">
        <f t="shared" si="175"/>
        <v>88.888888888888886</v>
      </c>
      <c r="CE162" s="79">
        <f t="shared" si="129"/>
        <v>94.444444444444443</v>
      </c>
      <c r="CF162" s="79">
        <f t="shared" si="129"/>
        <v>97.222222222222229</v>
      </c>
      <c r="CG162" s="264">
        <f t="shared" si="129"/>
        <v>97.222222222222229</v>
      </c>
    </row>
    <row r="163" spans="2:85" x14ac:dyDescent="0.3">
      <c r="B163" s="409"/>
      <c r="C163" s="412"/>
      <c r="D163" s="70" t="s">
        <v>803</v>
      </c>
      <c r="E163" s="65">
        <v>12</v>
      </c>
      <c r="F163" s="65">
        <v>12</v>
      </c>
      <c r="G163" s="66">
        <v>12</v>
      </c>
      <c r="H163" s="65">
        <f t="shared" si="166"/>
        <v>36</v>
      </c>
      <c r="I163" s="67">
        <v>9</v>
      </c>
      <c r="J163" s="67">
        <v>8</v>
      </c>
      <c r="K163" s="66">
        <v>8</v>
      </c>
      <c r="L163" s="67">
        <v>7</v>
      </c>
      <c r="M163" s="67">
        <v>6</v>
      </c>
      <c r="N163" s="66">
        <v>6</v>
      </c>
      <c r="O163" s="67">
        <v>5</v>
      </c>
      <c r="P163" s="67">
        <v>4</v>
      </c>
      <c r="Q163" s="66">
        <v>4</v>
      </c>
      <c r="R163" s="67">
        <v>4</v>
      </c>
      <c r="S163" s="67">
        <v>3</v>
      </c>
      <c r="T163" s="66">
        <v>4</v>
      </c>
      <c r="U163" s="67">
        <v>4</v>
      </c>
      <c r="V163" s="67">
        <v>3</v>
      </c>
      <c r="W163" s="66">
        <v>4</v>
      </c>
      <c r="X163" s="67">
        <v>4</v>
      </c>
      <c r="Y163" s="67">
        <v>2</v>
      </c>
      <c r="Z163" s="66">
        <v>3</v>
      </c>
      <c r="AA163" s="67">
        <v>3</v>
      </c>
      <c r="AB163" s="67">
        <v>1</v>
      </c>
      <c r="AC163" s="66">
        <v>3</v>
      </c>
      <c r="AD163" s="65">
        <f t="shared" si="130"/>
        <v>100</v>
      </c>
      <c r="AE163" s="65">
        <f t="shared" si="131"/>
        <v>100</v>
      </c>
      <c r="AF163" s="66">
        <f t="shared" si="132"/>
        <v>100</v>
      </c>
      <c r="AG163" s="65">
        <f t="shared" si="133"/>
        <v>75</v>
      </c>
      <c r="AH163" s="65">
        <f t="shared" si="134"/>
        <v>66.666666666666671</v>
      </c>
      <c r="AI163" s="66">
        <f t="shared" si="135"/>
        <v>66.666666666666671</v>
      </c>
      <c r="AJ163" s="65">
        <f t="shared" si="136"/>
        <v>58.333333333333336</v>
      </c>
      <c r="AK163" s="65">
        <f t="shared" si="137"/>
        <v>50</v>
      </c>
      <c r="AL163" s="66">
        <f t="shared" si="138"/>
        <v>50</v>
      </c>
      <c r="AM163" s="65">
        <f t="shared" si="139"/>
        <v>41.666666666666671</v>
      </c>
      <c r="AN163" s="65">
        <f t="shared" si="140"/>
        <v>33.333333333333336</v>
      </c>
      <c r="AO163" s="66">
        <f t="shared" si="141"/>
        <v>33.333333333333336</v>
      </c>
      <c r="AP163" s="65">
        <f t="shared" si="142"/>
        <v>33.333333333333336</v>
      </c>
      <c r="AQ163" s="65">
        <f t="shared" si="143"/>
        <v>25</v>
      </c>
      <c r="AR163" s="66">
        <f t="shared" si="144"/>
        <v>33.333333333333336</v>
      </c>
      <c r="AS163" s="65">
        <f t="shared" si="145"/>
        <v>33.333333333333336</v>
      </c>
      <c r="AT163" s="65">
        <f t="shared" si="146"/>
        <v>25</v>
      </c>
      <c r="AU163" s="66">
        <f t="shared" si="147"/>
        <v>33.333333333333336</v>
      </c>
      <c r="AV163" s="65">
        <f t="shared" si="148"/>
        <v>33.333333333333336</v>
      </c>
      <c r="AW163" s="65">
        <f t="shared" si="149"/>
        <v>16.666666666666668</v>
      </c>
      <c r="AX163" s="66">
        <f t="shared" si="150"/>
        <v>25</v>
      </c>
      <c r="AY163" s="65">
        <f t="shared" si="151"/>
        <v>25</v>
      </c>
      <c r="AZ163" s="65">
        <f t="shared" si="152"/>
        <v>8.3333333333333339</v>
      </c>
      <c r="BA163" s="66">
        <f t="shared" si="153"/>
        <v>25</v>
      </c>
      <c r="BB163" s="68">
        <f t="shared" si="154"/>
        <v>0</v>
      </c>
      <c r="BC163" s="65">
        <f t="shared" si="155"/>
        <v>4.8112522432468792</v>
      </c>
      <c r="BD163" s="65">
        <f t="shared" si="156"/>
        <v>4.8112522432468827</v>
      </c>
      <c r="BE163" s="65">
        <f t="shared" si="157"/>
        <v>4.8112522432468703</v>
      </c>
      <c r="BF163" s="65">
        <f t="shared" si="158"/>
        <v>4.8112522432468703</v>
      </c>
      <c r="BG163" s="65">
        <f t="shared" si="159"/>
        <v>4.8112522432468703</v>
      </c>
      <c r="BH163" s="65">
        <f t="shared" si="160"/>
        <v>8.333333333333341</v>
      </c>
      <c r="BI163" s="65">
        <f t="shared" si="161"/>
        <v>9.6225044864937583</v>
      </c>
      <c r="BJ163" s="68">
        <f t="shared" si="167"/>
        <v>0</v>
      </c>
      <c r="BK163" s="65">
        <f t="shared" si="168"/>
        <v>0.80187537387447982</v>
      </c>
      <c r="BL163" s="65">
        <f t="shared" si="169"/>
        <v>0.80187537387448049</v>
      </c>
      <c r="BM163" s="65">
        <f t="shared" si="170"/>
        <v>0.80187537387447838</v>
      </c>
      <c r="BN163" s="65">
        <f t="shared" si="171"/>
        <v>0.80187537387447838</v>
      </c>
      <c r="BO163" s="65">
        <f t="shared" si="172"/>
        <v>0.80187537387447838</v>
      </c>
      <c r="BP163" s="65">
        <f t="shared" si="173"/>
        <v>1.3888888888888902</v>
      </c>
      <c r="BQ163" s="90">
        <f t="shared" si="174"/>
        <v>1.6037507477489596</v>
      </c>
      <c r="BR163" s="69">
        <f t="shared" si="162"/>
        <v>100</v>
      </c>
      <c r="BS163" s="67">
        <f t="shared" si="163"/>
        <v>69.444444444444457</v>
      </c>
      <c r="BT163" s="67">
        <f t="shared" si="164"/>
        <v>52.777777777777779</v>
      </c>
      <c r="BU163" s="67">
        <f t="shared" si="165"/>
        <v>36.111111111111114</v>
      </c>
      <c r="BV163" s="67">
        <f t="shared" si="176"/>
        <v>30.555555555555557</v>
      </c>
      <c r="BW163" s="67">
        <f t="shared" si="177"/>
        <v>30.555555555555557</v>
      </c>
      <c r="BX163" s="67">
        <f t="shared" si="178"/>
        <v>30.555555555555557</v>
      </c>
      <c r="BY163" s="67">
        <f t="shared" si="179"/>
        <v>27.777777777777782</v>
      </c>
      <c r="BZ163" s="69">
        <f t="shared" si="175"/>
        <v>0</v>
      </c>
      <c r="CA163" s="67">
        <f t="shared" si="175"/>
        <v>30.555555555555543</v>
      </c>
      <c r="CB163" s="67">
        <f t="shared" si="175"/>
        <v>47.222222222222221</v>
      </c>
      <c r="CC163" s="67">
        <f t="shared" si="175"/>
        <v>63.888888888888886</v>
      </c>
      <c r="CD163" s="67">
        <f t="shared" si="175"/>
        <v>69.444444444444443</v>
      </c>
      <c r="CE163" s="67">
        <f t="shared" si="129"/>
        <v>69.444444444444443</v>
      </c>
      <c r="CF163" s="67">
        <f t="shared" si="129"/>
        <v>69.444444444444443</v>
      </c>
      <c r="CG163" s="116">
        <f t="shared" si="129"/>
        <v>72.222222222222214</v>
      </c>
    </row>
    <row r="164" spans="2:85" x14ac:dyDescent="0.3">
      <c r="B164" s="409"/>
      <c r="C164" s="412"/>
      <c r="D164" s="70" t="s">
        <v>804</v>
      </c>
      <c r="E164" s="65">
        <v>12</v>
      </c>
      <c r="F164" s="65">
        <v>12</v>
      </c>
      <c r="G164" s="66">
        <v>12</v>
      </c>
      <c r="H164" s="65">
        <f t="shared" si="166"/>
        <v>36</v>
      </c>
      <c r="I164" s="67">
        <v>8</v>
      </c>
      <c r="J164" s="67">
        <v>8</v>
      </c>
      <c r="K164" s="66">
        <v>8</v>
      </c>
      <c r="L164" s="67">
        <v>5</v>
      </c>
      <c r="M164" s="67">
        <v>6</v>
      </c>
      <c r="N164" s="66">
        <v>4</v>
      </c>
      <c r="O164" s="67">
        <v>4</v>
      </c>
      <c r="P164" s="67">
        <v>5</v>
      </c>
      <c r="Q164" s="66">
        <v>4</v>
      </c>
      <c r="R164" s="67">
        <v>4</v>
      </c>
      <c r="S164" s="67">
        <v>4</v>
      </c>
      <c r="T164" s="66">
        <v>4</v>
      </c>
      <c r="U164" s="67">
        <v>4</v>
      </c>
      <c r="V164" s="67">
        <v>3</v>
      </c>
      <c r="W164" s="66">
        <v>4</v>
      </c>
      <c r="X164" s="67">
        <v>4</v>
      </c>
      <c r="Y164" s="67">
        <v>2</v>
      </c>
      <c r="Z164" s="66">
        <v>2</v>
      </c>
      <c r="AA164" s="67">
        <v>3</v>
      </c>
      <c r="AB164" s="67">
        <v>2</v>
      </c>
      <c r="AC164" s="66">
        <v>2</v>
      </c>
      <c r="AD164" s="65">
        <f t="shared" si="130"/>
        <v>100</v>
      </c>
      <c r="AE164" s="65">
        <f t="shared" si="131"/>
        <v>100</v>
      </c>
      <c r="AF164" s="66">
        <f t="shared" si="132"/>
        <v>100</v>
      </c>
      <c r="AG164" s="65">
        <f t="shared" si="133"/>
        <v>66.666666666666671</v>
      </c>
      <c r="AH164" s="65">
        <f t="shared" si="134"/>
        <v>66.666666666666671</v>
      </c>
      <c r="AI164" s="66">
        <f t="shared" si="135"/>
        <v>66.666666666666671</v>
      </c>
      <c r="AJ164" s="65">
        <f t="shared" si="136"/>
        <v>41.666666666666671</v>
      </c>
      <c r="AK164" s="65">
        <f t="shared" si="137"/>
        <v>50</v>
      </c>
      <c r="AL164" s="66">
        <f t="shared" si="138"/>
        <v>33.333333333333336</v>
      </c>
      <c r="AM164" s="65">
        <f t="shared" si="139"/>
        <v>33.333333333333336</v>
      </c>
      <c r="AN164" s="65">
        <f t="shared" si="140"/>
        <v>41.666666666666671</v>
      </c>
      <c r="AO164" s="66">
        <f t="shared" si="141"/>
        <v>33.333333333333336</v>
      </c>
      <c r="AP164" s="65">
        <f t="shared" si="142"/>
        <v>33.333333333333336</v>
      </c>
      <c r="AQ164" s="65">
        <f t="shared" si="143"/>
        <v>33.333333333333336</v>
      </c>
      <c r="AR164" s="66">
        <f t="shared" si="144"/>
        <v>33.333333333333336</v>
      </c>
      <c r="AS164" s="65">
        <f t="shared" si="145"/>
        <v>33.333333333333336</v>
      </c>
      <c r="AT164" s="65">
        <f t="shared" si="146"/>
        <v>25</v>
      </c>
      <c r="AU164" s="66">
        <f t="shared" si="147"/>
        <v>33.333333333333336</v>
      </c>
      <c r="AV164" s="65">
        <f t="shared" si="148"/>
        <v>33.333333333333336</v>
      </c>
      <c r="AW164" s="65">
        <f t="shared" si="149"/>
        <v>16.666666666666668</v>
      </c>
      <c r="AX164" s="66">
        <f t="shared" si="150"/>
        <v>16.666666666666668</v>
      </c>
      <c r="AY164" s="65">
        <f t="shared" si="151"/>
        <v>25</v>
      </c>
      <c r="AZ164" s="65">
        <f t="shared" si="152"/>
        <v>16.666666666666668</v>
      </c>
      <c r="BA164" s="66">
        <f t="shared" si="153"/>
        <v>16.666666666666668</v>
      </c>
      <c r="BB164" s="68">
        <f t="shared" si="154"/>
        <v>0</v>
      </c>
      <c r="BC164" s="65">
        <f t="shared" si="155"/>
        <v>0</v>
      </c>
      <c r="BD164" s="65">
        <f t="shared" si="156"/>
        <v>8.3333333333333552</v>
      </c>
      <c r="BE164" s="65">
        <f t="shared" si="157"/>
        <v>4.8112522432468703</v>
      </c>
      <c r="BF164" s="65">
        <f t="shared" si="158"/>
        <v>0</v>
      </c>
      <c r="BG164" s="65">
        <f t="shared" si="159"/>
        <v>4.8112522432468703</v>
      </c>
      <c r="BH164" s="65">
        <f t="shared" si="160"/>
        <v>9.6225044864937637</v>
      </c>
      <c r="BI164" s="65">
        <f t="shared" si="161"/>
        <v>4.8112522432468703</v>
      </c>
      <c r="BJ164" s="68">
        <f t="shared" si="167"/>
        <v>0</v>
      </c>
      <c r="BK164" s="65">
        <f t="shared" si="168"/>
        <v>0</v>
      </c>
      <c r="BL164" s="65">
        <f t="shared" si="169"/>
        <v>1.3888888888888926</v>
      </c>
      <c r="BM164" s="65">
        <f t="shared" si="170"/>
        <v>0.80187537387447838</v>
      </c>
      <c r="BN164" s="65">
        <f t="shared" si="171"/>
        <v>0</v>
      </c>
      <c r="BO164" s="65">
        <f t="shared" si="172"/>
        <v>0.80187537387447838</v>
      </c>
      <c r="BP164" s="65">
        <f t="shared" si="173"/>
        <v>1.6037507477489605</v>
      </c>
      <c r="BQ164" s="90">
        <f t="shared" si="174"/>
        <v>0.80187537387447838</v>
      </c>
      <c r="BR164" s="69">
        <f t="shared" si="162"/>
        <v>100</v>
      </c>
      <c r="BS164" s="67">
        <f t="shared" si="163"/>
        <v>66.666666666666671</v>
      </c>
      <c r="BT164" s="67">
        <f t="shared" si="164"/>
        <v>41.666666666666664</v>
      </c>
      <c r="BU164" s="67">
        <f t="shared" si="165"/>
        <v>36.111111111111114</v>
      </c>
      <c r="BV164" s="67">
        <f t="shared" si="176"/>
        <v>33.333333333333336</v>
      </c>
      <c r="BW164" s="67">
        <f t="shared" si="177"/>
        <v>30.555555555555557</v>
      </c>
      <c r="BX164" s="67">
        <f t="shared" si="178"/>
        <v>30.555555555555557</v>
      </c>
      <c r="BY164" s="67">
        <f t="shared" si="179"/>
        <v>27.777777777777782</v>
      </c>
      <c r="BZ164" s="69">
        <f t="shared" si="175"/>
        <v>0</v>
      </c>
      <c r="CA164" s="67">
        <f t="shared" si="175"/>
        <v>33.333333333333329</v>
      </c>
      <c r="CB164" s="67">
        <f t="shared" si="175"/>
        <v>58.333333333333336</v>
      </c>
      <c r="CC164" s="67">
        <f t="shared" si="175"/>
        <v>63.888888888888886</v>
      </c>
      <c r="CD164" s="67">
        <f t="shared" si="175"/>
        <v>66.666666666666657</v>
      </c>
      <c r="CE164" s="67">
        <f t="shared" si="129"/>
        <v>69.444444444444443</v>
      </c>
      <c r="CF164" s="67">
        <f t="shared" si="129"/>
        <v>69.444444444444443</v>
      </c>
      <c r="CG164" s="116">
        <f t="shared" si="129"/>
        <v>72.222222222222214</v>
      </c>
    </row>
    <row r="165" spans="2:85" x14ac:dyDescent="0.3">
      <c r="B165" s="410"/>
      <c r="C165" s="413"/>
      <c r="D165" s="70" t="s">
        <v>805</v>
      </c>
      <c r="E165" s="71">
        <v>12</v>
      </c>
      <c r="F165" s="71">
        <v>12</v>
      </c>
      <c r="G165" s="72">
        <v>12</v>
      </c>
      <c r="H165" s="71">
        <f t="shared" si="166"/>
        <v>36</v>
      </c>
      <c r="I165" s="73">
        <v>10</v>
      </c>
      <c r="J165" s="73">
        <v>10</v>
      </c>
      <c r="K165" s="72">
        <v>9</v>
      </c>
      <c r="L165" s="73">
        <v>8</v>
      </c>
      <c r="M165" s="73">
        <v>8</v>
      </c>
      <c r="N165" s="72">
        <v>7</v>
      </c>
      <c r="O165" s="73">
        <v>6</v>
      </c>
      <c r="P165" s="73">
        <v>6</v>
      </c>
      <c r="Q165" s="72">
        <v>7</v>
      </c>
      <c r="R165" s="73">
        <v>5</v>
      </c>
      <c r="S165" s="73">
        <v>6</v>
      </c>
      <c r="T165" s="72">
        <v>7</v>
      </c>
      <c r="U165" s="73">
        <v>4</v>
      </c>
      <c r="V165" s="73">
        <v>6</v>
      </c>
      <c r="W165" s="72">
        <v>7</v>
      </c>
      <c r="X165" s="73">
        <v>3</v>
      </c>
      <c r="Y165" s="73">
        <v>5</v>
      </c>
      <c r="Z165" s="72">
        <v>5</v>
      </c>
      <c r="AA165" s="73">
        <v>3</v>
      </c>
      <c r="AB165" s="73">
        <v>5</v>
      </c>
      <c r="AC165" s="72">
        <v>4</v>
      </c>
      <c r="AD165" s="71">
        <f t="shared" si="130"/>
        <v>100</v>
      </c>
      <c r="AE165" s="71">
        <f t="shared" si="131"/>
        <v>100</v>
      </c>
      <c r="AF165" s="72">
        <f t="shared" si="132"/>
        <v>100</v>
      </c>
      <c r="AG165" s="71">
        <f t="shared" si="133"/>
        <v>83.333333333333343</v>
      </c>
      <c r="AH165" s="71">
        <f t="shared" si="134"/>
        <v>83.333333333333343</v>
      </c>
      <c r="AI165" s="72">
        <f t="shared" si="135"/>
        <v>75</v>
      </c>
      <c r="AJ165" s="71">
        <f t="shared" si="136"/>
        <v>66.666666666666671</v>
      </c>
      <c r="AK165" s="71">
        <f t="shared" si="137"/>
        <v>66.666666666666671</v>
      </c>
      <c r="AL165" s="72">
        <f t="shared" si="138"/>
        <v>58.333333333333336</v>
      </c>
      <c r="AM165" s="71">
        <f t="shared" si="139"/>
        <v>50</v>
      </c>
      <c r="AN165" s="71">
        <f t="shared" si="140"/>
        <v>50</v>
      </c>
      <c r="AO165" s="72">
        <f t="shared" si="141"/>
        <v>58.333333333333336</v>
      </c>
      <c r="AP165" s="71">
        <f t="shared" si="142"/>
        <v>41.666666666666671</v>
      </c>
      <c r="AQ165" s="71">
        <f t="shared" si="143"/>
        <v>50</v>
      </c>
      <c r="AR165" s="72">
        <f t="shared" si="144"/>
        <v>58.333333333333336</v>
      </c>
      <c r="AS165" s="71">
        <f t="shared" si="145"/>
        <v>33.333333333333336</v>
      </c>
      <c r="AT165" s="71">
        <f t="shared" si="146"/>
        <v>50</v>
      </c>
      <c r="AU165" s="72">
        <f t="shared" si="147"/>
        <v>58.333333333333336</v>
      </c>
      <c r="AV165" s="71">
        <f t="shared" si="148"/>
        <v>25</v>
      </c>
      <c r="AW165" s="71">
        <f t="shared" si="149"/>
        <v>41.666666666666671</v>
      </c>
      <c r="AX165" s="72">
        <f t="shared" si="150"/>
        <v>41.666666666666671</v>
      </c>
      <c r="AY165" s="71">
        <f t="shared" si="151"/>
        <v>25</v>
      </c>
      <c r="AZ165" s="71">
        <f t="shared" si="152"/>
        <v>41.666666666666671</v>
      </c>
      <c r="BA165" s="72">
        <f t="shared" si="153"/>
        <v>33.333333333333336</v>
      </c>
      <c r="BB165" s="74">
        <f t="shared" si="154"/>
        <v>0</v>
      </c>
      <c r="BC165" s="71">
        <f t="shared" si="155"/>
        <v>4.8112522432468872</v>
      </c>
      <c r="BD165" s="71">
        <f t="shared" si="156"/>
        <v>4.8112522432468827</v>
      </c>
      <c r="BE165" s="71">
        <f t="shared" si="157"/>
        <v>4.8112522432468827</v>
      </c>
      <c r="BF165" s="71">
        <f t="shared" si="158"/>
        <v>8.3333333333333268</v>
      </c>
      <c r="BG165" s="71">
        <f t="shared" si="159"/>
        <v>12.729376930432849</v>
      </c>
      <c r="BH165" s="71">
        <f t="shared" si="160"/>
        <v>9.6225044864937512</v>
      </c>
      <c r="BI165" s="71">
        <f t="shared" si="161"/>
        <v>8.333333333333341</v>
      </c>
      <c r="BJ165" s="74">
        <f t="shared" si="167"/>
        <v>0</v>
      </c>
      <c r="BK165" s="71">
        <f t="shared" si="168"/>
        <v>0.80187537387448116</v>
      </c>
      <c r="BL165" s="71">
        <f t="shared" si="169"/>
        <v>0.80187537387448049</v>
      </c>
      <c r="BM165" s="71">
        <f t="shared" si="170"/>
        <v>0.80187537387448049</v>
      </c>
      <c r="BN165" s="71">
        <f t="shared" si="171"/>
        <v>1.3888888888888877</v>
      </c>
      <c r="BO165" s="71">
        <f t="shared" si="172"/>
        <v>2.1215628217388081</v>
      </c>
      <c r="BP165" s="71">
        <f t="shared" si="173"/>
        <v>1.6037507477489585</v>
      </c>
      <c r="BQ165" s="91">
        <f t="shared" si="174"/>
        <v>1.3888888888888902</v>
      </c>
      <c r="BR165" s="75">
        <f t="shared" si="162"/>
        <v>100</v>
      </c>
      <c r="BS165" s="73">
        <f t="shared" si="163"/>
        <v>80.555555555555557</v>
      </c>
      <c r="BT165" s="73">
        <f t="shared" si="164"/>
        <v>63.888888888888893</v>
      </c>
      <c r="BU165" s="73">
        <f t="shared" si="165"/>
        <v>52.777777777777779</v>
      </c>
      <c r="BV165" s="73">
        <f t="shared" si="176"/>
        <v>50</v>
      </c>
      <c r="BW165" s="73">
        <f t="shared" si="177"/>
        <v>47.222222222222229</v>
      </c>
      <c r="BX165" s="73">
        <f t="shared" si="178"/>
        <v>44.44444444444445</v>
      </c>
      <c r="BY165" s="73">
        <f t="shared" si="179"/>
        <v>41.666666666666671</v>
      </c>
      <c r="BZ165" s="75">
        <f t="shared" si="175"/>
        <v>0</v>
      </c>
      <c r="CA165" s="73">
        <f t="shared" si="175"/>
        <v>19.444444444444443</v>
      </c>
      <c r="CB165" s="73">
        <f t="shared" si="175"/>
        <v>36.111111111111107</v>
      </c>
      <c r="CC165" s="73">
        <f t="shared" si="175"/>
        <v>47.222222222222221</v>
      </c>
      <c r="CD165" s="73">
        <f t="shared" si="175"/>
        <v>50</v>
      </c>
      <c r="CE165" s="73">
        <f t="shared" si="129"/>
        <v>52.777777777777771</v>
      </c>
      <c r="CF165" s="73">
        <f t="shared" si="129"/>
        <v>55.55555555555555</v>
      </c>
      <c r="CG165" s="265">
        <f t="shared" si="129"/>
        <v>58.333333333333329</v>
      </c>
    </row>
    <row r="166" spans="2:85" ht="15" customHeight="1" x14ac:dyDescent="0.3">
      <c r="B166" s="408">
        <v>41</v>
      </c>
      <c r="C166" s="411" t="s">
        <v>527</v>
      </c>
      <c r="D166" s="76" t="s">
        <v>802</v>
      </c>
      <c r="E166" s="77">
        <v>12</v>
      </c>
      <c r="F166" s="77">
        <v>12</v>
      </c>
      <c r="G166" s="78">
        <v>12</v>
      </c>
      <c r="H166" s="77">
        <f t="shared" si="166"/>
        <v>36</v>
      </c>
      <c r="I166" s="79">
        <v>9</v>
      </c>
      <c r="J166" s="79">
        <v>9</v>
      </c>
      <c r="K166" s="78">
        <v>9</v>
      </c>
      <c r="L166" s="79">
        <v>5</v>
      </c>
      <c r="M166" s="79">
        <v>5</v>
      </c>
      <c r="N166" s="78">
        <v>6</v>
      </c>
      <c r="O166" s="79">
        <v>2</v>
      </c>
      <c r="P166" s="79">
        <v>2</v>
      </c>
      <c r="Q166" s="78">
        <v>1</v>
      </c>
      <c r="R166" s="79">
        <v>1</v>
      </c>
      <c r="S166" s="79">
        <v>1</v>
      </c>
      <c r="T166" s="78">
        <v>0</v>
      </c>
      <c r="U166" s="79">
        <v>1</v>
      </c>
      <c r="V166" s="79">
        <v>0</v>
      </c>
      <c r="W166" s="78">
        <v>0</v>
      </c>
      <c r="X166" s="79">
        <v>0</v>
      </c>
      <c r="Y166" s="79">
        <v>0</v>
      </c>
      <c r="Z166" s="78">
        <v>0</v>
      </c>
      <c r="AA166" s="79">
        <v>0</v>
      </c>
      <c r="AB166" s="79">
        <v>0</v>
      </c>
      <c r="AC166" s="78">
        <v>0</v>
      </c>
      <c r="AD166" s="77">
        <f t="shared" si="130"/>
        <v>100</v>
      </c>
      <c r="AE166" s="77">
        <f t="shared" si="131"/>
        <v>100</v>
      </c>
      <c r="AF166" s="78">
        <f t="shared" si="132"/>
        <v>100</v>
      </c>
      <c r="AG166" s="77">
        <f t="shared" si="133"/>
        <v>75</v>
      </c>
      <c r="AH166" s="77">
        <f t="shared" si="134"/>
        <v>75</v>
      </c>
      <c r="AI166" s="78">
        <f t="shared" si="135"/>
        <v>75</v>
      </c>
      <c r="AJ166" s="77">
        <f t="shared" si="136"/>
        <v>41.666666666666671</v>
      </c>
      <c r="AK166" s="77">
        <f t="shared" si="137"/>
        <v>41.666666666666671</v>
      </c>
      <c r="AL166" s="78">
        <f t="shared" si="138"/>
        <v>50</v>
      </c>
      <c r="AM166" s="77">
        <f t="shared" si="139"/>
        <v>16.666666666666668</v>
      </c>
      <c r="AN166" s="77">
        <f t="shared" si="140"/>
        <v>16.666666666666668</v>
      </c>
      <c r="AO166" s="78">
        <f t="shared" si="141"/>
        <v>8.3333333333333339</v>
      </c>
      <c r="AP166" s="77">
        <f t="shared" si="142"/>
        <v>8.3333333333333339</v>
      </c>
      <c r="AQ166" s="77">
        <f t="shared" si="143"/>
        <v>8.3333333333333339</v>
      </c>
      <c r="AR166" s="78">
        <f t="shared" si="144"/>
        <v>0</v>
      </c>
      <c r="AS166" s="77">
        <f t="shared" si="145"/>
        <v>8.3333333333333339</v>
      </c>
      <c r="AT166" s="77">
        <f t="shared" si="146"/>
        <v>0</v>
      </c>
      <c r="AU166" s="78">
        <f t="shared" si="147"/>
        <v>0</v>
      </c>
      <c r="AV166" s="77">
        <f t="shared" si="148"/>
        <v>0</v>
      </c>
      <c r="AW166" s="77">
        <f t="shared" si="149"/>
        <v>0</v>
      </c>
      <c r="AX166" s="78">
        <f t="shared" si="150"/>
        <v>0</v>
      </c>
      <c r="AY166" s="77">
        <f t="shared" si="151"/>
        <v>0</v>
      </c>
      <c r="AZ166" s="77">
        <f t="shared" si="152"/>
        <v>0</v>
      </c>
      <c r="BA166" s="78">
        <f t="shared" si="153"/>
        <v>0</v>
      </c>
      <c r="BB166" s="80">
        <f t="shared" si="154"/>
        <v>0</v>
      </c>
      <c r="BC166" s="77">
        <f t="shared" si="155"/>
        <v>0</v>
      </c>
      <c r="BD166" s="77">
        <f t="shared" si="156"/>
        <v>4.8112522432468783</v>
      </c>
      <c r="BE166" s="77">
        <f t="shared" si="157"/>
        <v>4.8112522432468818</v>
      </c>
      <c r="BF166" s="77">
        <f t="shared" si="158"/>
        <v>4.8112522432468818</v>
      </c>
      <c r="BG166" s="77">
        <f t="shared" si="159"/>
        <v>4.8112522432468818</v>
      </c>
      <c r="BH166" s="77">
        <f t="shared" si="160"/>
        <v>0</v>
      </c>
      <c r="BI166" s="77">
        <f t="shared" si="161"/>
        <v>0</v>
      </c>
      <c r="BJ166" s="80">
        <f t="shared" si="167"/>
        <v>0</v>
      </c>
      <c r="BK166" s="77">
        <f t="shared" si="168"/>
        <v>0</v>
      </c>
      <c r="BL166" s="77">
        <f t="shared" si="169"/>
        <v>0.80187537387447971</v>
      </c>
      <c r="BM166" s="77">
        <f t="shared" si="170"/>
        <v>0.80187537387448027</v>
      </c>
      <c r="BN166" s="77">
        <f t="shared" si="171"/>
        <v>0.80187537387448027</v>
      </c>
      <c r="BO166" s="77">
        <f t="shared" si="172"/>
        <v>0.80187537387448027</v>
      </c>
      <c r="BP166" s="77">
        <f t="shared" si="173"/>
        <v>0</v>
      </c>
      <c r="BQ166" s="92">
        <f t="shared" si="174"/>
        <v>0</v>
      </c>
      <c r="BR166" s="81">
        <f t="shared" si="162"/>
        <v>100</v>
      </c>
      <c r="BS166" s="79">
        <f t="shared" si="163"/>
        <v>75</v>
      </c>
      <c r="BT166" s="79">
        <f t="shared" si="164"/>
        <v>44.44444444444445</v>
      </c>
      <c r="BU166" s="79">
        <f t="shared" si="165"/>
        <v>13.888888888888891</v>
      </c>
      <c r="BV166" s="79">
        <f t="shared" si="176"/>
        <v>5.5555555555555562</v>
      </c>
      <c r="BW166" s="79">
        <f t="shared" si="177"/>
        <v>2.7777777777777781</v>
      </c>
      <c r="BX166" s="79">
        <f t="shared" si="178"/>
        <v>0</v>
      </c>
      <c r="BY166" s="79">
        <f t="shared" si="179"/>
        <v>0</v>
      </c>
      <c r="BZ166" s="81">
        <f t="shared" si="175"/>
        <v>0</v>
      </c>
      <c r="CA166" s="79">
        <f t="shared" si="175"/>
        <v>25</v>
      </c>
      <c r="CB166" s="79">
        <f t="shared" si="175"/>
        <v>55.55555555555555</v>
      </c>
      <c r="CC166" s="79">
        <f t="shared" si="175"/>
        <v>86.111111111111114</v>
      </c>
      <c r="CD166" s="79">
        <f t="shared" si="175"/>
        <v>94.444444444444443</v>
      </c>
      <c r="CE166" s="79">
        <f t="shared" si="129"/>
        <v>97.222222222222229</v>
      </c>
      <c r="CF166" s="79">
        <f t="shared" si="129"/>
        <v>100</v>
      </c>
      <c r="CG166" s="264">
        <f t="shared" si="129"/>
        <v>100</v>
      </c>
    </row>
    <row r="167" spans="2:85" x14ac:dyDescent="0.3">
      <c r="B167" s="409"/>
      <c r="C167" s="412"/>
      <c r="D167" s="70" t="s">
        <v>803</v>
      </c>
      <c r="E167" s="65">
        <v>12</v>
      </c>
      <c r="F167" s="65">
        <v>12</v>
      </c>
      <c r="G167" s="66">
        <v>12</v>
      </c>
      <c r="H167" s="65">
        <f t="shared" si="166"/>
        <v>36</v>
      </c>
      <c r="I167" s="67">
        <v>8</v>
      </c>
      <c r="J167" s="67">
        <v>9</v>
      </c>
      <c r="K167" s="66">
        <v>8</v>
      </c>
      <c r="L167" s="67">
        <v>5</v>
      </c>
      <c r="M167" s="67">
        <v>6</v>
      </c>
      <c r="N167" s="66">
        <v>6</v>
      </c>
      <c r="O167" s="67">
        <v>2</v>
      </c>
      <c r="P167" s="67">
        <v>3</v>
      </c>
      <c r="Q167" s="66">
        <v>3</v>
      </c>
      <c r="R167" s="67">
        <v>1</v>
      </c>
      <c r="S167" s="67">
        <v>2</v>
      </c>
      <c r="T167" s="66">
        <v>1</v>
      </c>
      <c r="U167" s="67">
        <v>1</v>
      </c>
      <c r="V167" s="67">
        <v>0</v>
      </c>
      <c r="W167" s="66">
        <v>0</v>
      </c>
      <c r="X167" s="67">
        <v>0</v>
      </c>
      <c r="Y167" s="67">
        <v>0</v>
      </c>
      <c r="Z167" s="66">
        <v>0</v>
      </c>
      <c r="AA167" s="67">
        <v>0</v>
      </c>
      <c r="AB167" s="67">
        <v>0</v>
      </c>
      <c r="AC167" s="66">
        <v>0</v>
      </c>
      <c r="AD167" s="65">
        <f t="shared" si="130"/>
        <v>100</v>
      </c>
      <c r="AE167" s="65">
        <f t="shared" si="131"/>
        <v>100</v>
      </c>
      <c r="AF167" s="66">
        <f t="shared" si="132"/>
        <v>100</v>
      </c>
      <c r="AG167" s="65">
        <f t="shared" si="133"/>
        <v>66.666666666666671</v>
      </c>
      <c r="AH167" s="65">
        <f t="shared" si="134"/>
        <v>75</v>
      </c>
      <c r="AI167" s="66">
        <f t="shared" si="135"/>
        <v>66.666666666666671</v>
      </c>
      <c r="AJ167" s="65">
        <f t="shared" si="136"/>
        <v>41.666666666666671</v>
      </c>
      <c r="AK167" s="65">
        <f t="shared" si="137"/>
        <v>50</v>
      </c>
      <c r="AL167" s="66">
        <f t="shared" si="138"/>
        <v>50</v>
      </c>
      <c r="AM167" s="65">
        <f t="shared" si="139"/>
        <v>16.666666666666668</v>
      </c>
      <c r="AN167" s="65">
        <f t="shared" si="140"/>
        <v>25</v>
      </c>
      <c r="AO167" s="66">
        <f t="shared" si="141"/>
        <v>25</v>
      </c>
      <c r="AP167" s="65">
        <f t="shared" si="142"/>
        <v>8.3333333333333339</v>
      </c>
      <c r="AQ167" s="65">
        <f t="shared" si="143"/>
        <v>16.666666666666668</v>
      </c>
      <c r="AR167" s="66">
        <f t="shared" si="144"/>
        <v>8.3333333333333339</v>
      </c>
      <c r="AS167" s="65">
        <f t="shared" si="145"/>
        <v>8.3333333333333339</v>
      </c>
      <c r="AT167" s="65">
        <f t="shared" si="146"/>
        <v>0</v>
      </c>
      <c r="AU167" s="66">
        <f t="shared" si="147"/>
        <v>0</v>
      </c>
      <c r="AV167" s="65">
        <f t="shared" si="148"/>
        <v>0</v>
      </c>
      <c r="AW167" s="65">
        <f t="shared" si="149"/>
        <v>0</v>
      </c>
      <c r="AX167" s="66">
        <f t="shared" si="150"/>
        <v>0</v>
      </c>
      <c r="AY167" s="65">
        <f t="shared" si="151"/>
        <v>0</v>
      </c>
      <c r="AZ167" s="65">
        <f t="shared" si="152"/>
        <v>0</v>
      </c>
      <c r="BA167" s="66">
        <f t="shared" si="153"/>
        <v>0</v>
      </c>
      <c r="BB167" s="68">
        <f t="shared" si="154"/>
        <v>0</v>
      </c>
      <c r="BC167" s="65">
        <f t="shared" si="155"/>
        <v>4.8112522432468792</v>
      </c>
      <c r="BD167" s="65">
        <f t="shared" si="156"/>
        <v>4.8112522432468783</v>
      </c>
      <c r="BE167" s="65">
        <f t="shared" si="157"/>
        <v>4.8112522432468703</v>
      </c>
      <c r="BF167" s="65">
        <f t="shared" si="158"/>
        <v>4.8112522432468818</v>
      </c>
      <c r="BG167" s="65">
        <f t="shared" si="159"/>
        <v>4.8112522432468818</v>
      </c>
      <c r="BH167" s="65">
        <f t="shared" si="160"/>
        <v>0</v>
      </c>
      <c r="BI167" s="65">
        <f t="shared" si="161"/>
        <v>0</v>
      </c>
      <c r="BJ167" s="68">
        <f t="shared" si="167"/>
        <v>0</v>
      </c>
      <c r="BK167" s="65">
        <f t="shared" si="168"/>
        <v>0.80187537387447982</v>
      </c>
      <c r="BL167" s="65">
        <f t="shared" si="169"/>
        <v>0.80187537387447971</v>
      </c>
      <c r="BM167" s="65">
        <f t="shared" si="170"/>
        <v>0.80187537387447838</v>
      </c>
      <c r="BN167" s="65">
        <f t="shared" si="171"/>
        <v>0.80187537387448027</v>
      </c>
      <c r="BO167" s="65">
        <f t="shared" si="172"/>
        <v>0.80187537387448027</v>
      </c>
      <c r="BP167" s="65">
        <f t="shared" si="173"/>
        <v>0</v>
      </c>
      <c r="BQ167" s="90">
        <f t="shared" si="174"/>
        <v>0</v>
      </c>
      <c r="BR167" s="69">
        <f t="shared" si="162"/>
        <v>100</v>
      </c>
      <c r="BS167" s="67">
        <f t="shared" si="163"/>
        <v>69.444444444444457</v>
      </c>
      <c r="BT167" s="67">
        <f t="shared" si="164"/>
        <v>47.222222222222229</v>
      </c>
      <c r="BU167" s="67">
        <f t="shared" si="165"/>
        <v>22.222222222222225</v>
      </c>
      <c r="BV167" s="67">
        <f t="shared" si="176"/>
        <v>11.111111111111112</v>
      </c>
      <c r="BW167" s="67">
        <f t="shared" si="177"/>
        <v>2.7777777777777781</v>
      </c>
      <c r="BX167" s="67">
        <f t="shared" si="178"/>
        <v>0</v>
      </c>
      <c r="BY167" s="67">
        <f t="shared" si="179"/>
        <v>0</v>
      </c>
      <c r="BZ167" s="69">
        <f t="shared" si="175"/>
        <v>0</v>
      </c>
      <c r="CA167" s="67">
        <f t="shared" si="175"/>
        <v>30.555555555555543</v>
      </c>
      <c r="CB167" s="67">
        <f t="shared" si="175"/>
        <v>52.777777777777771</v>
      </c>
      <c r="CC167" s="67">
        <f t="shared" si="175"/>
        <v>77.777777777777771</v>
      </c>
      <c r="CD167" s="67">
        <f t="shared" si="175"/>
        <v>88.888888888888886</v>
      </c>
      <c r="CE167" s="67">
        <f t="shared" si="129"/>
        <v>97.222222222222229</v>
      </c>
      <c r="CF167" s="67">
        <f t="shared" si="129"/>
        <v>100</v>
      </c>
      <c r="CG167" s="116">
        <f t="shared" si="129"/>
        <v>100</v>
      </c>
    </row>
    <row r="168" spans="2:85" x14ac:dyDescent="0.3">
      <c r="B168" s="409"/>
      <c r="C168" s="412"/>
      <c r="D168" s="70" t="s">
        <v>804</v>
      </c>
      <c r="E168" s="65">
        <v>12</v>
      </c>
      <c r="F168" s="65">
        <v>12</v>
      </c>
      <c r="G168" s="66">
        <v>12</v>
      </c>
      <c r="H168" s="65">
        <f t="shared" si="166"/>
        <v>36</v>
      </c>
      <c r="I168" s="67">
        <v>9</v>
      </c>
      <c r="J168" s="67">
        <v>9</v>
      </c>
      <c r="K168" s="66">
        <v>10</v>
      </c>
      <c r="L168" s="67">
        <v>6</v>
      </c>
      <c r="M168" s="67">
        <v>8</v>
      </c>
      <c r="N168" s="66">
        <v>7</v>
      </c>
      <c r="O168" s="67">
        <v>3</v>
      </c>
      <c r="P168" s="67">
        <v>4</v>
      </c>
      <c r="Q168" s="66">
        <v>5</v>
      </c>
      <c r="R168" s="67">
        <v>2</v>
      </c>
      <c r="S168" s="67">
        <v>3</v>
      </c>
      <c r="T168" s="66">
        <v>3</v>
      </c>
      <c r="U168" s="67">
        <v>1</v>
      </c>
      <c r="V168" s="67">
        <v>2</v>
      </c>
      <c r="W168" s="66">
        <v>2</v>
      </c>
      <c r="X168" s="67">
        <v>1</v>
      </c>
      <c r="Y168" s="67">
        <v>2</v>
      </c>
      <c r="Z168" s="66">
        <v>1</v>
      </c>
      <c r="AA168" s="67">
        <v>1</v>
      </c>
      <c r="AB168" s="67">
        <v>1</v>
      </c>
      <c r="AC168" s="66">
        <v>1</v>
      </c>
      <c r="AD168" s="65">
        <f t="shared" si="130"/>
        <v>100</v>
      </c>
      <c r="AE168" s="65">
        <f t="shared" si="131"/>
        <v>100</v>
      </c>
      <c r="AF168" s="66">
        <f t="shared" si="132"/>
        <v>100</v>
      </c>
      <c r="AG168" s="65">
        <f t="shared" si="133"/>
        <v>75</v>
      </c>
      <c r="AH168" s="65">
        <f t="shared" si="134"/>
        <v>75</v>
      </c>
      <c r="AI168" s="66">
        <f t="shared" si="135"/>
        <v>83.333333333333343</v>
      </c>
      <c r="AJ168" s="65">
        <f t="shared" si="136"/>
        <v>50</v>
      </c>
      <c r="AK168" s="65">
        <f t="shared" si="137"/>
        <v>66.666666666666671</v>
      </c>
      <c r="AL168" s="66">
        <f t="shared" si="138"/>
        <v>58.333333333333336</v>
      </c>
      <c r="AM168" s="65">
        <f t="shared" si="139"/>
        <v>25</v>
      </c>
      <c r="AN168" s="65">
        <f t="shared" si="140"/>
        <v>33.333333333333336</v>
      </c>
      <c r="AO168" s="66">
        <f t="shared" si="141"/>
        <v>41.666666666666671</v>
      </c>
      <c r="AP168" s="65">
        <f t="shared" si="142"/>
        <v>16.666666666666668</v>
      </c>
      <c r="AQ168" s="65">
        <f t="shared" si="143"/>
        <v>25</v>
      </c>
      <c r="AR168" s="66">
        <f t="shared" si="144"/>
        <v>25</v>
      </c>
      <c r="AS168" s="65">
        <f t="shared" si="145"/>
        <v>8.3333333333333339</v>
      </c>
      <c r="AT168" s="65">
        <f t="shared" si="146"/>
        <v>16.666666666666668</v>
      </c>
      <c r="AU168" s="66">
        <f t="shared" si="147"/>
        <v>16.666666666666668</v>
      </c>
      <c r="AV168" s="65">
        <f t="shared" si="148"/>
        <v>8.3333333333333339</v>
      </c>
      <c r="AW168" s="65">
        <f t="shared" si="149"/>
        <v>16.666666666666668</v>
      </c>
      <c r="AX168" s="66">
        <f t="shared" si="150"/>
        <v>8.3333333333333339</v>
      </c>
      <c r="AY168" s="65">
        <f t="shared" si="151"/>
        <v>8.3333333333333339</v>
      </c>
      <c r="AZ168" s="65">
        <f t="shared" si="152"/>
        <v>8.3333333333333339</v>
      </c>
      <c r="BA168" s="66">
        <f t="shared" si="153"/>
        <v>8.3333333333333339</v>
      </c>
      <c r="BB168" s="68">
        <f t="shared" si="154"/>
        <v>0</v>
      </c>
      <c r="BC168" s="65">
        <f t="shared" si="155"/>
        <v>4.8112522432468872</v>
      </c>
      <c r="BD168" s="65">
        <f t="shared" si="156"/>
        <v>8.3333333333333268</v>
      </c>
      <c r="BE168" s="65">
        <f t="shared" si="157"/>
        <v>8.333333333333341</v>
      </c>
      <c r="BF168" s="65">
        <f t="shared" si="158"/>
        <v>4.8112522432468703</v>
      </c>
      <c r="BG168" s="65">
        <f t="shared" si="159"/>
        <v>4.8112522432468818</v>
      </c>
      <c r="BH168" s="65">
        <f t="shared" si="160"/>
        <v>4.8112522432468818</v>
      </c>
      <c r="BI168" s="65">
        <f t="shared" si="161"/>
        <v>0</v>
      </c>
      <c r="BJ168" s="68">
        <f t="shared" si="167"/>
        <v>0</v>
      </c>
      <c r="BK168" s="65">
        <f t="shared" si="168"/>
        <v>0.80187537387448116</v>
      </c>
      <c r="BL168" s="65">
        <f t="shared" si="169"/>
        <v>1.3888888888888877</v>
      </c>
      <c r="BM168" s="65">
        <f t="shared" si="170"/>
        <v>1.3888888888888902</v>
      </c>
      <c r="BN168" s="65">
        <f t="shared" si="171"/>
        <v>0.80187537387447838</v>
      </c>
      <c r="BO168" s="65">
        <f t="shared" si="172"/>
        <v>0.80187537387448027</v>
      </c>
      <c r="BP168" s="65">
        <f t="shared" si="173"/>
        <v>0.80187537387448027</v>
      </c>
      <c r="BQ168" s="90">
        <f t="shared" si="174"/>
        <v>0</v>
      </c>
      <c r="BR168" s="69">
        <f t="shared" si="162"/>
        <v>100</v>
      </c>
      <c r="BS168" s="67">
        <f t="shared" si="163"/>
        <v>77.777777777777786</v>
      </c>
      <c r="BT168" s="67">
        <f t="shared" si="164"/>
        <v>58.333333333333336</v>
      </c>
      <c r="BU168" s="67">
        <f t="shared" si="165"/>
        <v>33.333333333333336</v>
      </c>
      <c r="BV168" s="67">
        <f t="shared" si="176"/>
        <v>22.222222222222225</v>
      </c>
      <c r="BW168" s="67">
        <f t="shared" si="177"/>
        <v>13.888888888888891</v>
      </c>
      <c r="BX168" s="67">
        <f t="shared" si="178"/>
        <v>13.888888888888891</v>
      </c>
      <c r="BY168" s="67">
        <f t="shared" si="179"/>
        <v>13.888888888888891</v>
      </c>
      <c r="BZ168" s="69">
        <f t="shared" si="175"/>
        <v>0</v>
      </c>
      <c r="CA168" s="67">
        <f t="shared" si="175"/>
        <v>22.222222222222214</v>
      </c>
      <c r="CB168" s="67">
        <f t="shared" si="175"/>
        <v>41.666666666666664</v>
      </c>
      <c r="CC168" s="67">
        <f t="shared" si="175"/>
        <v>66.666666666666657</v>
      </c>
      <c r="CD168" s="67">
        <f t="shared" si="175"/>
        <v>77.777777777777771</v>
      </c>
      <c r="CE168" s="67">
        <f t="shared" si="129"/>
        <v>86.111111111111114</v>
      </c>
      <c r="CF168" s="67">
        <f t="shared" si="129"/>
        <v>86.111111111111114</v>
      </c>
      <c r="CG168" s="116">
        <f t="shared" si="129"/>
        <v>86.111111111111114</v>
      </c>
    </row>
    <row r="169" spans="2:85" x14ac:dyDescent="0.3">
      <c r="B169" s="410"/>
      <c r="C169" s="413"/>
      <c r="D169" s="70" t="s">
        <v>805</v>
      </c>
      <c r="E169" s="71">
        <v>12</v>
      </c>
      <c r="F169" s="71">
        <v>12</v>
      </c>
      <c r="G169" s="72">
        <v>12</v>
      </c>
      <c r="H169" s="71">
        <f t="shared" si="166"/>
        <v>36</v>
      </c>
      <c r="I169" s="73">
        <v>8</v>
      </c>
      <c r="J169" s="73">
        <v>9</v>
      </c>
      <c r="K169" s="72">
        <v>9</v>
      </c>
      <c r="L169" s="73">
        <v>7</v>
      </c>
      <c r="M169" s="73">
        <v>6</v>
      </c>
      <c r="N169" s="72">
        <v>7</v>
      </c>
      <c r="O169" s="73">
        <v>5</v>
      </c>
      <c r="P169" s="73">
        <v>5</v>
      </c>
      <c r="Q169" s="72">
        <v>5</v>
      </c>
      <c r="R169" s="73">
        <v>4</v>
      </c>
      <c r="S169" s="73">
        <v>5</v>
      </c>
      <c r="T169" s="72">
        <v>4</v>
      </c>
      <c r="U169" s="73">
        <v>1</v>
      </c>
      <c r="V169" s="73">
        <v>1</v>
      </c>
      <c r="W169" s="72">
        <v>0</v>
      </c>
      <c r="X169" s="73">
        <v>1</v>
      </c>
      <c r="Y169" s="73">
        <v>1</v>
      </c>
      <c r="Z169" s="72">
        <v>0</v>
      </c>
      <c r="AA169" s="73">
        <v>1</v>
      </c>
      <c r="AB169" s="73">
        <v>1</v>
      </c>
      <c r="AC169" s="72">
        <v>0</v>
      </c>
      <c r="AD169" s="71">
        <f t="shared" si="130"/>
        <v>100</v>
      </c>
      <c r="AE169" s="71">
        <f t="shared" si="131"/>
        <v>100</v>
      </c>
      <c r="AF169" s="72">
        <f t="shared" si="132"/>
        <v>100</v>
      </c>
      <c r="AG169" s="71">
        <f t="shared" si="133"/>
        <v>66.666666666666671</v>
      </c>
      <c r="AH169" s="71">
        <f t="shared" si="134"/>
        <v>75</v>
      </c>
      <c r="AI169" s="72">
        <f t="shared" si="135"/>
        <v>75</v>
      </c>
      <c r="AJ169" s="71">
        <f t="shared" si="136"/>
        <v>58.333333333333336</v>
      </c>
      <c r="AK169" s="71">
        <f t="shared" si="137"/>
        <v>50</v>
      </c>
      <c r="AL169" s="72">
        <f t="shared" si="138"/>
        <v>58.333333333333336</v>
      </c>
      <c r="AM169" s="71">
        <f t="shared" si="139"/>
        <v>41.666666666666671</v>
      </c>
      <c r="AN169" s="71">
        <f t="shared" si="140"/>
        <v>41.666666666666671</v>
      </c>
      <c r="AO169" s="72">
        <f t="shared" si="141"/>
        <v>41.666666666666671</v>
      </c>
      <c r="AP169" s="71">
        <f t="shared" si="142"/>
        <v>33.333333333333336</v>
      </c>
      <c r="AQ169" s="71">
        <f t="shared" si="143"/>
        <v>41.666666666666671</v>
      </c>
      <c r="AR169" s="72">
        <f t="shared" si="144"/>
        <v>33.333333333333336</v>
      </c>
      <c r="AS169" s="71">
        <f t="shared" si="145"/>
        <v>8.3333333333333339</v>
      </c>
      <c r="AT169" s="71">
        <f t="shared" si="146"/>
        <v>8.3333333333333339</v>
      </c>
      <c r="AU169" s="72">
        <f t="shared" si="147"/>
        <v>0</v>
      </c>
      <c r="AV169" s="71">
        <f t="shared" si="148"/>
        <v>8.3333333333333339</v>
      </c>
      <c r="AW169" s="71">
        <f t="shared" si="149"/>
        <v>8.3333333333333339</v>
      </c>
      <c r="AX169" s="72">
        <f t="shared" si="150"/>
        <v>0</v>
      </c>
      <c r="AY169" s="71">
        <f t="shared" si="151"/>
        <v>8.3333333333333339</v>
      </c>
      <c r="AZ169" s="71">
        <f t="shared" si="152"/>
        <v>8.3333333333333339</v>
      </c>
      <c r="BA169" s="72">
        <f t="shared" si="153"/>
        <v>0</v>
      </c>
      <c r="BB169" s="74">
        <f t="shared" si="154"/>
        <v>0</v>
      </c>
      <c r="BC169" s="71">
        <f t="shared" si="155"/>
        <v>4.8112522432468783</v>
      </c>
      <c r="BD169" s="71">
        <f t="shared" si="156"/>
        <v>4.8112522432468827</v>
      </c>
      <c r="BE169" s="71">
        <f t="shared" si="157"/>
        <v>0</v>
      </c>
      <c r="BF169" s="71">
        <f t="shared" si="158"/>
        <v>4.8112522432468703</v>
      </c>
      <c r="BG169" s="71">
        <f t="shared" si="159"/>
        <v>4.8112522432468818</v>
      </c>
      <c r="BH169" s="71">
        <f t="shared" si="160"/>
        <v>4.8112522432468818</v>
      </c>
      <c r="BI169" s="71">
        <f t="shared" si="161"/>
        <v>4.8112522432468818</v>
      </c>
      <c r="BJ169" s="74">
        <f t="shared" si="167"/>
        <v>0</v>
      </c>
      <c r="BK169" s="71">
        <f t="shared" si="168"/>
        <v>0.80187537387447971</v>
      </c>
      <c r="BL169" s="71">
        <f t="shared" si="169"/>
        <v>0.80187537387448049</v>
      </c>
      <c r="BM169" s="71">
        <f t="shared" si="170"/>
        <v>0</v>
      </c>
      <c r="BN169" s="71">
        <f t="shared" si="171"/>
        <v>0.80187537387447838</v>
      </c>
      <c r="BO169" s="71">
        <f t="shared" si="172"/>
        <v>0.80187537387448027</v>
      </c>
      <c r="BP169" s="71">
        <f t="shared" si="173"/>
        <v>0.80187537387448027</v>
      </c>
      <c r="BQ169" s="91">
        <f t="shared" si="174"/>
        <v>0.80187537387448027</v>
      </c>
      <c r="BR169" s="75">
        <f t="shared" si="162"/>
        <v>100</v>
      </c>
      <c r="BS169" s="73">
        <f t="shared" si="163"/>
        <v>72.222222222222229</v>
      </c>
      <c r="BT169" s="73">
        <f t="shared" si="164"/>
        <v>55.555555555555564</v>
      </c>
      <c r="BU169" s="73">
        <f t="shared" si="165"/>
        <v>41.666666666666671</v>
      </c>
      <c r="BV169" s="73">
        <f t="shared" si="176"/>
        <v>36.111111111111114</v>
      </c>
      <c r="BW169" s="73">
        <f t="shared" si="177"/>
        <v>5.5555555555555562</v>
      </c>
      <c r="BX169" s="73">
        <f t="shared" si="178"/>
        <v>5.5555555555555562</v>
      </c>
      <c r="BY169" s="73">
        <f t="shared" si="179"/>
        <v>5.5555555555555562</v>
      </c>
      <c r="BZ169" s="75">
        <f t="shared" si="175"/>
        <v>0</v>
      </c>
      <c r="CA169" s="73">
        <f t="shared" si="175"/>
        <v>27.777777777777771</v>
      </c>
      <c r="CB169" s="73">
        <f t="shared" si="175"/>
        <v>44.444444444444436</v>
      </c>
      <c r="CC169" s="73">
        <f t="shared" si="175"/>
        <v>58.333333333333329</v>
      </c>
      <c r="CD169" s="73">
        <f t="shared" si="175"/>
        <v>63.888888888888886</v>
      </c>
      <c r="CE169" s="73">
        <f t="shared" si="129"/>
        <v>94.444444444444443</v>
      </c>
      <c r="CF169" s="73">
        <f t="shared" si="129"/>
        <v>94.444444444444443</v>
      </c>
      <c r="CG169" s="265">
        <f t="shared" si="129"/>
        <v>94.444444444444443</v>
      </c>
    </row>
    <row r="170" spans="2:85" ht="15" customHeight="1" x14ac:dyDescent="0.3">
      <c r="B170" s="408">
        <v>42</v>
      </c>
      <c r="C170" s="411" t="s">
        <v>535</v>
      </c>
      <c r="D170" s="76" t="s">
        <v>802</v>
      </c>
      <c r="E170" s="77">
        <v>10</v>
      </c>
      <c r="F170" s="77">
        <v>11</v>
      </c>
      <c r="G170" s="78">
        <v>10</v>
      </c>
      <c r="H170" s="77">
        <f t="shared" si="166"/>
        <v>31</v>
      </c>
      <c r="I170" s="79">
        <v>9</v>
      </c>
      <c r="J170" s="79">
        <v>9</v>
      </c>
      <c r="K170" s="78">
        <v>10</v>
      </c>
      <c r="L170" s="79">
        <v>5</v>
      </c>
      <c r="M170" s="79">
        <v>6</v>
      </c>
      <c r="N170" s="78">
        <v>3</v>
      </c>
      <c r="O170" s="79">
        <v>0</v>
      </c>
      <c r="P170" s="79">
        <v>0</v>
      </c>
      <c r="Q170" s="78">
        <v>0</v>
      </c>
      <c r="R170" s="79">
        <v>0</v>
      </c>
      <c r="S170" s="79">
        <v>0</v>
      </c>
      <c r="T170" s="78">
        <v>0</v>
      </c>
      <c r="U170" s="79">
        <v>0</v>
      </c>
      <c r="V170" s="79">
        <v>0</v>
      </c>
      <c r="W170" s="78">
        <v>0</v>
      </c>
      <c r="X170" s="79">
        <v>0</v>
      </c>
      <c r="Y170" s="79">
        <v>0</v>
      </c>
      <c r="Z170" s="78">
        <v>0</v>
      </c>
      <c r="AA170" s="79">
        <v>0</v>
      </c>
      <c r="AB170" s="79">
        <v>0</v>
      </c>
      <c r="AC170" s="78">
        <v>0</v>
      </c>
      <c r="AD170" s="77">
        <f t="shared" si="130"/>
        <v>100</v>
      </c>
      <c r="AE170" s="77">
        <f t="shared" si="131"/>
        <v>100.00000000000001</v>
      </c>
      <c r="AF170" s="78">
        <f t="shared" si="132"/>
        <v>100</v>
      </c>
      <c r="AG170" s="77">
        <f t="shared" si="133"/>
        <v>90</v>
      </c>
      <c r="AH170" s="77">
        <f t="shared" si="134"/>
        <v>81.818181818181827</v>
      </c>
      <c r="AI170" s="78">
        <f t="shared" si="135"/>
        <v>100</v>
      </c>
      <c r="AJ170" s="77">
        <f t="shared" si="136"/>
        <v>50</v>
      </c>
      <c r="AK170" s="77">
        <f t="shared" si="137"/>
        <v>54.545454545454547</v>
      </c>
      <c r="AL170" s="78">
        <f t="shared" si="138"/>
        <v>30</v>
      </c>
      <c r="AM170" s="77">
        <f t="shared" si="139"/>
        <v>0</v>
      </c>
      <c r="AN170" s="77">
        <f t="shared" si="140"/>
        <v>0</v>
      </c>
      <c r="AO170" s="78">
        <f t="shared" si="141"/>
        <v>0</v>
      </c>
      <c r="AP170" s="77">
        <f t="shared" si="142"/>
        <v>0</v>
      </c>
      <c r="AQ170" s="77">
        <f t="shared" si="143"/>
        <v>0</v>
      </c>
      <c r="AR170" s="78">
        <f t="shared" si="144"/>
        <v>0</v>
      </c>
      <c r="AS170" s="77">
        <f t="shared" si="145"/>
        <v>0</v>
      </c>
      <c r="AT170" s="77">
        <f t="shared" si="146"/>
        <v>0</v>
      </c>
      <c r="AU170" s="78">
        <f t="shared" si="147"/>
        <v>0</v>
      </c>
      <c r="AV170" s="77">
        <f t="shared" si="148"/>
        <v>0</v>
      </c>
      <c r="AW170" s="77">
        <f t="shared" si="149"/>
        <v>0</v>
      </c>
      <c r="AX170" s="78">
        <f t="shared" si="150"/>
        <v>0</v>
      </c>
      <c r="AY170" s="77">
        <f t="shared" si="151"/>
        <v>0</v>
      </c>
      <c r="AZ170" s="77">
        <f t="shared" si="152"/>
        <v>0</v>
      </c>
      <c r="BA170" s="78">
        <f t="shared" si="153"/>
        <v>0</v>
      </c>
      <c r="BB170" s="80">
        <f t="shared" si="154"/>
        <v>1.0048591735576161E-14</v>
      </c>
      <c r="BC170" s="77">
        <f t="shared" si="155"/>
        <v>9.1060480007980082</v>
      </c>
      <c r="BD170" s="77">
        <f t="shared" si="156"/>
        <v>13.058461470554681</v>
      </c>
      <c r="BE170" s="77">
        <f t="shared" si="157"/>
        <v>0</v>
      </c>
      <c r="BF170" s="77">
        <f t="shared" si="158"/>
        <v>0</v>
      </c>
      <c r="BG170" s="77">
        <f t="shared" si="159"/>
        <v>0</v>
      </c>
      <c r="BH170" s="77">
        <f t="shared" si="160"/>
        <v>0</v>
      </c>
      <c r="BI170" s="77">
        <f t="shared" si="161"/>
        <v>0</v>
      </c>
      <c r="BJ170" s="80">
        <f t="shared" si="167"/>
        <v>1.8047803536119105E-15</v>
      </c>
      <c r="BK170" s="77">
        <f t="shared" si="168"/>
        <v>1.6354945014536362</v>
      </c>
      <c r="BL170" s="77">
        <f t="shared" si="169"/>
        <v>2.3453689164239768</v>
      </c>
      <c r="BM170" s="77">
        <f t="shared" si="170"/>
        <v>0</v>
      </c>
      <c r="BN170" s="77">
        <f t="shared" si="171"/>
        <v>0</v>
      </c>
      <c r="BO170" s="77">
        <f t="shared" si="172"/>
        <v>0</v>
      </c>
      <c r="BP170" s="77">
        <f t="shared" si="173"/>
        <v>0</v>
      </c>
      <c r="BQ170" s="92">
        <f t="shared" si="174"/>
        <v>0</v>
      </c>
      <c r="BR170" s="81">
        <f t="shared" si="162"/>
        <v>100</v>
      </c>
      <c r="BS170" s="79">
        <f t="shared" si="163"/>
        <v>90.606060606060609</v>
      </c>
      <c r="BT170" s="79">
        <f t="shared" si="164"/>
        <v>44.848484848484851</v>
      </c>
      <c r="BU170" s="79">
        <f t="shared" si="165"/>
        <v>0</v>
      </c>
      <c r="BV170" s="79">
        <f t="shared" si="176"/>
        <v>0</v>
      </c>
      <c r="BW170" s="79">
        <f t="shared" si="177"/>
        <v>0</v>
      </c>
      <c r="BX170" s="79">
        <f t="shared" si="178"/>
        <v>0</v>
      </c>
      <c r="BY170" s="79">
        <f t="shared" si="179"/>
        <v>0</v>
      </c>
      <c r="BZ170" s="81">
        <f t="shared" si="175"/>
        <v>0</v>
      </c>
      <c r="CA170" s="79">
        <f t="shared" si="175"/>
        <v>9.3939393939393909</v>
      </c>
      <c r="CB170" s="79">
        <f t="shared" si="175"/>
        <v>55.151515151515149</v>
      </c>
      <c r="CC170" s="79">
        <f t="shared" si="175"/>
        <v>100</v>
      </c>
      <c r="CD170" s="79">
        <f t="shared" si="175"/>
        <v>100</v>
      </c>
      <c r="CE170" s="79">
        <f t="shared" si="129"/>
        <v>100</v>
      </c>
      <c r="CF170" s="79">
        <f t="shared" si="129"/>
        <v>100</v>
      </c>
      <c r="CG170" s="264">
        <f t="shared" si="129"/>
        <v>100</v>
      </c>
    </row>
    <row r="171" spans="2:85" x14ac:dyDescent="0.3">
      <c r="B171" s="409"/>
      <c r="C171" s="412"/>
      <c r="D171" s="70" t="s">
        <v>803</v>
      </c>
      <c r="E171" s="65">
        <v>16</v>
      </c>
      <c r="F171" s="65">
        <v>14</v>
      </c>
      <c r="G171" s="66">
        <v>15</v>
      </c>
      <c r="H171" s="65">
        <f t="shared" si="166"/>
        <v>45</v>
      </c>
      <c r="I171" s="67">
        <v>16</v>
      </c>
      <c r="J171" s="67">
        <v>14</v>
      </c>
      <c r="K171" s="66">
        <v>15</v>
      </c>
      <c r="L171" s="67">
        <v>12</v>
      </c>
      <c r="M171" s="67">
        <v>9</v>
      </c>
      <c r="N171" s="66">
        <v>10</v>
      </c>
      <c r="O171" s="67">
        <v>0</v>
      </c>
      <c r="P171" s="67">
        <v>3</v>
      </c>
      <c r="Q171" s="66">
        <v>2</v>
      </c>
      <c r="R171" s="67">
        <v>0</v>
      </c>
      <c r="S171" s="67">
        <v>2</v>
      </c>
      <c r="T171" s="66">
        <v>0</v>
      </c>
      <c r="U171" s="67">
        <v>0</v>
      </c>
      <c r="V171" s="67">
        <v>2</v>
      </c>
      <c r="W171" s="66">
        <v>0</v>
      </c>
      <c r="X171" s="67">
        <v>0</v>
      </c>
      <c r="Y171" s="67">
        <v>1</v>
      </c>
      <c r="Z171" s="66">
        <v>0</v>
      </c>
      <c r="AA171" s="67">
        <v>0</v>
      </c>
      <c r="AB171" s="67">
        <v>1</v>
      </c>
      <c r="AC171" s="66">
        <v>0</v>
      </c>
      <c r="AD171" s="65">
        <f t="shared" si="130"/>
        <v>100</v>
      </c>
      <c r="AE171" s="65">
        <f t="shared" si="131"/>
        <v>100</v>
      </c>
      <c r="AF171" s="66">
        <f t="shared" si="132"/>
        <v>100</v>
      </c>
      <c r="AG171" s="65">
        <f t="shared" si="133"/>
        <v>100</v>
      </c>
      <c r="AH171" s="65">
        <f t="shared" si="134"/>
        <v>100</v>
      </c>
      <c r="AI171" s="66">
        <f t="shared" si="135"/>
        <v>100</v>
      </c>
      <c r="AJ171" s="65">
        <f t="shared" si="136"/>
        <v>75</v>
      </c>
      <c r="AK171" s="65">
        <f t="shared" si="137"/>
        <v>64.285714285714292</v>
      </c>
      <c r="AL171" s="66">
        <f t="shared" si="138"/>
        <v>66.666666666666671</v>
      </c>
      <c r="AM171" s="65">
        <f t="shared" si="139"/>
        <v>0</v>
      </c>
      <c r="AN171" s="65">
        <f t="shared" si="140"/>
        <v>21.428571428571431</v>
      </c>
      <c r="AO171" s="66">
        <f t="shared" si="141"/>
        <v>13.333333333333334</v>
      </c>
      <c r="AP171" s="65">
        <f t="shared" si="142"/>
        <v>0</v>
      </c>
      <c r="AQ171" s="65">
        <f t="shared" si="143"/>
        <v>14.285714285714286</v>
      </c>
      <c r="AR171" s="66">
        <f t="shared" si="144"/>
        <v>0</v>
      </c>
      <c r="AS171" s="65">
        <f t="shared" si="145"/>
        <v>0</v>
      </c>
      <c r="AT171" s="65">
        <f t="shared" si="146"/>
        <v>14.285714285714286</v>
      </c>
      <c r="AU171" s="66">
        <f t="shared" si="147"/>
        <v>0</v>
      </c>
      <c r="AV171" s="65">
        <f t="shared" si="148"/>
        <v>0</v>
      </c>
      <c r="AW171" s="65">
        <f t="shared" si="149"/>
        <v>7.1428571428571432</v>
      </c>
      <c r="AX171" s="66">
        <f t="shared" si="150"/>
        <v>0</v>
      </c>
      <c r="AY171" s="65">
        <f t="shared" si="151"/>
        <v>0</v>
      </c>
      <c r="AZ171" s="65">
        <f t="shared" si="152"/>
        <v>7.1428571428571432</v>
      </c>
      <c r="BA171" s="66">
        <f t="shared" si="153"/>
        <v>0</v>
      </c>
      <c r="BB171" s="68">
        <f t="shared" si="154"/>
        <v>0</v>
      </c>
      <c r="BC171" s="65">
        <f t="shared" si="155"/>
        <v>0</v>
      </c>
      <c r="BD171" s="65">
        <f t="shared" si="156"/>
        <v>5.6259709836340548</v>
      </c>
      <c r="BE171" s="65">
        <f t="shared" si="157"/>
        <v>10.82046156644715</v>
      </c>
      <c r="BF171" s="65">
        <f t="shared" si="158"/>
        <v>8.2478609884232252</v>
      </c>
      <c r="BG171" s="65">
        <f t="shared" si="159"/>
        <v>8.2478609884232252</v>
      </c>
      <c r="BH171" s="65">
        <f t="shared" si="160"/>
        <v>4.1239304942116126</v>
      </c>
      <c r="BI171" s="65">
        <f t="shared" si="161"/>
        <v>4.1239304942116126</v>
      </c>
      <c r="BJ171" s="68">
        <f t="shared" si="167"/>
        <v>0</v>
      </c>
      <c r="BK171" s="65">
        <f t="shared" si="168"/>
        <v>0</v>
      </c>
      <c r="BL171" s="65">
        <f t="shared" si="169"/>
        <v>0.83867023725647349</v>
      </c>
      <c r="BM171" s="65">
        <f t="shared" si="170"/>
        <v>1.6130191740333124</v>
      </c>
      <c r="BN171" s="65">
        <f t="shared" si="171"/>
        <v>1.2295185226055292</v>
      </c>
      <c r="BO171" s="65">
        <f t="shared" si="172"/>
        <v>1.2295185226055292</v>
      </c>
      <c r="BP171" s="65">
        <f t="shared" si="173"/>
        <v>0.61475926130276459</v>
      </c>
      <c r="BQ171" s="90">
        <f t="shared" si="174"/>
        <v>0.61475926130276459</v>
      </c>
      <c r="BR171" s="69">
        <f t="shared" si="162"/>
        <v>100</v>
      </c>
      <c r="BS171" s="67">
        <f t="shared" si="163"/>
        <v>100</v>
      </c>
      <c r="BT171" s="67">
        <f t="shared" si="164"/>
        <v>68.650793650793659</v>
      </c>
      <c r="BU171" s="67">
        <f t="shared" si="165"/>
        <v>11.587301587301589</v>
      </c>
      <c r="BV171" s="67">
        <f t="shared" si="176"/>
        <v>4.7619047619047619</v>
      </c>
      <c r="BW171" s="67">
        <f t="shared" si="177"/>
        <v>4.7619047619047619</v>
      </c>
      <c r="BX171" s="67">
        <f t="shared" si="178"/>
        <v>4.7619047619047619</v>
      </c>
      <c r="BY171" s="67">
        <f t="shared" si="179"/>
        <v>2.3809523809523809</v>
      </c>
      <c r="BZ171" s="69">
        <f t="shared" si="175"/>
        <v>0</v>
      </c>
      <c r="CA171" s="67">
        <f t="shared" si="175"/>
        <v>0</v>
      </c>
      <c r="CB171" s="67">
        <f t="shared" si="175"/>
        <v>31.349206349206341</v>
      </c>
      <c r="CC171" s="67">
        <f t="shared" si="175"/>
        <v>88.412698412698404</v>
      </c>
      <c r="CD171" s="67">
        <f t="shared" si="175"/>
        <v>95.238095238095241</v>
      </c>
      <c r="CE171" s="67">
        <f t="shared" si="129"/>
        <v>95.238095238095241</v>
      </c>
      <c r="CF171" s="67">
        <f t="shared" si="129"/>
        <v>95.238095238095241</v>
      </c>
      <c r="CG171" s="116">
        <f t="shared" si="129"/>
        <v>97.61904761904762</v>
      </c>
    </row>
    <row r="172" spans="2:85" x14ac:dyDescent="0.3">
      <c r="B172" s="409"/>
      <c r="C172" s="412"/>
      <c r="D172" s="70" t="s">
        <v>804</v>
      </c>
      <c r="E172" s="65">
        <v>15</v>
      </c>
      <c r="F172" s="65">
        <v>14</v>
      </c>
      <c r="G172" s="66">
        <v>15</v>
      </c>
      <c r="H172" s="65">
        <f t="shared" si="166"/>
        <v>44</v>
      </c>
      <c r="I172" s="67">
        <v>15</v>
      </c>
      <c r="J172" s="67">
        <v>13</v>
      </c>
      <c r="K172" s="66">
        <v>14</v>
      </c>
      <c r="L172" s="67">
        <v>14</v>
      </c>
      <c r="M172" s="67">
        <v>11</v>
      </c>
      <c r="N172" s="66">
        <v>12</v>
      </c>
      <c r="O172" s="67">
        <v>14</v>
      </c>
      <c r="P172" s="67">
        <v>2</v>
      </c>
      <c r="Q172" s="66">
        <v>4</v>
      </c>
      <c r="R172" s="67">
        <v>14</v>
      </c>
      <c r="S172" s="67">
        <v>1</v>
      </c>
      <c r="T172" s="66">
        <v>0</v>
      </c>
      <c r="U172" s="67">
        <v>10</v>
      </c>
      <c r="V172" s="67">
        <v>0</v>
      </c>
      <c r="W172" s="66">
        <v>0</v>
      </c>
      <c r="X172" s="67">
        <v>9</v>
      </c>
      <c r="Y172" s="67">
        <v>0</v>
      </c>
      <c r="Z172" s="66">
        <v>0</v>
      </c>
      <c r="AA172" s="67">
        <v>9</v>
      </c>
      <c r="AB172" s="67">
        <v>0</v>
      </c>
      <c r="AC172" s="66">
        <v>0</v>
      </c>
      <c r="AD172" s="65">
        <f t="shared" si="130"/>
        <v>100</v>
      </c>
      <c r="AE172" s="65">
        <f t="shared" si="131"/>
        <v>100</v>
      </c>
      <c r="AF172" s="66">
        <f t="shared" si="132"/>
        <v>100</v>
      </c>
      <c r="AG172" s="65">
        <f t="shared" si="133"/>
        <v>100</v>
      </c>
      <c r="AH172" s="65">
        <f t="shared" si="134"/>
        <v>92.857142857142861</v>
      </c>
      <c r="AI172" s="66">
        <f t="shared" si="135"/>
        <v>93.333333333333343</v>
      </c>
      <c r="AJ172" s="65">
        <f t="shared" si="136"/>
        <v>93.333333333333343</v>
      </c>
      <c r="AK172" s="65">
        <f t="shared" si="137"/>
        <v>78.571428571428569</v>
      </c>
      <c r="AL172" s="66">
        <f t="shared" si="138"/>
        <v>80</v>
      </c>
      <c r="AM172" s="65">
        <f t="shared" si="139"/>
        <v>93.333333333333343</v>
      </c>
      <c r="AN172" s="65">
        <f t="shared" si="140"/>
        <v>14.285714285714286</v>
      </c>
      <c r="AO172" s="66">
        <f t="shared" si="141"/>
        <v>26.666666666666668</v>
      </c>
      <c r="AP172" s="65">
        <f t="shared" si="142"/>
        <v>93.333333333333343</v>
      </c>
      <c r="AQ172" s="65">
        <f t="shared" si="143"/>
        <v>7.1428571428571432</v>
      </c>
      <c r="AR172" s="66">
        <f t="shared" si="144"/>
        <v>0</v>
      </c>
      <c r="AS172" s="65">
        <f t="shared" si="145"/>
        <v>66.666666666666671</v>
      </c>
      <c r="AT172" s="65">
        <f t="shared" si="146"/>
        <v>0</v>
      </c>
      <c r="AU172" s="66">
        <f t="shared" si="147"/>
        <v>0</v>
      </c>
      <c r="AV172" s="65">
        <f t="shared" si="148"/>
        <v>60</v>
      </c>
      <c r="AW172" s="65">
        <f t="shared" si="149"/>
        <v>0</v>
      </c>
      <c r="AX172" s="66">
        <f t="shared" si="150"/>
        <v>0</v>
      </c>
      <c r="AY172" s="65">
        <f t="shared" si="151"/>
        <v>60</v>
      </c>
      <c r="AZ172" s="65">
        <f t="shared" si="152"/>
        <v>0</v>
      </c>
      <c r="BA172" s="66">
        <f t="shared" si="153"/>
        <v>0</v>
      </c>
      <c r="BB172" s="68">
        <f t="shared" si="154"/>
        <v>0</v>
      </c>
      <c r="BC172" s="65">
        <f t="shared" si="155"/>
        <v>3.993570039812417</v>
      </c>
      <c r="BD172" s="65">
        <f t="shared" si="156"/>
        <v>8.141789589353758</v>
      </c>
      <c r="BE172" s="65">
        <f t="shared" si="157"/>
        <v>42.517170067713749</v>
      </c>
      <c r="BF172" s="65">
        <f t="shared" si="158"/>
        <v>51.946975698326952</v>
      </c>
      <c r="BG172" s="65">
        <f t="shared" si="159"/>
        <v>38.490017945975055</v>
      </c>
      <c r="BH172" s="65">
        <f t="shared" si="160"/>
        <v>34.641016151377549</v>
      </c>
      <c r="BI172" s="65">
        <f t="shared" si="161"/>
        <v>34.641016151377549</v>
      </c>
      <c r="BJ172" s="68">
        <f t="shared" si="167"/>
        <v>0</v>
      </c>
      <c r="BK172" s="65">
        <f t="shared" si="168"/>
        <v>0.60205333618465739</v>
      </c>
      <c r="BL172" s="65">
        <f t="shared" si="169"/>
        <v>1.2274209631776447</v>
      </c>
      <c r="BM172" s="65">
        <f t="shared" si="170"/>
        <v>6.4097045573789089</v>
      </c>
      <c r="BN172" s="65">
        <f t="shared" si="171"/>
        <v>7.8313012447754851</v>
      </c>
      <c r="BO172" s="65">
        <f t="shared" si="172"/>
        <v>5.8025885318565953</v>
      </c>
      <c r="BP172" s="65">
        <f t="shared" si="173"/>
        <v>5.2223296786709357</v>
      </c>
      <c r="BQ172" s="90">
        <f t="shared" si="174"/>
        <v>5.2223296786709357</v>
      </c>
      <c r="BR172" s="69">
        <f t="shared" si="162"/>
        <v>100</v>
      </c>
      <c r="BS172" s="67">
        <f t="shared" si="163"/>
        <v>95.396825396825406</v>
      </c>
      <c r="BT172" s="67">
        <f t="shared" si="164"/>
        <v>83.968253968253975</v>
      </c>
      <c r="BU172" s="67">
        <f t="shared" si="165"/>
        <v>44.761904761904766</v>
      </c>
      <c r="BV172" s="67">
        <f t="shared" si="176"/>
        <v>33.492063492063494</v>
      </c>
      <c r="BW172" s="67">
        <f t="shared" si="177"/>
        <v>22.222222222222225</v>
      </c>
      <c r="BX172" s="67">
        <f t="shared" si="178"/>
        <v>20</v>
      </c>
      <c r="BY172" s="67">
        <f t="shared" si="179"/>
        <v>20</v>
      </c>
      <c r="BZ172" s="69">
        <f t="shared" si="175"/>
        <v>0</v>
      </c>
      <c r="CA172" s="67">
        <f t="shared" si="175"/>
        <v>4.6031746031745939</v>
      </c>
      <c r="CB172" s="67">
        <f t="shared" si="175"/>
        <v>16.031746031746025</v>
      </c>
      <c r="CC172" s="67">
        <f t="shared" si="175"/>
        <v>55.238095238095234</v>
      </c>
      <c r="CD172" s="67">
        <f t="shared" si="175"/>
        <v>66.507936507936506</v>
      </c>
      <c r="CE172" s="67">
        <f t="shared" si="129"/>
        <v>77.777777777777771</v>
      </c>
      <c r="CF172" s="67">
        <f t="shared" si="129"/>
        <v>80</v>
      </c>
      <c r="CG172" s="116">
        <f t="shared" si="129"/>
        <v>80</v>
      </c>
    </row>
    <row r="173" spans="2:85" x14ac:dyDescent="0.3">
      <c r="B173" s="410"/>
      <c r="C173" s="413"/>
      <c r="D173" s="70" t="s">
        <v>805</v>
      </c>
      <c r="E173" s="71">
        <v>15</v>
      </c>
      <c r="F173" s="71">
        <v>16</v>
      </c>
      <c r="G173" s="72">
        <v>13</v>
      </c>
      <c r="H173" s="71">
        <f t="shared" si="166"/>
        <v>44</v>
      </c>
      <c r="I173" s="73">
        <v>15</v>
      </c>
      <c r="J173" s="73">
        <v>16</v>
      </c>
      <c r="K173" s="72">
        <v>13</v>
      </c>
      <c r="L173" s="73">
        <v>13</v>
      </c>
      <c r="M173" s="73">
        <v>15</v>
      </c>
      <c r="N173" s="72">
        <v>13</v>
      </c>
      <c r="O173" s="73">
        <v>13</v>
      </c>
      <c r="P173" s="73">
        <v>15</v>
      </c>
      <c r="Q173" s="72">
        <v>13</v>
      </c>
      <c r="R173" s="73">
        <v>13</v>
      </c>
      <c r="S173" s="73">
        <v>12</v>
      </c>
      <c r="T173" s="72">
        <v>13</v>
      </c>
      <c r="U173" s="73">
        <v>10</v>
      </c>
      <c r="V173" s="73">
        <v>7</v>
      </c>
      <c r="W173" s="72">
        <v>7</v>
      </c>
      <c r="X173" s="73">
        <v>7</v>
      </c>
      <c r="Y173" s="73">
        <v>4</v>
      </c>
      <c r="Z173" s="72">
        <v>4</v>
      </c>
      <c r="AA173" s="73">
        <v>4</v>
      </c>
      <c r="AB173" s="73">
        <v>4</v>
      </c>
      <c r="AC173" s="72">
        <v>2</v>
      </c>
      <c r="AD173" s="71">
        <f t="shared" si="130"/>
        <v>100</v>
      </c>
      <c r="AE173" s="71">
        <f t="shared" si="131"/>
        <v>100</v>
      </c>
      <c r="AF173" s="72">
        <f t="shared" si="132"/>
        <v>100</v>
      </c>
      <c r="AG173" s="71">
        <f t="shared" si="133"/>
        <v>100</v>
      </c>
      <c r="AH173" s="71">
        <f t="shared" si="134"/>
        <v>100</v>
      </c>
      <c r="AI173" s="72">
        <f t="shared" si="135"/>
        <v>100</v>
      </c>
      <c r="AJ173" s="71">
        <f t="shared" si="136"/>
        <v>86.666666666666671</v>
      </c>
      <c r="AK173" s="71">
        <f t="shared" si="137"/>
        <v>93.75</v>
      </c>
      <c r="AL173" s="72">
        <f t="shared" si="138"/>
        <v>100</v>
      </c>
      <c r="AM173" s="71">
        <f t="shared" si="139"/>
        <v>86.666666666666671</v>
      </c>
      <c r="AN173" s="71">
        <f t="shared" si="140"/>
        <v>93.75</v>
      </c>
      <c r="AO173" s="72">
        <f t="shared" si="141"/>
        <v>100</v>
      </c>
      <c r="AP173" s="71">
        <f t="shared" si="142"/>
        <v>86.666666666666671</v>
      </c>
      <c r="AQ173" s="71">
        <f t="shared" si="143"/>
        <v>75</v>
      </c>
      <c r="AR173" s="72">
        <f t="shared" si="144"/>
        <v>100</v>
      </c>
      <c r="AS173" s="71">
        <f t="shared" si="145"/>
        <v>66.666666666666671</v>
      </c>
      <c r="AT173" s="71">
        <f t="shared" si="146"/>
        <v>43.75</v>
      </c>
      <c r="AU173" s="72">
        <f t="shared" si="147"/>
        <v>53.846153846153847</v>
      </c>
      <c r="AV173" s="71">
        <f t="shared" si="148"/>
        <v>46.666666666666671</v>
      </c>
      <c r="AW173" s="71">
        <f t="shared" si="149"/>
        <v>25</v>
      </c>
      <c r="AX173" s="72">
        <f t="shared" si="150"/>
        <v>30.76923076923077</v>
      </c>
      <c r="AY173" s="71">
        <f t="shared" si="151"/>
        <v>26.666666666666668</v>
      </c>
      <c r="AZ173" s="71">
        <f t="shared" si="152"/>
        <v>25</v>
      </c>
      <c r="BA173" s="72">
        <f t="shared" si="153"/>
        <v>15.384615384615385</v>
      </c>
      <c r="BB173" s="74">
        <f t="shared" si="154"/>
        <v>0</v>
      </c>
      <c r="BC173" s="71">
        <f t="shared" si="155"/>
        <v>0</v>
      </c>
      <c r="BD173" s="71">
        <f t="shared" si="156"/>
        <v>6.6710055325126794</v>
      </c>
      <c r="BE173" s="71">
        <f t="shared" si="157"/>
        <v>6.6710055325126794</v>
      </c>
      <c r="BF173" s="71">
        <f t="shared" si="158"/>
        <v>12.509255832441902</v>
      </c>
      <c r="BG173" s="71">
        <f t="shared" si="159"/>
        <v>11.485291191906102</v>
      </c>
      <c r="BH173" s="71">
        <f t="shared" si="160"/>
        <v>11.220939772186089</v>
      </c>
      <c r="BI173" s="71">
        <f t="shared" si="161"/>
        <v>6.0898560493439629</v>
      </c>
      <c r="BJ173" s="74">
        <f t="shared" si="167"/>
        <v>0</v>
      </c>
      <c r="BK173" s="71">
        <f t="shared" si="168"/>
        <v>0</v>
      </c>
      <c r="BL173" s="71">
        <f t="shared" si="169"/>
        <v>1.005691923896799</v>
      </c>
      <c r="BM173" s="71">
        <f t="shared" si="170"/>
        <v>1.005691923896799</v>
      </c>
      <c r="BN173" s="71">
        <f t="shared" si="171"/>
        <v>1.8858412728533949</v>
      </c>
      <c r="BO173" s="71">
        <f t="shared" si="172"/>
        <v>1.7314727950693771</v>
      </c>
      <c r="BP173" s="71">
        <f t="shared" si="173"/>
        <v>1.6916203190689663</v>
      </c>
      <c r="BQ173" s="91">
        <f t="shared" si="174"/>
        <v>0.91808034286136297</v>
      </c>
      <c r="BR173" s="75">
        <f t="shared" si="162"/>
        <v>100</v>
      </c>
      <c r="BS173" s="73">
        <f t="shared" si="163"/>
        <v>100</v>
      </c>
      <c r="BT173" s="73">
        <f t="shared" si="164"/>
        <v>93.472222222222229</v>
      </c>
      <c r="BU173" s="73">
        <f t="shared" si="165"/>
        <v>93.472222222222229</v>
      </c>
      <c r="BV173" s="73">
        <f t="shared" si="176"/>
        <v>87.222222222222229</v>
      </c>
      <c r="BW173" s="73">
        <f t="shared" si="177"/>
        <v>54.754273504273506</v>
      </c>
      <c r="BX173" s="73">
        <f t="shared" si="178"/>
        <v>48.087606837606835</v>
      </c>
      <c r="BY173" s="73">
        <f t="shared" si="179"/>
        <v>41.837606837606842</v>
      </c>
      <c r="BZ173" s="75">
        <f t="shared" si="175"/>
        <v>0</v>
      </c>
      <c r="CA173" s="73">
        <f t="shared" si="175"/>
        <v>0</v>
      </c>
      <c r="CB173" s="73">
        <f t="shared" si="175"/>
        <v>6.5277777777777715</v>
      </c>
      <c r="CC173" s="73">
        <f t="shared" si="175"/>
        <v>6.5277777777777715</v>
      </c>
      <c r="CD173" s="73">
        <f t="shared" si="175"/>
        <v>12.777777777777771</v>
      </c>
      <c r="CE173" s="73">
        <f t="shared" si="129"/>
        <v>45.245726495726494</v>
      </c>
      <c r="CF173" s="73">
        <f t="shared" si="129"/>
        <v>51.912393162393165</v>
      </c>
      <c r="CG173" s="265">
        <f t="shared" si="129"/>
        <v>58.162393162393158</v>
      </c>
    </row>
    <row r="174" spans="2:85" ht="15" customHeight="1" x14ac:dyDescent="0.3">
      <c r="B174" s="408">
        <v>43</v>
      </c>
      <c r="C174" s="411" t="s">
        <v>544</v>
      </c>
      <c r="D174" s="76" t="s">
        <v>802</v>
      </c>
      <c r="E174" s="77">
        <v>12</v>
      </c>
      <c r="F174" s="77">
        <v>12</v>
      </c>
      <c r="G174" s="78">
        <v>12</v>
      </c>
      <c r="H174" s="77">
        <f t="shared" si="166"/>
        <v>36</v>
      </c>
      <c r="I174" s="79">
        <v>7</v>
      </c>
      <c r="J174" s="79">
        <v>7</v>
      </c>
      <c r="K174" s="78">
        <v>7</v>
      </c>
      <c r="L174" s="79">
        <v>4</v>
      </c>
      <c r="M174" s="79">
        <v>4</v>
      </c>
      <c r="N174" s="78">
        <v>2</v>
      </c>
      <c r="O174" s="79">
        <v>4</v>
      </c>
      <c r="P174" s="79">
        <v>3</v>
      </c>
      <c r="Q174" s="78">
        <v>2</v>
      </c>
      <c r="R174" s="79">
        <v>3</v>
      </c>
      <c r="S174" s="79">
        <v>1</v>
      </c>
      <c r="T174" s="78">
        <v>0</v>
      </c>
      <c r="U174" s="79">
        <v>2</v>
      </c>
      <c r="V174" s="79">
        <v>0</v>
      </c>
      <c r="W174" s="78">
        <v>0</v>
      </c>
      <c r="X174" s="79">
        <v>0</v>
      </c>
      <c r="Y174" s="79">
        <v>0</v>
      </c>
      <c r="Z174" s="78">
        <v>0</v>
      </c>
      <c r="AA174" s="79">
        <v>0</v>
      </c>
      <c r="AB174" s="79">
        <v>0</v>
      </c>
      <c r="AC174" s="78">
        <v>0</v>
      </c>
      <c r="AD174" s="77">
        <f t="shared" si="130"/>
        <v>100</v>
      </c>
      <c r="AE174" s="77">
        <f t="shared" si="131"/>
        <v>100</v>
      </c>
      <c r="AF174" s="78">
        <f t="shared" si="132"/>
        <v>100</v>
      </c>
      <c r="AG174" s="77">
        <f t="shared" si="133"/>
        <v>58.333333333333336</v>
      </c>
      <c r="AH174" s="77">
        <f t="shared" si="134"/>
        <v>58.333333333333336</v>
      </c>
      <c r="AI174" s="78">
        <f t="shared" si="135"/>
        <v>58.333333333333336</v>
      </c>
      <c r="AJ174" s="77">
        <f t="shared" si="136"/>
        <v>33.333333333333336</v>
      </c>
      <c r="AK174" s="77">
        <f t="shared" si="137"/>
        <v>33.333333333333336</v>
      </c>
      <c r="AL174" s="78">
        <f t="shared" si="138"/>
        <v>16.666666666666668</v>
      </c>
      <c r="AM174" s="77">
        <f t="shared" si="139"/>
        <v>33.333333333333336</v>
      </c>
      <c r="AN174" s="77">
        <f t="shared" si="140"/>
        <v>25</v>
      </c>
      <c r="AO174" s="78">
        <f t="shared" si="141"/>
        <v>16.666666666666668</v>
      </c>
      <c r="AP174" s="77">
        <f t="shared" si="142"/>
        <v>25</v>
      </c>
      <c r="AQ174" s="77">
        <f t="shared" si="143"/>
        <v>8.3333333333333339</v>
      </c>
      <c r="AR174" s="78">
        <f t="shared" si="144"/>
        <v>0</v>
      </c>
      <c r="AS174" s="77">
        <f t="shared" si="145"/>
        <v>16.666666666666668</v>
      </c>
      <c r="AT174" s="77">
        <f t="shared" si="146"/>
        <v>0</v>
      </c>
      <c r="AU174" s="78">
        <f t="shared" si="147"/>
        <v>0</v>
      </c>
      <c r="AV174" s="77">
        <f t="shared" si="148"/>
        <v>0</v>
      </c>
      <c r="AW174" s="77">
        <f t="shared" si="149"/>
        <v>0</v>
      </c>
      <c r="AX174" s="78">
        <f t="shared" si="150"/>
        <v>0</v>
      </c>
      <c r="AY174" s="77">
        <f t="shared" si="151"/>
        <v>0</v>
      </c>
      <c r="AZ174" s="77">
        <f t="shared" si="152"/>
        <v>0</v>
      </c>
      <c r="BA174" s="78">
        <f t="shared" si="153"/>
        <v>0</v>
      </c>
      <c r="BB174" s="80">
        <f t="shared" si="154"/>
        <v>0</v>
      </c>
      <c r="BC174" s="77">
        <f t="shared" si="155"/>
        <v>0</v>
      </c>
      <c r="BD174" s="77">
        <f t="shared" si="156"/>
        <v>9.6225044864937637</v>
      </c>
      <c r="BE174" s="77">
        <f t="shared" si="157"/>
        <v>8.333333333333341</v>
      </c>
      <c r="BF174" s="77">
        <f t="shared" si="158"/>
        <v>12.729376930432888</v>
      </c>
      <c r="BG174" s="77">
        <f t="shared" si="159"/>
        <v>9.6225044864937637</v>
      </c>
      <c r="BH174" s="77">
        <f t="shared" si="160"/>
        <v>0</v>
      </c>
      <c r="BI174" s="77">
        <f t="shared" si="161"/>
        <v>0</v>
      </c>
      <c r="BJ174" s="80">
        <f t="shared" si="167"/>
        <v>0</v>
      </c>
      <c r="BK174" s="77">
        <f t="shared" si="168"/>
        <v>0</v>
      </c>
      <c r="BL174" s="77">
        <f t="shared" si="169"/>
        <v>1.6037507477489605</v>
      </c>
      <c r="BM174" s="77">
        <f t="shared" si="170"/>
        <v>1.3888888888888902</v>
      </c>
      <c r="BN174" s="77">
        <f t="shared" si="171"/>
        <v>2.1215628217388147</v>
      </c>
      <c r="BO174" s="77">
        <f t="shared" si="172"/>
        <v>1.6037507477489605</v>
      </c>
      <c r="BP174" s="77">
        <f t="shared" si="173"/>
        <v>0</v>
      </c>
      <c r="BQ174" s="92">
        <f t="shared" si="174"/>
        <v>0</v>
      </c>
      <c r="BR174" s="81">
        <f t="shared" si="162"/>
        <v>100</v>
      </c>
      <c r="BS174" s="79">
        <f t="shared" si="163"/>
        <v>58.333333333333336</v>
      </c>
      <c r="BT174" s="79">
        <f t="shared" si="164"/>
        <v>27.777777777777782</v>
      </c>
      <c r="BU174" s="79">
        <f t="shared" si="165"/>
        <v>25</v>
      </c>
      <c r="BV174" s="79">
        <f t="shared" si="176"/>
        <v>11.111111111111112</v>
      </c>
      <c r="BW174" s="79">
        <f t="shared" si="177"/>
        <v>5.5555555555555562</v>
      </c>
      <c r="BX174" s="79">
        <f t="shared" si="178"/>
        <v>0</v>
      </c>
      <c r="BY174" s="79">
        <f t="shared" si="179"/>
        <v>0</v>
      </c>
      <c r="BZ174" s="81">
        <f t="shared" si="175"/>
        <v>0</v>
      </c>
      <c r="CA174" s="79">
        <f t="shared" si="175"/>
        <v>41.666666666666664</v>
      </c>
      <c r="CB174" s="79">
        <f t="shared" si="175"/>
        <v>72.222222222222214</v>
      </c>
      <c r="CC174" s="79">
        <f t="shared" si="175"/>
        <v>75</v>
      </c>
      <c r="CD174" s="79">
        <f t="shared" si="175"/>
        <v>88.888888888888886</v>
      </c>
      <c r="CE174" s="79">
        <f t="shared" si="129"/>
        <v>94.444444444444443</v>
      </c>
      <c r="CF174" s="79">
        <f t="shared" si="129"/>
        <v>100</v>
      </c>
      <c r="CG174" s="264">
        <f t="shared" si="129"/>
        <v>100</v>
      </c>
    </row>
    <row r="175" spans="2:85" x14ac:dyDescent="0.3">
      <c r="B175" s="409"/>
      <c r="C175" s="412"/>
      <c r="D175" s="70" t="s">
        <v>803</v>
      </c>
      <c r="E175" s="65">
        <v>12</v>
      </c>
      <c r="F175" s="65">
        <v>12</v>
      </c>
      <c r="G175" s="66">
        <v>12</v>
      </c>
      <c r="H175" s="65">
        <f t="shared" si="166"/>
        <v>36</v>
      </c>
      <c r="I175" s="67">
        <v>7</v>
      </c>
      <c r="J175" s="67">
        <v>9</v>
      </c>
      <c r="K175" s="66">
        <v>10</v>
      </c>
      <c r="L175" s="67">
        <v>5</v>
      </c>
      <c r="M175" s="67">
        <v>6</v>
      </c>
      <c r="N175" s="66">
        <v>10</v>
      </c>
      <c r="O175" s="67">
        <v>4</v>
      </c>
      <c r="P175" s="67">
        <v>4</v>
      </c>
      <c r="Q175" s="66">
        <v>8</v>
      </c>
      <c r="R175" s="67">
        <v>4</v>
      </c>
      <c r="S175" s="67">
        <v>4</v>
      </c>
      <c r="T175" s="66">
        <v>5</v>
      </c>
      <c r="U175" s="67">
        <v>4</v>
      </c>
      <c r="V175" s="67">
        <v>4</v>
      </c>
      <c r="W175" s="66">
        <v>5</v>
      </c>
      <c r="X175" s="67">
        <v>3</v>
      </c>
      <c r="Y175" s="67">
        <v>3</v>
      </c>
      <c r="Z175" s="66">
        <v>4</v>
      </c>
      <c r="AA175" s="67">
        <v>3</v>
      </c>
      <c r="AB175" s="67">
        <v>3</v>
      </c>
      <c r="AC175" s="66">
        <v>4</v>
      </c>
      <c r="AD175" s="65">
        <f t="shared" si="130"/>
        <v>100</v>
      </c>
      <c r="AE175" s="65">
        <f t="shared" si="131"/>
        <v>100</v>
      </c>
      <c r="AF175" s="66">
        <f t="shared" si="132"/>
        <v>100</v>
      </c>
      <c r="AG175" s="65">
        <f t="shared" si="133"/>
        <v>58.333333333333336</v>
      </c>
      <c r="AH175" s="65">
        <f t="shared" si="134"/>
        <v>75</v>
      </c>
      <c r="AI175" s="66">
        <f t="shared" si="135"/>
        <v>83.333333333333343</v>
      </c>
      <c r="AJ175" s="65">
        <f t="shared" si="136"/>
        <v>41.666666666666671</v>
      </c>
      <c r="AK175" s="65">
        <f t="shared" si="137"/>
        <v>50</v>
      </c>
      <c r="AL175" s="66">
        <f t="shared" si="138"/>
        <v>83.333333333333343</v>
      </c>
      <c r="AM175" s="65">
        <f t="shared" si="139"/>
        <v>33.333333333333336</v>
      </c>
      <c r="AN175" s="65">
        <f t="shared" si="140"/>
        <v>33.333333333333336</v>
      </c>
      <c r="AO175" s="66">
        <f t="shared" si="141"/>
        <v>66.666666666666671</v>
      </c>
      <c r="AP175" s="65">
        <f t="shared" si="142"/>
        <v>33.333333333333336</v>
      </c>
      <c r="AQ175" s="65">
        <f t="shared" si="143"/>
        <v>33.333333333333336</v>
      </c>
      <c r="AR175" s="66">
        <f t="shared" si="144"/>
        <v>41.666666666666671</v>
      </c>
      <c r="AS175" s="65">
        <f t="shared" si="145"/>
        <v>33.333333333333336</v>
      </c>
      <c r="AT175" s="65">
        <f t="shared" si="146"/>
        <v>33.333333333333336</v>
      </c>
      <c r="AU175" s="66">
        <f t="shared" si="147"/>
        <v>41.666666666666671</v>
      </c>
      <c r="AV175" s="65">
        <f t="shared" si="148"/>
        <v>25</v>
      </c>
      <c r="AW175" s="65">
        <f t="shared" si="149"/>
        <v>25</v>
      </c>
      <c r="AX175" s="66">
        <f t="shared" si="150"/>
        <v>33.333333333333336</v>
      </c>
      <c r="AY175" s="65">
        <f t="shared" si="151"/>
        <v>25</v>
      </c>
      <c r="AZ175" s="65">
        <f t="shared" si="152"/>
        <v>25</v>
      </c>
      <c r="BA175" s="66">
        <f t="shared" si="153"/>
        <v>33.333333333333336</v>
      </c>
      <c r="BB175" s="68">
        <f t="shared" si="154"/>
        <v>0</v>
      </c>
      <c r="BC175" s="65">
        <f t="shared" si="155"/>
        <v>12.729376930432831</v>
      </c>
      <c r="BD175" s="65">
        <f t="shared" si="156"/>
        <v>22.047927592204946</v>
      </c>
      <c r="BE175" s="65">
        <f t="shared" si="157"/>
        <v>19.245008972987527</v>
      </c>
      <c r="BF175" s="65">
        <f t="shared" si="158"/>
        <v>4.8112522432468703</v>
      </c>
      <c r="BG175" s="65">
        <f t="shared" si="159"/>
        <v>4.8112522432468703</v>
      </c>
      <c r="BH175" s="65">
        <f t="shared" si="160"/>
        <v>4.8112522432468703</v>
      </c>
      <c r="BI175" s="65">
        <f t="shared" si="161"/>
        <v>4.8112522432468703</v>
      </c>
      <c r="BJ175" s="68">
        <f t="shared" si="167"/>
        <v>0</v>
      </c>
      <c r="BK175" s="65">
        <f t="shared" si="168"/>
        <v>2.1215628217388054</v>
      </c>
      <c r="BL175" s="65">
        <f t="shared" si="169"/>
        <v>3.6746545987008243</v>
      </c>
      <c r="BM175" s="65">
        <f t="shared" si="170"/>
        <v>3.2075014954979211</v>
      </c>
      <c r="BN175" s="65">
        <f t="shared" si="171"/>
        <v>0.80187537387447838</v>
      </c>
      <c r="BO175" s="65">
        <f t="shared" si="172"/>
        <v>0.80187537387447838</v>
      </c>
      <c r="BP175" s="65">
        <f t="shared" si="173"/>
        <v>0.80187537387447838</v>
      </c>
      <c r="BQ175" s="90">
        <f t="shared" si="174"/>
        <v>0.80187537387447838</v>
      </c>
      <c r="BR175" s="69">
        <f t="shared" si="162"/>
        <v>100</v>
      </c>
      <c r="BS175" s="67">
        <f t="shared" si="163"/>
        <v>72.222222222222229</v>
      </c>
      <c r="BT175" s="67">
        <f t="shared" si="164"/>
        <v>58.333333333333336</v>
      </c>
      <c r="BU175" s="67">
        <f t="shared" si="165"/>
        <v>44.44444444444445</v>
      </c>
      <c r="BV175" s="67">
        <f t="shared" ref="BV175:BV206" si="180">AVERAGE(AP175:AR175)</f>
        <v>36.111111111111114</v>
      </c>
      <c r="BW175" s="67">
        <f t="shared" si="177"/>
        <v>36.111111111111114</v>
      </c>
      <c r="BX175" s="67">
        <f t="shared" si="178"/>
        <v>33.333333333333336</v>
      </c>
      <c r="BY175" s="67">
        <f t="shared" si="179"/>
        <v>30.555555555555557</v>
      </c>
      <c r="BZ175" s="69">
        <f t="shared" si="175"/>
        <v>0</v>
      </c>
      <c r="CA175" s="67">
        <f t="shared" si="175"/>
        <v>27.777777777777771</v>
      </c>
      <c r="CB175" s="67">
        <f t="shared" si="175"/>
        <v>41.666666666666664</v>
      </c>
      <c r="CC175" s="67">
        <f t="shared" si="175"/>
        <v>55.55555555555555</v>
      </c>
      <c r="CD175" s="67">
        <f t="shared" si="175"/>
        <v>63.888888888888886</v>
      </c>
      <c r="CE175" s="67">
        <f t="shared" si="129"/>
        <v>63.888888888888886</v>
      </c>
      <c r="CF175" s="67">
        <f t="shared" si="129"/>
        <v>66.666666666666657</v>
      </c>
      <c r="CG175" s="116">
        <f t="shared" si="129"/>
        <v>69.444444444444443</v>
      </c>
    </row>
    <row r="176" spans="2:85" x14ac:dyDescent="0.3">
      <c r="B176" s="409"/>
      <c r="C176" s="412"/>
      <c r="D176" s="70" t="s">
        <v>804</v>
      </c>
      <c r="E176" s="65">
        <v>12</v>
      </c>
      <c r="F176" s="65">
        <v>12</v>
      </c>
      <c r="G176" s="66">
        <v>12</v>
      </c>
      <c r="H176" s="65">
        <f t="shared" si="166"/>
        <v>36</v>
      </c>
      <c r="I176" s="67">
        <v>9</v>
      </c>
      <c r="J176" s="67">
        <v>10</v>
      </c>
      <c r="K176" s="66">
        <v>8</v>
      </c>
      <c r="L176" s="67">
        <v>8</v>
      </c>
      <c r="M176" s="67">
        <v>7</v>
      </c>
      <c r="N176" s="66">
        <v>7</v>
      </c>
      <c r="O176" s="67">
        <v>8</v>
      </c>
      <c r="P176" s="67">
        <v>7</v>
      </c>
      <c r="Q176" s="66">
        <v>6</v>
      </c>
      <c r="R176" s="67">
        <v>7</v>
      </c>
      <c r="S176" s="67">
        <v>7</v>
      </c>
      <c r="T176" s="66">
        <v>6</v>
      </c>
      <c r="U176" s="67">
        <v>6</v>
      </c>
      <c r="V176" s="67">
        <v>7</v>
      </c>
      <c r="W176" s="66">
        <v>6</v>
      </c>
      <c r="X176" s="67">
        <v>5</v>
      </c>
      <c r="Y176" s="67">
        <v>6</v>
      </c>
      <c r="Z176" s="66">
        <v>4</v>
      </c>
      <c r="AA176" s="67">
        <v>3</v>
      </c>
      <c r="AB176" s="67">
        <v>6</v>
      </c>
      <c r="AC176" s="66">
        <v>4</v>
      </c>
      <c r="AD176" s="65">
        <f t="shared" si="130"/>
        <v>100</v>
      </c>
      <c r="AE176" s="65">
        <f t="shared" si="131"/>
        <v>100</v>
      </c>
      <c r="AF176" s="66">
        <f t="shared" si="132"/>
        <v>100</v>
      </c>
      <c r="AG176" s="65">
        <f t="shared" si="133"/>
        <v>75</v>
      </c>
      <c r="AH176" s="65">
        <f t="shared" si="134"/>
        <v>83.333333333333343</v>
      </c>
      <c r="AI176" s="66">
        <f t="shared" si="135"/>
        <v>66.666666666666671</v>
      </c>
      <c r="AJ176" s="65">
        <f t="shared" si="136"/>
        <v>66.666666666666671</v>
      </c>
      <c r="AK176" s="65">
        <f t="shared" si="137"/>
        <v>58.333333333333336</v>
      </c>
      <c r="AL176" s="66">
        <f t="shared" si="138"/>
        <v>58.333333333333336</v>
      </c>
      <c r="AM176" s="65">
        <f t="shared" si="139"/>
        <v>66.666666666666671</v>
      </c>
      <c r="AN176" s="65">
        <f t="shared" si="140"/>
        <v>58.333333333333336</v>
      </c>
      <c r="AO176" s="66">
        <f t="shared" si="141"/>
        <v>50</v>
      </c>
      <c r="AP176" s="65">
        <f t="shared" si="142"/>
        <v>58.333333333333336</v>
      </c>
      <c r="AQ176" s="65">
        <f t="shared" si="143"/>
        <v>58.333333333333336</v>
      </c>
      <c r="AR176" s="66">
        <f t="shared" si="144"/>
        <v>50</v>
      </c>
      <c r="AS176" s="65">
        <f t="shared" si="145"/>
        <v>50</v>
      </c>
      <c r="AT176" s="65">
        <f t="shared" si="146"/>
        <v>58.333333333333336</v>
      </c>
      <c r="AU176" s="66">
        <f t="shared" si="147"/>
        <v>50</v>
      </c>
      <c r="AV176" s="65">
        <f t="shared" si="148"/>
        <v>41.666666666666671</v>
      </c>
      <c r="AW176" s="65">
        <f t="shared" si="149"/>
        <v>50</v>
      </c>
      <c r="AX176" s="66">
        <f t="shared" si="150"/>
        <v>33.333333333333336</v>
      </c>
      <c r="AY176" s="65">
        <f t="shared" si="151"/>
        <v>25</v>
      </c>
      <c r="AZ176" s="65">
        <f t="shared" si="152"/>
        <v>50</v>
      </c>
      <c r="BA176" s="66">
        <f t="shared" si="153"/>
        <v>33.333333333333336</v>
      </c>
      <c r="BB176" s="68">
        <f t="shared" si="154"/>
        <v>0</v>
      </c>
      <c r="BC176" s="65">
        <f t="shared" si="155"/>
        <v>8.3333333333333357</v>
      </c>
      <c r="BD176" s="65">
        <f t="shared" si="156"/>
        <v>4.8112522432468827</v>
      </c>
      <c r="BE176" s="65">
        <f t="shared" si="157"/>
        <v>8.3333333333333268</v>
      </c>
      <c r="BF176" s="65">
        <f t="shared" si="158"/>
        <v>4.8112522432468827</v>
      </c>
      <c r="BG176" s="65">
        <f t="shared" si="159"/>
        <v>4.8112522432468827</v>
      </c>
      <c r="BH176" s="65">
        <f t="shared" si="160"/>
        <v>8.3333333333333552</v>
      </c>
      <c r="BI176" s="65">
        <f t="shared" si="161"/>
        <v>12.729376930432876</v>
      </c>
      <c r="BJ176" s="68">
        <f t="shared" si="167"/>
        <v>0</v>
      </c>
      <c r="BK176" s="65">
        <f t="shared" si="168"/>
        <v>1.3888888888888893</v>
      </c>
      <c r="BL176" s="65">
        <f t="shared" si="169"/>
        <v>0.80187537387448049</v>
      </c>
      <c r="BM176" s="65">
        <f t="shared" si="170"/>
        <v>1.3888888888888877</v>
      </c>
      <c r="BN176" s="65">
        <f t="shared" si="171"/>
        <v>0.80187537387448049</v>
      </c>
      <c r="BO176" s="65">
        <f t="shared" si="172"/>
        <v>0.80187537387448049</v>
      </c>
      <c r="BP176" s="65">
        <f t="shared" si="173"/>
        <v>1.3888888888888926</v>
      </c>
      <c r="BQ176" s="90">
        <f t="shared" si="174"/>
        <v>2.1215628217388125</v>
      </c>
      <c r="BR176" s="69">
        <f t="shared" si="162"/>
        <v>100</v>
      </c>
      <c r="BS176" s="67">
        <f t="shared" si="163"/>
        <v>75</v>
      </c>
      <c r="BT176" s="67">
        <f t="shared" si="164"/>
        <v>61.111111111111114</v>
      </c>
      <c r="BU176" s="67">
        <f t="shared" si="165"/>
        <v>58.333333333333336</v>
      </c>
      <c r="BV176" s="67">
        <f t="shared" si="180"/>
        <v>55.555555555555564</v>
      </c>
      <c r="BW176" s="67">
        <f t="shared" si="177"/>
        <v>52.777777777777779</v>
      </c>
      <c r="BX176" s="67">
        <f t="shared" si="178"/>
        <v>50</v>
      </c>
      <c r="BY176" s="67">
        <f t="shared" si="179"/>
        <v>47.222222222222229</v>
      </c>
      <c r="BZ176" s="69">
        <f t="shared" si="175"/>
        <v>0</v>
      </c>
      <c r="CA176" s="67">
        <f t="shared" si="175"/>
        <v>25</v>
      </c>
      <c r="CB176" s="67">
        <f t="shared" si="175"/>
        <v>38.888888888888886</v>
      </c>
      <c r="CC176" s="67">
        <f t="shared" si="175"/>
        <v>41.666666666666664</v>
      </c>
      <c r="CD176" s="67">
        <f t="shared" si="175"/>
        <v>44.444444444444436</v>
      </c>
      <c r="CE176" s="67">
        <f t="shared" si="129"/>
        <v>47.222222222222221</v>
      </c>
      <c r="CF176" s="67">
        <f t="shared" si="129"/>
        <v>50</v>
      </c>
      <c r="CG176" s="116">
        <f t="shared" si="129"/>
        <v>52.777777777777771</v>
      </c>
    </row>
    <row r="177" spans="2:85" x14ac:dyDescent="0.3">
      <c r="B177" s="410"/>
      <c r="C177" s="413"/>
      <c r="D177" s="70" t="s">
        <v>805</v>
      </c>
      <c r="E177" s="71">
        <v>12</v>
      </c>
      <c r="F177" s="71">
        <v>12</v>
      </c>
      <c r="G177" s="72">
        <v>12</v>
      </c>
      <c r="H177" s="71">
        <f t="shared" si="166"/>
        <v>36</v>
      </c>
      <c r="I177" s="73">
        <v>10</v>
      </c>
      <c r="J177" s="73">
        <v>11</v>
      </c>
      <c r="K177" s="72">
        <v>11</v>
      </c>
      <c r="L177" s="73">
        <v>9</v>
      </c>
      <c r="M177" s="73">
        <v>11</v>
      </c>
      <c r="N177" s="72">
        <v>8</v>
      </c>
      <c r="O177" s="73">
        <v>9</v>
      </c>
      <c r="P177" s="73">
        <v>10</v>
      </c>
      <c r="Q177" s="72">
        <v>8</v>
      </c>
      <c r="R177" s="73">
        <v>9</v>
      </c>
      <c r="S177" s="73">
        <v>10</v>
      </c>
      <c r="T177" s="72">
        <v>8</v>
      </c>
      <c r="U177" s="73">
        <v>9</v>
      </c>
      <c r="V177" s="73">
        <v>10</v>
      </c>
      <c r="W177" s="72">
        <v>8</v>
      </c>
      <c r="X177" s="73">
        <v>7</v>
      </c>
      <c r="Y177" s="73">
        <v>8</v>
      </c>
      <c r="Z177" s="72">
        <v>7</v>
      </c>
      <c r="AA177" s="73">
        <v>7</v>
      </c>
      <c r="AB177" s="73">
        <v>8</v>
      </c>
      <c r="AC177" s="72">
        <v>7</v>
      </c>
      <c r="AD177" s="71">
        <f t="shared" si="130"/>
        <v>100</v>
      </c>
      <c r="AE177" s="71">
        <f t="shared" si="131"/>
        <v>100</v>
      </c>
      <c r="AF177" s="72">
        <f t="shared" si="132"/>
        <v>100</v>
      </c>
      <c r="AG177" s="71">
        <f t="shared" si="133"/>
        <v>83.333333333333343</v>
      </c>
      <c r="AH177" s="71">
        <f t="shared" si="134"/>
        <v>91.666666666666671</v>
      </c>
      <c r="AI177" s="72">
        <f t="shared" si="135"/>
        <v>91.666666666666671</v>
      </c>
      <c r="AJ177" s="71">
        <f t="shared" si="136"/>
        <v>75</v>
      </c>
      <c r="AK177" s="71">
        <f t="shared" si="137"/>
        <v>91.666666666666671</v>
      </c>
      <c r="AL177" s="72">
        <f t="shared" si="138"/>
        <v>66.666666666666671</v>
      </c>
      <c r="AM177" s="71">
        <f t="shared" si="139"/>
        <v>75</v>
      </c>
      <c r="AN177" s="71">
        <f t="shared" si="140"/>
        <v>83.333333333333343</v>
      </c>
      <c r="AO177" s="72">
        <f t="shared" si="141"/>
        <v>66.666666666666671</v>
      </c>
      <c r="AP177" s="71">
        <f t="shared" si="142"/>
        <v>75</v>
      </c>
      <c r="AQ177" s="71">
        <f t="shared" si="143"/>
        <v>83.333333333333343</v>
      </c>
      <c r="AR177" s="72">
        <f t="shared" si="144"/>
        <v>66.666666666666671</v>
      </c>
      <c r="AS177" s="71">
        <f t="shared" si="145"/>
        <v>75</v>
      </c>
      <c r="AT177" s="71">
        <f t="shared" si="146"/>
        <v>83.333333333333343</v>
      </c>
      <c r="AU177" s="72">
        <f t="shared" si="147"/>
        <v>66.666666666666671</v>
      </c>
      <c r="AV177" s="71">
        <f t="shared" si="148"/>
        <v>58.333333333333336</v>
      </c>
      <c r="AW177" s="71">
        <f t="shared" si="149"/>
        <v>66.666666666666671</v>
      </c>
      <c r="AX177" s="72">
        <f t="shared" si="150"/>
        <v>58.333333333333336</v>
      </c>
      <c r="AY177" s="71">
        <f t="shared" si="151"/>
        <v>58.333333333333336</v>
      </c>
      <c r="AZ177" s="71">
        <f t="shared" si="152"/>
        <v>66.666666666666671</v>
      </c>
      <c r="BA177" s="72">
        <f t="shared" si="153"/>
        <v>58.333333333333336</v>
      </c>
      <c r="BB177" s="74">
        <f t="shared" si="154"/>
        <v>0</v>
      </c>
      <c r="BC177" s="71">
        <f t="shared" si="155"/>
        <v>4.8112522432468783</v>
      </c>
      <c r="BD177" s="71">
        <f t="shared" si="156"/>
        <v>12.729376930432867</v>
      </c>
      <c r="BE177" s="71">
        <f t="shared" si="157"/>
        <v>8.3333333333333357</v>
      </c>
      <c r="BF177" s="71">
        <f t="shared" si="158"/>
        <v>8.3333333333333357</v>
      </c>
      <c r="BG177" s="71">
        <f t="shared" si="159"/>
        <v>8.3333333333333357</v>
      </c>
      <c r="BH177" s="71">
        <f t="shared" si="160"/>
        <v>4.8112522432468827</v>
      </c>
      <c r="BI177" s="71">
        <f t="shared" si="161"/>
        <v>4.8112522432468827</v>
      </c>
      <c r="BJ177" s="74">
        <f t="shared" si="167"/>
        <v>0</v>
      </c>
      <c r="BK177" s="71">
        <f t="shared" si="168"/>
        <v>0.80187537387447971</v>
      </c>
      <c r="BL177" s="71">
        <f t="shared" si="169"/>
        <v>2.1215628217388112</v>
      </c>
      <c r="BM177" s="71">
        <f t="shared" si="170"/>
        <v>1.3888888888888893</v>
      </c>
      <c r="BN177" s="71">
        <f t="shared" si="171"/>
        <v>1.3888888888888893</v>
      </c>
      <c r="BO177" s="71">
        <f t="shared" si="172"/>
        <v>1.3888888888888893</v>
      </c>
      <c r="BP177" s="71">
        <f t="shared" si="173"/>
        <v>0.80187537387448049</v>
      </c>
      <c r="BQ177" s="91">
        <f t="shared" si="174"/>
        <v>0.80187537387448049</v>
      </c>
      <c r="BR177" s="75">
        <f t="shared" si="162"/>
        <v>100</v>
      </c>
      <c r="BS177" s="73">
        <f t="shared" si="163"/>
        <v>88.8888888888889</v>
      </c>
      <c r="BT177" s="73">
        <f t="shared" si="164"/>
        <v>77.777777777777786</v>
      </c>
      <c r="BU177" s="73">
        <f t="shared" si="165"/>
        <v>75</v>
      </c>
      <c r="BV177" s="73">
        <f t="shared" si="180"/>
        <v>75</v>
      </c>
      <c r="BW177" s="73">
        <f t="shared" si="177"/>
        <v>75</v>
      </c>
      <c r="BX177" s="73">
        <f t="shared" si="178"/>
        <v>69.444444444444443</v>
      </c>
      <c r="BY177" s="73">
        <f t="shared" si="179"/>
        <v>63.888888888888893</v>
      </c>
      <c r="BZ177" s="75">
        <f t="shared" si="175"/>
        <v>0</v>
      </c>
      <c r="CA177" s="73">
        <f t="shared" si="175"/>
        <v>11.1111111111111</v>
      </c>
      <c r="CB177" s="73">
        <f t="shared" si="175"/>
        <v>22.222222222222214</v>
      </c>
      <c r="CC177" s="73">
        <f t="shared" si="175"/>
        <v>25</v>
      </c>
      <c r="CD177" s="73">
        <f t="shared" si="175"/>
        <v>25</v>
      </c>
      <c r="CE177" s="73">
        <f t="shared" si="129"/>
        <v>25</v>
      </c>
      <c r="CF177" s="73">
        <f t="shared" si="129"/>
        <v>30.555555555555557</v>
      </c>
      <c r="CG177" s="265">
        <f t="shared" si="129"/>
        <v>36.111111111111107</v>
      </c>
    </row>
    <row r="178" spans="2:85" ht="15" customHeight="1" x14ac:dyDescent="0.3">
      <c r="B178" s="408">
        <v>44</v>
      </c>
      <c r="C178" s="411" t="s">
        <v>552</v>
      </c>
      <c r="D178" s="76" t="s">
        <v>802</v>
      </c>
      <c r="E178" s="77">
        <v>13</v>
      </c>
      <c r="F178" s="77">
        <v>10</v>
      </c>
      <c r="G178" s="78">
        <v>12</v>
      </c>
      <c r="H178" s="77">
        <f t="shared" si="166"/>
        <v>35</v>
      </c>
      <c r="I178" s="79">
        <v>11</v>
      </c>
      <c r="J178" s="79">
        <v>7</v>
      </c>
      <c r="K178" s="78">
        <v>10</v>
      </c>
      <c r="L178" s="79">
        <v>2</v>
      </c>
      <c r="M178" s="79">
        <v>0</v>
      </c>
      <c r="N178" s="78">
        <v>2</v>
      </c>
      <c r="O178" s="79">
        <v>0</v>
      </c>
      <c r="P178" s="79">
        <v>0</v>
      </c>
      <c r="Q178" s="78">
        <v>0</v>
      </c>
      <c r="R178" s="79">
        <v>0</v>
      </c>
      <c r="S178" s="79">
        <v>0</v>
      </c>
      <c r="T178" s="78">
        <v>0</v>
      </c>
      <c r="U178" s="79">
        <v>0</v>
      </c>
      <c r="V178" s="79">
        <v>0</v>
      </c>
      <c r="W178" s="78">
        <v>0</v>
      </c>
      <c r="X178" s="79">
        <v>0</v>
      </c>
      <c r="Y178" s="79">
        <v>0</v>
      </c>
      <c r="Z178" s="78">
        <v>0</v>
      </c>
      <c r="AA178" s="79">
        <v>0</v>
      </c>
      <c r="AB178" s="79">
        <v>0</v>
      </c>
      <c r="AC178" s="78">
        <v>0</v>
      </c>
      <c r="AD178" s="77">
        <f t="shared" si="130"/>
        <v>100</v>
      </c>
      <c r="AE178" s="77">
        <f t="shared" si="131"/>
        <v>100</v>
      </c>
      <c r="AF178" s="78">
        <f t="shared" si="132"/>
        <v>100</v>
      </c>
      <c r="AG178" s="77">
        <f t="shared" si="133"/>
        <v>84.615384615384613</v>
      </c>
      <c r="AH178" s="77">
        <f t="shared" si="134"/>
        <v>70</v>
      </c>
      <c r="AI178" s="78">
        <f t="shared" si="135"/>
        <v>83.333333333333343</v>
      </c>
      <c r="AJ178" s="77">
        <f t="shared" si="136"/>
        <v>15.384615384615385</v>
      </c>
      <c r="AK178" s="77">
        <f t="shared" si="137"/>
        <v>0</v>
      </c>
      <c r="AL178" s="78">
        <f t="shared" si="138"/>
        <v>16.666666666666668</v>
      </c>
      <c r="AM178" s="77">
        <f t="shared" si="139"/>
        <v>0</v>
      </c>
      <c r="AN178" s="77">
        <f t="shared" si="140"/>
        <v>0</v>
      </c>
      <c r="AO178" s="78">
        <f t="shared" si="141"/>
        <v>0</v>
      </c>
      <c r="AP178" s="77">
        <f t="shared" si="142"/>
        <v>0</v>
      </c>
      <c r="AQ178" s="77">
        <f t="shared" si="143"/>
        <v>0</v>
      </c>
      <c r="AR178" s="78">
        <f t="shared" si="144"/>
        <v>0</v>
      </c>
      <c r="AS178" s="77">
        <f t="shared" si="145"/>
        <v>0</v>
      </c>
      <c r="AT178" s="77">
        <f t="shared" si="146"/>
        <v>0</v>
      </c>
      <c r="AU178" s="78">
        <f t="shared" si="147"/>
        <v>0</v>
      </c>
      <c r="AV178" s="77">
        <f t="shared" si="148"/>
        <v>0</v>
      </c>
      <c r="AW178" s="77">
        <f t="shared" si="149"/>
        <v>0</v>
      </c>
      <c r="AX178" s="78">
        <f t="shared" si="150"/>
        <v>0</v>
      </c>
      <c r="AY178" s="77">
        <f t="shared" si="151"/>
        <v>0</v>
      </c>
      <c r="AZ178" s="77">
        <f t="shared" si="152"/>
        <v>0</v>
      </c>
      <c r="BA178" s="78">
        <f t="shared" si="153"/>
        <v>0</v>
      </c>
      <c r="BB178" s="80">
        <f t="shared" si="154"/>
        <v>0</v>
      </c>
      <c r="BC178" s="77">
        <f t="shared" si="155"/>
        <v>8.0935251973744275</v>
      </c>
      <c r="BD178" s="77">
        <f t="shared" si="156"/>
        <v>9.2745873565003016</v>
      </c>
      <c r="BE178" s="77">
        <f t="shared" si="157"/>
        <v>0</v>
      </c>
      <c r="BF178" s="77">
        <f t="shared" si="158"/>
        <v>0</v>
      </c>
      <c r="BG178" s="77">
        <f t="shared" si="159"/>
        <v>0</v>
      </c>
      <c r="BH178" s="77">
        <f t="shared" si="160"/>
        <v>0</v>
      </c>
      <c r="BI178" s="77">
        <f t="shared" si="161"/>
        <v>0</v>
      </c>
      <c r="BJ178" s="80">
        <f t="shared" si="167"/>
        <v>0</v>
      </c>
      <c r="BK178" s="77">
        <f t="shared" si="168"/>
        <v>1.3680554512626908</v>
      </c>
      <c r="BL178" s="77">
        <f t="shared" si="169"/>
        <v>1.5676913930395071</v>
      </c>
      <c r="BM178" s="77">
        <f t="shared" si="170"/>
        <v>0</v>
      </c>
      <c r="BN178" s="77">
        <f t="shared" si="171"/>
        <v>0</v>
      </c>
      <c r="BO178" s="77">
        <f t="shared" si="172"/>
        <v>0</v>
      </c>
      <c r="BP178" s="77">
        <f t="shared" si="173"/>
        <v>0</v>
      </c>
      <c r="BQ178" s="92">
        <f t="shared" si="174"/>
        <v>0</v>
      </c>
      <c r="BR178" s="81">
        <f t="shared" si="162"/>
        <v>100</v>
      </c>
      <c r="BS178" s="79">
        <f t="shared" si="163"/>
        <v>79.316239316239319</v>
      </c>
      <c r="BT178" s="79">
        <f t="shared" si="164"/>
        <v>10.683760683760683</v>
      </c>
      <c r="BU178" s="79">
        <f t="shared" si="165"/>
        <v>0</v>
      </c>
      <c r="BV178" s="79">
        <f t="shared" si="180"/>
        <v>0</v>
      </c>
      <c r="BW178" s="79">
        <f t="shared" si="177"/>
        <v>0</v>
      </c>
      <c r="BX178" s="79">
        <f t="shared" si="178"/>
        <v>0</v>
      </c>
      <c r="BY178" s="79">
        <f t="shared" si="179"/>
        <v>0</v>
      </c>
      <c r="BZ178" s="81">
        <f t="shared" si="175"/>
        <v>0</v>
      </c>
      <c r="CA178" s="79">
        <f t="shared" si="175"/>
        <v>20.683760683760681</v>
      </c>
      <c r="CB178" s="79">
        <f t="shared" si="175"/>
        <v>89.316239316239319</v>
      </c>
      <c r="CC178" s="79">
        <f t="shared" si="175"/>
        <v>100</v>
      </c>
      <c r="CD178" s="79">
        <f t="shared" si="175"/>
        <v>100</v>
      </c>
      <c r="CE178" s="79">
        <f t="shared" si="129"/>
        <v>100</v>
      </c>
      <c r="CF178" s="79">
        <f t="shared" si="129"/>
        <v>100</v>
      </c>
      <c r="CG178" s="264">
        <f t="shared" si="129"/>
        <v>100</v>
      </c>
    </row>
    <row r="179" spans="2:85" x14ac:dyDescent="0.3">
      <c r="B179" s="409"/>
      <c r="C179" s="412"/>
      <c r="D179" s="70" t="s">
        <v>803</v>
      </c>
      <c r="E179" s="65">
        <v>10</v>
      </c>
      <c r="F179" s="65">
        <v>9</v>
      </c>
      <c r="G179" s="66">
        <v>13</v>
      </c>
      <c r="H179" s="65">
        <f t="shared" si="166"/>
        <v>32</v>
      </c>
      <c r="I179" s="67">
        <v>7</v>
      </c>
      <c r="J179" s="67">
        <v>8</v>
      </c>
      <c r="K179" s="66">
        <v>8</v>
      </c>
      <c r="L179" s="67">
        <v>4</v>
      </c>
      <c r="M179" s="67">
        <v>5</v>
      </c>
      <c r="N179" s="66">
        <v>7</v>
      </c>
      <c r="O179" s="67">
        <v>3</v>
      </c>
      <c r="P179" s="67">
        <v>1</v>
      </c>
      <c r="Q179" s="66">
        <v>0</v>
      </c>
      <c r="R179" s="67">
        <v>2</v>
      </c>
      <c r="S179" s="67">
        <v>0</v>
      </c>
      <c r="T179" s="66">
        <v>0</v>
      </c>
      <c r="U179" s="67">
        <v>2</v>
      </c>
      <c r="V179" s="67">
        <v>0</v>
      </c>
      <c r="W179" s="66">
        <v>0</v>
      </c>
      <c r="X179" s="67">
        <v>2</v>
      </c>
      <c r="Y179" s="67">
        <v>0</v>
      </c>
      <c r="Z179" s="66">
        <v>0</v>
      </c>
      <c r="AA179" s="67">
        <v>2</v>
      </c>
      <c r="AB179" s="67">
        <v>0</v>
      </c>
      <c r="AC179" s="66">
        <v>0</v>
      </c>
      <c r="AD179" s="65">
        <f t="shared" si="130"/>
        <v>100</v>
      </c>
      <c r="AE179" s="65">
        <f t="shared" si="131"/>
        <v>100</v>
      </c>
      <c r="AF179" s="66">
        <f t="shared" si="132"/>
        <v>100</v>
      </c>
      <c r="AG179" s="65">
        <f t="shared" si="133"/>
        <v>70</v>
      </c>
      <c r="AH179" s="65">
        <f t="shared" si="134"/>
        <v>88.888888888888886</v>
      </c>
      <c r="AI179" s="66">
        <f t="shared" si="135"/>
        <v>61.53846153846154</v>
      </c>
      <c r="AJ179" s="65">
        <f t="shared" si="136"/>
        <v>40</v>
      </c>
      <c r="AK179" s="65">
        <f t="shared" si="137"/>
        <v>55.555555555555557</v>
      </c>
      <c r="AL179" s="66">
        <f t="shared" si="138"/>
        <v>53.846153846153847</v>
      </c>
      <c r="AM179" s="65">
        <f t="shared" si="139"/>
        <v>30</v>
      </c>
      <c r="AN179" s="65">
        <f t="shared" si="140"/>
        <v>11.111111111111111</v>
      </c>
      <c r="AO179" s="66">
        <f t="shared" si="141"/>
        <v>0</v>
      </c>
      <c r="AP179" s="65">
        <f t="shared" si="142"/>
        <v>20</v>
      </c>
      <c r="AQ179" s="65">
        <f t="shared" si="143"/>
        <v>0</v>
      </c>
      <c r="AR179" s="66">
        <f t="shared" si="144"/>
        <v>0</v>
      </c>
      <c r="AS179" s="65">
        <f t="shared" si="145"/>
        <v>20</v>
      </c>
      <c r="AT179" s="65">
        <f t="shared" si="146"/>
        <v>0</v>
      </c>
      <c r="AU179" s="66">
        <f t="shared" si="147"/>
        <v>0</v>
      </c>
      <c r="AV179" s="65">
        <f t="shared" si="148"/>
        <v>20</v>
      </c>
      <c r="AW179" s="65">
        <f t="shared" si="149"/>
        <v>0</v>
      </c>
      <c r="AX179" s="66">
        <f t="shared" si="150"/>
        <v>0</v>
      </c>
      <c r="AY179" s="65">
        <f t="shared" si="151"/>
        <v>20</v>
      </c>
      <c r="AZ179" s="65">
        <f t="shared" si="152"/>
        <v>0</v>
      </c>
      <c r="BA179" s="66">
        <f t="shared" si="153"/>
        <v>0</v>
      </c>
      <c r="BB179" s="68">
        <f t="shared" si="154"/>
        <v>0</v>
      </c>
      <c r="BC179" s="65">
        <f t="shared" si="155"/>
        <v>14.002580909983964</v>
      </c>
      <c r="BD179" s="65">
        <f t="shared" si="156"/>
        <v>8.5304683261182497</v>
      </c>
      <c r="BE179" s="65">
        <f t="shared" si="157"/>
        <v>15.167107577365384</v>
      </c>
      <c r="BF179" s="65">
        <f t="shared" si="158"/>
        <v>11.547005383792515</v>
      </c>
      <c r="BG179" s="65">
        <f t="shared" si="159"/>
        <v>11.547005383792515</v>
      </c>
      <c r="BH179" s="65">
        <f t="shared" si="160"/>
        <v>11.547005383792515</v>
      </c>
      <c r="BI179" s="65">
        <f t="shared" si="161"/>
        <v>11.547005383792515</v>
      </c>
      <c r="BJ179" s="68">
        <f t="shared" si="167"/>
        <v>0</v>
      </c>
      <c r="BK179" s="65">
        <f t="shared" si="168"/>
        <v>2.4753299788907395</v>
      </c>
      <c r="BL179" s="65">
        <f t="shared" si="169"/>
        <v>1.5079880000238177</v>
      </c>
      <c r="BM179" s="65">
        <f t="shared" si="170"/>
        <v>2.6811911547352327</v>
      </c>
      <c r="BN179" s="65">
        <f t="shared" si="171"/>
        <v>2.0412414523193148</v>
      </c>
      <c r="BO179" s="65">
        <f t="shared" si="172"/>
        <v>2.0412414523193148</v>
      </c>
      <c r="BP179" s="65">
        <f t="shared" si="173"/>
        <v>2.0412414523193148</v>
      </c>
      <c r="BQ179" s="90">
        <f t="shared" si="174"/>
        <v>2.0412414523193148</v>
      </c>
      <c r="BR179" s="69">
        <f t="shared" si="162"/>
        <v>100</v>
      </c>
      <c r="BS179" s="67">
        <f t="shared" si="163"/>
        <v>73.475783475783473</v>
      </c>
      <c r="BT179" s="67">
        <f t="shared" si="164"/>
        <v>49.800569800569804</v>
      </c>
      <c r="BU179" s="67">
        <f t="shared" si="165"/>
        <v>13.703703703703704</v>
      </c>
      <c r="BV179" s="67">
        <f t="shared" si="180"/>
        <v>6.666666666666667</v>
      </c>
      <c r="BW179" s="67">
        <f t="shared" si="177"/>
        <v>6.666666666666667</v>
      </c>
      <c r="BX179" s="67">
        <f t="shared" si="178"/>
        <v>6.666666666666667</v>
      </c>
      <c r="BY179" s="67">
        <f t="shared" si="179"/>
        <v>6.666666666666667</v>
      </c>
      <c r="BZ179" s="69">
        <f t="shared" si="175"/>
        <v>0</v>
      </c>
      <c r="CA179" s="67">
        <f t="shared" si="175"/>
        <v>26.524216524216527</v>
      </c>
      <c r="CB179" s="67">
        <f t="shared" si="175"/>
        <v>50.199430199430196</v>
      </c>
      <c r="CC179" s="67">
        <f t="shared" si="175"/>
        <v>86.296296296296291</v>
      </c>
      <c r="CD179" s="67">
        <f t="shared" si="175"/>
        <v>93.333333333333329</v>
      </c>
      <c r="CE179" s="67">
        <f t="shared" si="129"/>
        <v>93.333333333333329</v>
      </c>
      <c r="CF179" s="67">
        <f t="shared" si="129"/>
        <v>93.333333333333329</v>
      </c>
      <c r="CG179" s="116">
        <f t="shared" si="129"/>
        <v>93.333333333333329</v>
      </c>
    </row>
    <row r="180" spans="2:85" x14ac:dyDescent="0.3">
      <c r="B180" s="409"/>
      <c r="C180" s="412"/>
      <c r="D180" s="70" t="s">
        <v>804</v>
      </c>
      <c r="E180" s="65">
        <v>11</v>
      </c>
      <c r="F180" s="65">
        <v>11</v>
      </c>
      <c r="G180" s="66">
        <v>12</v>
      </c>
      <c r="H180" s="65">
        <f t="shared" si="166"/>
        <v>34</v>
      </c>
      <c r="I180" s="67">
        <v>7</v>
      </c>
      <c r="J180" s="67">
        <v>9</v>
      </c>
      <c r="K180" s="66">
        <v>8</v>
      </c>
      <c r="L180" s="67">
        <v>6</v>
      </c>
      <c r="M180" s="67">
        <v>7</v>
      </c>
      <c r="N180" s="66">
        <v>6</v>
      </c>
      <c r="O180" s="67">
        <v>4</v>
      </c>
      <c r="P180" s="67">
        <v>4</v>
      </c>
      <c r="Q180" s="66">
        <v>4</v>
      </c>
      <c r="R180" s="67">
        <v>3</v>
      </c>
      <c r="S180" s="67">
        <v>4</v>
      </c>
      <c r="T180" s="66">
        <v>3</v>
      </c>
      <c r="U180" s="67">
        <v>3</v>
      </c>
      <c r="V180" s="67">
        <v>3</v>
      </c>
      <c r="W180" s="66">
        <v>3</v>
      </c>
      <c r="X180" s="67">
        <v>3</v>
      </c>
      <c r="Y180" s="67">
        <v>3</v>
      </c>
      <c r="Z180" s="66">
        <v>3</v>
      </c>
      <c r="AA180" s="67">
        <v>4</v>
      </c>
      <c r="AB180" s="67">
        <v>2</v>
      </c>
      <c r="AC180" s="66">
        <v>2</v>
      </c>
      <c r="AD180" s="65">
        <f t="shared" si="130"/>
        <v>100.00000000000001</v>
      </c>
      <c r="AE180" s="65">
        <f t="shared" si="131"/>
        <v>100.00000000000001</v>
      </c>
      <c r="AF180" s="66">
        <f t="shared" si="132"/>
        <v>100</v>
      </c>
      <c r="AG180" s="65">
        <f t="shared" si="133"/>
        <v>63.63636363636364</v>
      </c>
      <c r="AH180" s="65">
        <f t="shared" si="134"/>
        <v>81.818181818181827</v>
      </c>
      <c r="AI180" s="66">
        <f t="shared" si="135"/>
        <v>66.666666666666671</v>
      </c>
      <c r="AJ180" s="65">
        <f t="shared" si="136"/>
        <v>54.545454545454547</v>
      </c>
      <c r="AK180" s="65">
        <f t="shared" si="137"/>
        <v>63.63636363636364</v>
      </c>
      <c r="AL180" s="66">
        <f t="shared" si="138"/>
        <v>50</v>
      </c>
      <c r="AM180" s="65">
        <f t="shared" si="139"/>
        <v>36.363636363636367</v>
      </c>
      <c r="AN180" s="65">
        <f t="shared" si="140"/>
        <v>36.363636363636367</v>
      </c>
      <c r="AO180" s="66">
        <f t="shared" si="141"/>
        <v>33.333333333333336</v>
      </c>
      <c r="AP180" s="65">
        <f t="shared" si="142"/>
        <v>27.272727272727273</v>
      </c>
      <c r="AQ180" s="65">
        <f t="shared" si="143"/>
        <v>36.363636363636367</v>
      </c>
      <c r="AR180" s="66">
        <f t="shared" si="144"/>
        <v>25</v>
      </c>
      <c r="AS180" s="65">
        <f t="shared" si="145"/>
        <v>27.272727272727273</v>
      </c>
      <c r="AT180" s="65">
        <f t="shared" si="146"/>
        <v>27.272727272727273</v>
      </c>
      <c r="AU180" s="66">
        <f t="shared" si="147"/>
        <v>25</v>
      </c>
      <c r="AV180" s="65">
        <f t="shared" si="148"/>
        <v>27.272727272727273</v>
      </c>
      <c r="AW180" s="65">
        <f t="shared" si="149"/>
        <v>27.272727272727273</v>
      </c>
      <c r="AX180" s="66">
        <f t="shared" si="150"/>
        <v>25</v>
      </c>
      <c r="AY180" s="65">
        <f t="shared" si="151"/>
        <v>36.363636363636367</v>
      </c>
      <c r="AZ180" s="65">
        <f t="shared" si="152"/>
        <v>18.181818181818183</v>
      </c>
      <c r="BA180" s="66">
        <f t="shared" si="153"/>
        <v>16.666666666666668</v>
      </c>
      <c r="BB180" s="68">
        <f t="shared" si="154"/>
        <v>1.4210854715202004E-14</v>
      </c>
      <c r="BC180" s="65">
        <f t="shared" si="155"/>
        <v>9.7410613747404184</v>
      </c>
      <c r="BD180" s="65">
        <f t="shared" si="156"/>
        <v>6.9432965075088529</v>
      </c>
      <c r="BE180" s="65">
        <f t="shared" si="157"/>
        <v>1.7495462702715938</v>
      </c>
      <c r="BF180" s="65">
        <f t="shared" si="158"/>
        <v>6.0130711615104371</v>
      </c>
      <c r="BG180" s="65">
        <f t="shared" si="159"/>
        <v>1.3121597027036953</v>
      </c>
      <c r="BH180" s="65">
        <f t="shared" si="160"/>
        <v>1.3121597027036953</v>
      </c>
      <c r="BI180" s="65">
        <f t="shared" si="161"/>
        <v>10.960875966773092</v>
      </c>
      <c r="BJ180" s="68">
        <f t="shared" si="167"/>
        <v>2.4371414773228938E-15</v>
      </c>
      <c r="BK180" s="65">
        <f t="shared" si="168"/>
        <v>1.6705782435543237</v>
      </c>
      <c r="BL180" s="65">
        <f t="shared" si="169"/>
        <v>1.1907655272626911</v>
      </c>
      <c r="BM180" s="65">
        <f t="shared" si="170"/>
        <v>0.3000447099929317</v>
      </c>
      <c r="BN180" s="65">
        <f t="shared" si="171"/>
        <v>1.0312331965602621</v>
      </c>
      <c r="BO180" s="65">
        <f t="shared" si="172"/>
        <v>0.22503353249469876</v>
      </c>
      <c r="BP180" s="65">
        <f t="shared" si="173"/>
        <v>0.22503353249469876</v>
      </c>
      <c r="BQ180" s="90">
        <f t="shared" si="174"/>
        <v>1.8797747202241137</v>
      </c>
      <c r="BR180" s="69">
        <f t="shared" si="162"/>
        <v>100</v>
      </c>
      <c r="BS180" s="67">
        <f t="shared" si="163"/>
        <v>70.707070707070713</v>
      </c>
      <c r="BT180" s="67">
        <f t="shared" si="164"/>
        <v>56.060606060606062</v>
      </c>
      <c r="BU180" s="67">
        <f t="shared" si="165"/>
        <v>35.353535353535356</v>
      </c>
      <c r="BV180" s="67">
        <f t="shared" si="180"/>
        <v>29.545454545454547</v>
      </c>
      <c r="BW180" s="67">
        <f t="shared" si="177"/>
        <v>26.515151515151516</v>
      </c>
      <c r="BX180" s="67">
        <f t="shared" si="178"/>
        <v>26.515151515151516</v>
      </c>
      <c r="BY180" s="67">
        <f t="shared" si="179"/>
        <v>26.515151515151516</v>
      </c>
      <c r="BZ180" s="69">
        <f t="shared" si="175"/>
        <v>0</v>
      </c>
      <c r="CA180" s="67">
        <f t="shared" si="175"/>
        <v>29.292929292929287</v>
      </c>
      <c r="CB180" s="67">
        <f t="shared" si="175"/>
        <v>43.939393939393938</v>
      </c>
      <c r="CC180" s="67">
        <f t="shared" si="175"/>
        <v>64.646464646464636</v>
      </c>
      <c r="CD180" s="67">
        <f t="shared" si="175"/>
        <v>70.454545454545453</v>
      </c>
      <c r="CE180" s="67">
        <f t="shared" si="129"/>
        <v>73.484848484848484</v>
      </c>
      <c r="CF180" s="67">
        <f t="shared" si="129"/>
        <v>73.484848484848484</v>
      </c>
      <c r="CG180" s="116">
        <f t="shared" si="129"/>
        <v>73.484848484848484</v>
      </c>
    </row>
    <row r="181" spans="2:85" x14ac:dyDescent="0.3">
      <c r="B181" s="410"/>
      <c r="C181" s="413"/>
      <c r="D181" s="70" t="s">
        <v>805</v>
      </c>
      <c r="E181" s="71">
        <v>14</v>
      </c>
      <c r="F181" s="71">
        <v>15</v>
      </c>
      <c r="G181" s="72">
        <v>11</v>
      </c>
      <c r="H181" s="71">
        <f t="shared" si="166"/>
        <v>40</v>
      </c>
      <c r="I181" s="73">
        <v>11</v>
      </c>
      <c r="J181" s="73">
        <v>13</v>
      </c>
      <c r="K181" s="72">
        <v>11</v>
      </c>
      <c r="L181" s="73">
        <v>11</v>
      </c>
      <c r="M181" s="73">
        <v>12</v>
      </c>
      <c r="N181" s="72">
        <v>11</v>
      </c>
      <c r="O181" s="73">
        <v>10</v>
      </c>
      <c r="P181" s="73">
        <v>10</v>
      </c>
      <c r="Q181" s="72">
        <v>9</v>
      </c>
      <c r="R181" s="73">
        <v>10</v>
      </c>
      <c r="S181" s="73">
        <v>10</v>
      </c>
      <c r="T181" s="72">
        <v>9</v>
      </c>
      <c r="U181" s="73">
        <v>9</v>
      </c>
      <c r="V181" s="73">
        <v>9</v>
      </c>
      <c r="W181" s="72">
        <v>9</v>
      </c>
      <c r="X181" s="73">
        <v>8</v>
      </c>
      <c r="Y181" s="73">
        <v>6</v>
      </c>
      <c r="Z181" s="72">
        <v>9</v>
      </c>
      <c r="AA181" s="73">
        <v>5</v>
      </c>
      <c r="AB181" s="73">
        <v>5</v>
      </c>
      <c r="AC181" s="72">
        <v>9</v>
      </c>
      <c r="AD181" s="71">
        <f t="shared" si="130"/>
        <v>100</v>
      </c>
      <c r="AE181" s="71">
        <f t="shared" si="131"/>
        <v>100</v>
      </c>
      <c r="AF181" s="72">
        <f t="shared" si="132"/>
        <v>100.00000000000001</v>
      </c>
      <c r="AG181" s="71">
        <f t="shared" si="133"/>
        <v>78.571428571428569</v>
      </c>
      <c r="AH181" s="71">
        <f t="shared" si="134"/>
        <v>86.666666666666671</v>
      </c>
      <c r="AI181" s="72">
        <f t="shared" si="135"/>
        <v>100.00000000000001</v>
      </c>
      <c r="AJ181" s="71">
        <f t="shared" si="136"/>
        <v>78.571428571428569</v>
      </c>
      <c r="AK181" s="71">
        <f t="shared" si="137"/>
        <v>80</v>
      </c>
      <c r="AL181" s="72">
        <f t="shared" si="138"/>
        <v>100.00000000000001</v>
      </c>
      <c r="AM181" s="71">
        <f t="shared" si="139"/>
        <v>71.428571428571431</v>
      </c>
      <c r="AN181" s="71">
        <f t="shared" si="140"/>
        <v>66.666666666666671</v>
      </c>
      <c r="AO181" s="72">
        <f t="shared" si="141"/>
        <v>81.818181818181827</v>
      </c>
      <c r="AP181" s="71">
        <f t="shared" si="142"/>
        <v>71.428571428571431</v>
      </c>
      <c r="AQ181" s="71">
        <f t="shared" si="143"/>
        <v>66.666666666666671</v>
      </c>
      <c r="AR181" s="72">
        <f t="shared" si="144"/>
        <v>81.818181818181827</v>
      </c>
      <c r="AS181" s="71">
        <f t="shared" si="145"/>
        <v>64.285714285714292</v>
      </c>
      <c r="AT181" s="71">
        <f t="shared" si="146"/>
        <v>60</v>
      </c>
      <c r="AU181" s="72">
        <f t="shared" si="147"/>
        <v>81.818181818181827</v>
      </c>
      <c r="AV181" s="71">
        <f t="shared" si="148"/>
        <v>57.142857142857146</v>
      </c>
      <c r="AW181" s="71">
        <f t="shared" si="149"/>
        <v>40</v>
      </c>
      <c r="AX181" s="72">
        <f t="shared" si="150"/>
        <v>81.818181818181827</v>
      </c>
      <c r="AY181" s="71">
        <f t="shared" si="151"/>
        <v>35.714285714285715</v>
      </c>
      <c r="AZ181" s="71">
        <f t="shared" si="152"/>
        <v>33.333333333333336</v>
      </c>
      <c r="BA181" s="72">
        <f t="shared" si="153"/>
        <v>81.818181818181827</v>
      </c>
      <c r="BB181" s="74">
        <f t="shared" si="154"/>
        <v>1.0048591735576161E-14</v>
      </c>
      <c r="BC181" s="71">
        <f t="shared" si="155"/>
        <v>10.820461566447159</v>
      </c>
      <c r="BD181" s="71">
        <f t="shared" si="156"/>
        <v>11.980710119437379</v>
      </c>
      <c r="BE181" s="71">
        <f t="shared" si="157"/>
        <v>7.7479906254884865</v>
      </c>
      <c r="BF181" s="71">
        <f t="shared" si="158"/>
        <v>7.7479906254884865</v>
      </c>
      <c r="BG181" s="71">
        <f t="shared" si="159"/>
        <v>11.559900681285004</v>
      </c>
      <c r="BH181" s="71">
        <f t="shared" si="160"/>
        <v>21.021851842910213</v>
      </c>
      <c r="BI181" s="71">
        <f t="shared" si="161"/>
        <v>27.331357762339358</v>
      </c>
      <c r="BJ181" s="74">
        <f t="shared" si="167"/>
        <v>1.5888218580782547E-15</v>
      </c>
      <c r="BK181" s="71">
        <f t="shared" si="168"/>
        <v>1.7108651942143198</v>
      </c>
      <c r="BL181" s="71">
        <f t="shared" si="169"/>
        <v>1.894316598182503</v>
      </c>
      <c r="BM181" s="71">
        <f t="shared" si="170"/>
        <v>1.2250648833088134</v>
      </c>
      <c r="BN181" s="71">
        <f t="shared" si="171"/>
        <v>1.2250648833088134</v>
      </c>
      <c r="BO181" s="71">
        <f t="shared" si="172"/>
        <v>1.8277807839096398</v>
      </c>
      <c r="BP181" s="71">
        <f t="shared" si="173"/>
        <v>3.3238466229102217</v>
      </c>
      <c r="BQ181" s="91">
        <f t="shared" si="174"/>
        <v>4.3214671036957686</v>
      </c>
      <c r="BR181" s="75">
        <f t="shared" si="162"/>
        <v>100</v>
      </c>
      <c r="BS181" s="73">
        <f t="shared" si="163"/>
        <v>88.412698412698418</v>
      </c>
      <c r="BT181" s="73">
        <f t="shared" si="164"/>
        <v>86.19047619047619</v>
      </c>
      <c r="BU181" s="73">
        <f t="shared" si="165"/>
        <v>73.304473304473319</v>
      </c>
      <c r="BV181" s="73">
        <f t="shared" si="180"/>
        <v>73.304473304473319</v>
      </c>
      <c r="BW181" s="73">
        <f t="shared" si="177"/>
        <v>68.701298701298711</v>
      </c>
      <c r="BX181" s="73">
        <f t="shared" si="178"/>
        <v>66.320346320346317</v>
      </c>
      <c r="BY181" s="73">
        <f t="shared" si="179"/>
        <v>59.65367965367966</v>
      </c>
      <c r="BZ181" s="75">
        <f t="shared" si="175"/>
        <v>0</v>
      </c>
      <c r="CA181" s="73">
        <f t="shared" si="175"/>
        <v>11.587301587301582</v>
      </c>
      <c r="CB181" s="73">
        <f t="shared" si="175"/>
        <v>13.80952380952381</v>
      </c>
      <c r="CC181" s="73">
        <f t="shared" si="175"/>
        <v>26.695526695526681</v>
      </c>
      <c r="CD181" s="73">
        <f t="shared" si="175"/>
        <v>26.695526695526681</v>
      </c>
      <c r="CE181" s="73">
        <f t="shared" si="129"/>
        <v>31.298701298701289</v>
      </c>
      <c r="CF181" s="73">
        <f t="shared" si="129"/>
        <v>33.679653679653683</v>
      </c>
      <c r="CG181" s="265">
        <f t="shared" si="129"/>
        <v>40.34632034632034</v>
      </c>
    </row>
    <row r="182" spans="2:85" ht="15" customHeight="1" x14ac:dyDescent="0.3">
      <c r="B182" s="408">
        <v>45</v>
      </c>
      <c r="C182" s="411" t="s">
        <v>563</v>
      </c>
      <c r="D182" s="76" t="s">
        <v>802</v>
      </c>
      <c r="E182" s="77">
        <v>12</v>
      </c>
      <c r="F182" s="77">
        <v>12</v>
      </c>
      <c r="G182" s="78">
        <v>12</v>
      </c>
      <c r="H182" s="77">
        <f t="shared" si="166"/>
        <v>36</v>
      </c>
      <c r="I182" s="79">
        <v>9</v>
      </c>
      <c r="J182" s="79">
        <v>9</v>
      </c>
      <c r="K182" s="78">
        <v>9</v>
      </c>
      <c r="L182" s="79">
        <v>4</v>
      </c>
      <c r="M182" s="79">
        <v>3</v>
      </c>
      <c r="N182" s="78">
        <v>5</v>
      </c>
      <c r="O182" s="79">
        <v>4</v>
      </c>
      <c r="P182" s="79">
        <v>3</v>
      </c>
      <c r="Q182" s="78">
        <v>5</v>
      </c>
      <c r="R182" s="79">
        <v>1</v>
      </c>
      <c r="S182" s="79">
        <v>1</v>
      </c>
      <c r="T182" s="78">
        <v>2</v>
      </c>
      <c r="U182" s="79">
        <v>0</v>
      </c>
      <c r="V182" s="79">
        <v>0</v>
      </c>
      <c r="W182" s="78">
        <v>0</v>
      </c>
      <c r="X182" s="79">
        <v>0</v>
      </c>
      <c r="Y182" s="79">
        <v>0</v>
      </c>
      <c r="Z182" s="78">
        <v>0</v>
      </c>
      <c r="AA182" s="79">
        <v>0</v>
      </c>
      <c r="AB182" s="79">
        <v>0</v>
      </c>
      <c r="AC182" s="78">
        <v>0</v>
      </c>
      <c r="AD182" s="77">
        <f t="shared" si="130"/>
        <v>100</v>
      </c>
      <c r="AE182" s="77">
        <f t="shared" si="131"/>
        <v>100</v>
      </c>
      <c r="AF182" s="78">
        <f t="shared" si="132"/>
        <v>100</v>
      </c>
      <c r="AG182" s="77">
        <f t="shared" si="133"/>
        <v>75</v>
      </c>
      <c r="AH182" s="77">
        <f t="shared" si="134"/>
        <v>75</v>
      </c>
      <c r="AI182" s="78">
        <f t="shared" si="135"/>
        <v>75</v>
      </c>
      <c r="AJ182" s="77">
        <f t="shared" si="136"/>
        <v>33.333333333333336</v>
      </c>
      <c r="AK182" s="77">
        <f t="shared" si="137"/>
        <v>25</v>
      </c>
      <c r="AL182" s="78">
        <f t="shared" si="138"/>
        <v>41.666666666666671</v>
      </c>
      <c r="AM182" s="77">
        <f t="shared" si="139"/>
        <v>33.333333333333336</v>
      </c>
      <c r="AN182" s="77">
        <f t="shared" si="140"/>
        <v>25</v>
      </c>
      <c r="AO182" s="78">
        <f t="shared" si="141"/>
        <v>41.666666666666671</v>
      </c>
      <c r="AP182" s="77">
        <f t="shared" si="142"/>
        <v>8.3333333333333339</v>
      </c>
      <c r="AQ182" s="77">
        <f t="shared" si="143"/>
        <v>8.3333333333333339</v>
      </c>
      <c r="AR182" s="78">
        <f t="shared" si="144"/>
        <v>16.666666666666668</v>
      </c>
      <c r="AS182" s="77">
        <f t="shared" si="145"/>
        <v>0</v>
      </c>
      <c r="AT182" s="77">
        <f t="shared" si="146"/>
        <v>0</v>
      </c>
      <c r="AU182" s="78">
        <f t="shared" si="147"/>
        <v>0</v>
      </c>
      <c r="AV182" s="77">
        <f t="shared" si="148"/>
        <v>0</v>
      </c>
      <c r="AW182" s="77">
        <f t="shared" si="149"/>
        <v>0</v>
      </c>
      <c r="AX182" s="78">
        <f t="shared" si="150"/>
        <v>0</v>
      </c>
      <c r="AY182" s="77">
        <f t="shared" si="151"/>
        <v>0</v>
      </c>
      <c r="AZ182" s="77">
        <f t="shared" si="152"/>
        <v>0</v>
      </c>
      <c r="BA182" s="78">
        <f t="shared" si="153"/>
        <v>0</v>
      </c>
      <c r="BB182" s="80">
        <f t="shared" si="154"/>
        <v>0</v>
      </c>
      <c r="BC182" s="77">
        <f t="shared" si="155"/>
        <v>0</v>
      </c>
      <c r="BD182" s="77">
        <f t="shared" si="156"/>
        <v>8.333333333333341</v>
      </c>
      <c r="BE182" s="77">
        <f t="shared" si="157"/>
        <v>8.333333333333341</v>
      </c>
      <c r="BF182" s="77">
        <f t="shared" si="158"/>
        <v>4.8112522432468818</v>
      </c>
      <c r="BG182" s="77">
        <f t="shared" si="159"/>
        <v>0</v>
      </c>
      <c r="BH182" s="77">
        <f t="shared" si="160"/>
        <v>0</v>
      </c>
      <c r="BI182" s="77">
        <f t="shared" si="161"/>
        <v>0</v>
      </c>
      <c r="BJ182" s="80">
        <f t="shared" si="167"/>
        <v>0</v>
      </c>
      <c r="BK182" s="77">
        <f t="shared" si="168"/>
        <v>0</v>
      </c>
      <c r="BL182" s="77">
        <f t="shared" si="169"/>
        <v>1.3888888888888902</v>
      </c>
      <c r="BM182" s="77">
        <f t="shared" si="170"/>
        <v>1.3888888888888902</v>
      </c>
      <c r="BN182" s="77">
        <f t="shared" si="171"/>
        <v>0.80187537387448027</v>
      </c>
      <c r="BO182" s="77">
        <f t="shared" si="172"/>
        <v>0</v>
      </c>
      <c r="BP182" s="77">
        <f t="shared" si="173"/>
        <v>0</v>
      </c>
      <c r="BQ182" s="92">
        <f t="shared" si="174"/>
        <v>0</v>
      </c>
      <c r="BR182" s="81">
        <f t="shared" si="162"/>
        <v>100</v>
      </c>
      <c r="BS182" s="79">
        <f t="shared" si="163"/>
        <v>75</v>
      </c>
      <c r="BT182" s="79">
        <f t="shared" si="164"/>
        <v>33.333333333333336</v>
      </c>
      <c r="BU182" s="79">
        <f t="shared" si="165"/>
        <v>33.333333333333336</v>
      </c>
      <c r="BV182" s="79">
        <f t="shared" si="180"/>
        <v>11.111111111111112</v>
      </c>
      <c r="BW182" s="79">
        <f t="shared" si="177"/>
        <v>0</v>
      </c>
      <c r="BX182" s="79">
        <f t="shared" si="178"/>
        <v>0</v>
      </c>
      <c r="BY182" s="79">
        <f t="shared" si="179"/>
        <v>0</v>
      </c>
      <c r="BZ182" s="81">
        <f t="shared" ref="BZ182:CG206" si="181">100-BR182</f>
        <v>0</v>
      </c>
      <c r="CA182" s="79">
        <f t="shared" si="181"/>
        <v>25</v>
      </c>
      <c r="CB182" s="79">
        <f t="shared" si="181"/>
        <v>66.666666666666657</v>
      </c>
      <c r="CC182" s="79">
        <f t="shared" si="181"/>
        <v>66.666666666666657</v>
      </c>
      <c r="CD182" s="79">
        <f t="shared" si="181"/>
        <v>88.888888888888886</v>
      </c>
      <c r="CE182" s="79">
        <f t="shared" si="129"/>
        <v>100</v>
      </c>
      <c r="CF182" s="79">
        <f t="shared" si="129"/>
        <v>100</v>
      </c>
      <c r="CG182" s="264">
        <f t="shared" si="129"/>
        <v>100</v>
      </c>
    </row>
    <row r="183" spans="2:85" x14ac:dyDescent="0.3">
      <c r="B183" s="409"/>
      <c r="C183" s="412"/>
      <c r="D183" s="70" t="s">
        <v>803</v>
      </c>
      <c r="E183" s="65">
        <v>12</v>
      </c>
      <c r="F183" s="65">
        <v>12</v>
      </c>
      <c r="G183" s="66">
        <v>12</v>
      </c>
      <c r="H183" s="65">
        <f t="shared" si="166"/>
        <v>36</v>
      </c>
      <c r="I183" s="67">
        <v>9</v>
      </c>
      <c r="J183" s="67">
        <v>8</v>
      </c>
      <c r="K183" s="66">
        <v>10</v>
      </c>
      <c r="L183" s="67">
        <v>8</v>
      </c>
      <c r="M183" s="67">
        <v>4</v>
      </c>
      <c r="N183" s="66">
        <v>7</v>
      </c>
      <c r="O183" s="67">
        <v>7</v>
      </c>
      <c r="P183" s="67">
        <v>4</v>
      </c>
      <c r="Q183" s="66">
        <v>5</v>
      </c>
      <c r="R183" s="67">
        <v>6</v>
      </c>
      <c r="S183" s="67">
        <v>2</v>
      </c>
      <c r="T183" s="66">
        <v>1</v>
      </c>
      <c r="U183" s="67">
        <v>1</v>
      </c>
      <c r="V183" s="67">
        <v>1</v>
      </c>
      <c r="W183" s="66">
        <v>0</v>
      </c>
      <c r="X183" s="67">
        <v>0</v>
      </c>
      <c r="Y183" s="67">
        <v>0</v>
      </c>
      <c r="Z183" s="66">
        <v>0</v>
      </c>
      <c r="AA183" s="67">
        <v>0</v>
      </c>
      <c r="AB183" s="67">
        <v>0</v>
      </c>
      <c r="AC183" s="66">
        <v>0</v>
      </c>
      <c r="AD183" s="65">
        <f t="shared" si="130"/>
        <v>100</v>
      </c>
      <c r="AE183" s="65">
        <f t="shared" si="131"/>
        <v>100</v>
      </c>
      <c r="AF183" s="66">
        <f t="shared" si="132"/>
        <v>100</v>
      </c>
      <c r="AG183" s="65">
        <f t="shared" si="133"/>
        <v>75</v>
      </c>
      <c r="AH183" s="65">
        <f t="shared" si="134"/>
        <v>66.666666666666671</v>
      </c>
      <c r="AI183" s="66">
        <f t="shared" si="135"/>
        <v>83.333333333333343</v>
      </c>
      <c r="AJ183" s="65">
        <f t="shared" si="136"/>
        <v>66.666666666666671</v>
      </c>
      <c r="AK183" s="65">
        <f t="shared" si="137"/>
        <v>33.333333333333336</v>
      </c>
      <c r="AL183" s="66">
        <f t="shared" si="138"/>
        <v>58.333333333333336</v>
      </c>
      <c r="AM183" s="65">
        <f t="shared" si="139"/>
        <v>58.333333333333336</v>
      </c>
      <c r="AN183" s="65">
        <f t="shared" si="140"/>
        <v>33.333333333333336</v>
      </c>
      <c r="AO183" s="66">
        <f t="shared" si="141"/>
        <v>41.666666666666671</v>
      </c>
      <c r="AP183" s="65">
        <f t="shared" si="142"/>
        <v>50</v>
      </c>
      <c r="AQ183" s="65">
        <f t="shared" si="143"/>
        <v>16.666666666666668</v>
      </c>
      <c r="AR183" s="66">
        <f t="shared" si="144"/>
        <v>8.3333333333333339</v>
      </c>
      <c r="AS183" s="65">
        <f t="shared" si="145"/>
        <v>8.3333333333333339</v>
      </c>
      <c r="AT183" s="65">
        <f t="shared" si="146"/>
        <v>8.3333333333333339</v>
      </c>
      <c r="AU183" s="66">
        <f t="shared" si="147"/>
        <v>0</v>
      </c>
      <c r="AV183" s="65">
        <f t="shared" si="148"/>
        <v>0</v>
      </c>
      <c r="AW183" s="65">
        <f t="shared" si="149"/>
        <v>0</v>
      </c>
      <c r="AX183" s="66">
        <f t="shared" si="150"/>
        <v>0</v>
      </c>
      <c r="AY183" s="65">
        <f t="shared" si="151"/>
        <v>0</v>
      </c>
      <c r="AZ183" s="65">
        <f t="shared" si="152"/>
        <v>0</v>
      </c>
      <c r="BA183" s="66">
        <f t="shared" si="153"/>
        <v>0</v>
      </c>
      <c r="BB183" s="68">
        <f t="shared" si="154"/>
        <v>0</v>
      </c>
      <c r="BC183" s="65">
        <f t="shared" si="155"/>
        <v>8.3333333333333357</v>
      </c>
      <c r="BD183" s="65">
        <f t="shared" si="156"/>
        <v>17.34721666221775</v>
      </c>
      <c r="BE183" s="65">
        <f t="shared" si="157"/>
        <v>12.729376930432867</v>
      </c>
      <c r="BF183" s="65">
        <f t="shared" si="158"/>
        <v>22.047927592204921</v>
      </c>
      <c r="BG183" s="65">
        <f t="shared" si="159"/>
        <v>4.8112522432468818</v>
      </c>
      <c r="BH183" s="65">
        <f t="shared" si="160"/>
        <v>0</v>
      </c>
      <c r="BI183" s="65">
        <f t="shared" si="161"/>
        <v>0</v>
      </c>
      <c r="BJ183" s="68">
        <f t="shared" si="167"/>
        <v>0</v>
      </c>
      <c r="BK183" s="65">
        <f t="shared" si="168"/>
        <v>1.3888888888888893</v>
      </c>
      <c r="BL183" s="65">
        <f t="shared" si="169"/>
        <v>2.8912027770362916</v>
      </c>
      <c r="BM183" s="65">
        <f t="shared" si="170"/>
        <v>2.1215628217388112</v>
      </c>
      <c r="BN183" s="65">
        <f t="shared" si="171"/>
        <v>3.6746545987008203</v>
      </c>
      <c r="BO183" s="65">
        <f t="shared" si="172"/>
        <v>0.80187537387448027</v>
      </c>
      <c r="BP183" s="65">
        <f t="shared" si="173"/>
        <v>0</v>
      </c>
      <c r="BQ183" s="90">
        <f t="shared" si="174"/>
        <v>0</v>
      </c>
      <c r="BR183" s="69">
        <f t="shared" si="162"/>
        <v>100</v>
      </c>
      <c r="BS183" s="67">
        <f t="shared" si="163"/>
        <v>75.000000000000014</v>
      </c>
      <c r="BT183" s="67">
        <f t="shared" si="164"/>
        <v>52.777777777777779</v>
      </c>
      <c r="BU183" s="67">
        <f t="shared" si="165"/>
        <v>44.44444444444445</v>
      </c>
      <c r="BV183" s="67">
        <f t="shared" si="180"/>
        <v>25</v>
      </c>
      <c r="BW183" s="67">
        <f t="shared" ref="BW183:BW206" si="182">AVERAGE(AS183:AU183)</f>
        <v>5.5555555555555562</v>
      </c>
      <c r="BX183" s="67">
        <f t="shared" si="178"/>
        <v>2.7777777777777781</v>
      </c>
      <c r="BY183" s="67">
        <f t="shared" si="179"/>
        <v>0</v>
      </c>
      <c r="BZ183" s="69">
        <f t="shared" si="181"/>
        <v>0</v>
      </c>
      <c r="CA183" s="67">
        <f t="shared" si="181"/>
        <v>24.999999999999986</v>
      </c>
      <c r="CB183" s="67">
        <f t="shared" si="181"/>
        <v>47.222222222222221</v>
      </c>
      <c r="CC183" s="67">
        <f t="shared" si="181"/>
        <v>55.55555555555555</v>
      </c>
      <c r="CD183" s="67">
        <f t="shared" si="181"/>
        <v>75</v>
      </c>
      <c r="CE183" s="67">
        <f t="shared" si="129"/>
        <v>94.444444444444443</v>
      </c>
      <c r="CF183" s="67">
        <f t="shared" si="129"/>
        <v>97.222222222222229</v>
      </c>
      <c r="CG183" s="116">
        <f t="shared" si="129"/>
        <v>100</v>
      </c>
    </row>
    <row r="184" spans="2:85" x14ac:dyDescent="0.3">
      <c r="B184" s="409"/>
      <c r="C184" s="412"/>
      <c r="D184" s="70" t="s">
        <v>804</v>
      </c>
      <c r="E184" s="65">
        <v>12</v>
      </c>
      <c r="F184" s="65">
        <v>12</v>
      </c>
      <c r="G184" s="66">
        <v>12</v>
      </c>
      <c r="H184" s="65">
        <f t="shared" si="166"/>
        <v>36</v>
      </c>
      <c r="I184" s="67">
        <v>11</v>
      </c>
      <c r="J184" s="67">
        <v>10</v>
      </c>
      <c r="K184" s="66">
        <v>10</v>
      </c>
      <c r="L184" s="67">
        <v>10</v>
      </c>
      <c r="M184" s="67">
        <v>8</v>
      </c>
      <c r="N184" s="66">
        <v>8</v>
      </c>
      <c r="O184" s="67">
        <v>10</v>
      </c>
      <c r="P184" s="67">
        <v>8</v>
      </c>
      <c r="Q184" s="66">
        <v>8</v>
      </c>
      <c r="R184" s="67">
        <v>10</v>
      </c>
      <c r="S184" s="67">
        <v>7</v>
      </c>
      <c r="T184" s="66">
        <v>8</v>
      </c>
      <c r="U184" s="67">
        <v>7</v>
      </c>
      <c r="V184" s="67">
        <v>7</v>
      </c>
      <c r="W184" s="66">
        <v>5</v>
      </c>
      <c r="X184" s="67">
        <v>7</v>
      </c>
      <c r="Y184" s="67">
        <v>7</v>
      </c>
      <c r="Z184" s="66">
        <v>5</v>
      </c>
      <c r="AA184" s="67">
        <v>5</v>
      </c>
      <c r="AB184" s="67">
        <v>6</v>
      </c>
      <c r="AC184" s="66">
        <v>5</v>
      </c>
      <c r="AD184" s="65">
        <f t="shared" si="130"/>
        <v>100</v>
      </c>
      <c r="AE184" s="65">
        <f t="shared" si="131"/>
        <v>100</v>
      </c>
      <c r="AF184" s="66">
        <f t="shared" si="132"/>
        <v>100</v>
      </c>
      <c r="AG184" s="65">
        <f t="shared" si="133"/>
        <v>91.666666666666671</v>
      </c>
      <c r="AH184" s="65">
        <f t="shared" si="134"/>
        <v>83.333333333333343</v>
      </c>
      <c r="AI184" s="66">
        <f t="shared" si="135"/>
        <v>83.333333333333343</v>
      </c>
      <c r="AJ184" s="65">
        <f t="shared" si="136"/>
        <v>83.333333333333343</v>
      </c>
      <c r="AK184" s="65">
        <f t="shared" si="137"/>
        <v>66.666666666666671</v>
      </c>
      <c r="AL184" s="66">
        <f t="shared" si="138"/>
        <v>66.666666666666671</v>
      </c>
      <c r="AM184" s="65">
        <f t="shared" si="139"/>
        <v>83.333333333333343</v>
      </c>
      <c r="AN184" s="65">
        <f t="shared" si="140"/>
        <v>66.666666666666671</v>
      </c>
      <c r="AO184" s="66">
        <f t="shared" si="141"/>
        <v>66.666666666666671</v>
      </c>
      <c r="AP184" s="65">
        <f t="shared" si="142"/>
        <v>83.333333333333343</v>
      </c>
      <c r="AQ184" s="65">
        <f t="shared" si="143"/>
        <v>58.333333333333336</v>
      </c>
      <c r="AR184" s="66">
        <f t="shared" si="144"/>
        <v>66.666666666666671</v>
      </c>
      <c r="AS184" s="65">
        <f t="shared" si="145"/>
        <v>58.333333333333336</v>
      </c>
      <c r="AT184" s="65">
        <f t="shared" si="146"/>
        <v>58.333333333333336</v>
      </c>
      <c r="AU184" s="66">
        <f t="shared" si="147"/>
        <v>41.666666666666671</v>
      </c>
      <c r="AV184" s="65">
        <f t="shared" si="148"/>
        <v>58.333333333333336</v>
      </c>
      <c r="AW184" s="65">
        <f t="shared" si="149"/>
        <v>58.333333333333336</v>
      </c>
      <c r="AX184" s="66">
        <f t="shared" si="150"/>
        <v>41.666666666666671</v>
      </c>
      <c r="AY184" s="65">
        <f t="shared" si="151"/>
        <v>41.666666666666671</v>
      </c>
      <c r="AZ184" s="65">
        <f t="shared" si="152"/>
        <v>50</v>
      </c>
      <c r="BA184" s="66">
        <f t="shared" si="153"/>
        <v>41.666666666666671</v>
      </c>
      <c r="BB184" s="68">
        <f t="shared" si="154"/>
        <v>0</v>
      </c>
      <c r="BC184" s="65">
        <f t="shared" si="155"/>
        <v>4.8112522432468792</v>
      </c>
      <c r="BD184" s="65">
        <f t="shared" si="156"/>
        <v>9.6225044864937406</v>
      </c>
      <c r="BE184" s="65">
        <f t="shared" si="157"/>
        <v>9.6225044864937406</v>
      </c>
      <c r="BF184" s="65">
        <f t="shared" si="158"/>
        <v>12.729376930432831</v>
      </c>
      <c r="BG184" s="65">
        <f t="shared" si="159"/>
        <v>9.6225044864937406</v>
      </c>
      <c r="BH184" s="65">
        <f t="shared" si="160"/>
        <v>9.6225044864937406</v>
      </c>
      <c r="BI184" s="65">
        <f t="shared" si="161"/>
        <v>4.8112522432468783</v>
      </c>
      <c r="BJ184" s="68">
        <f t="shared" si="167"/>
        <v>0</v>
      </c>
      <c r="BK184" s="65">
        <f t="shared" si="168"/>
        <v>0.80187537387447982</v>
      </c>
      <c r="BL184" s="65">
        <f t="shared" si="169"/>
        <v>1.6037507477489568</v>
      </c>
      <c r="BM184" s="65">
        <f t="shared" si="170"/>
        <v>1.6037507477489568</v>
      </c>
      <c r="BN184" s="65">
        <f t="shared" si="171"/>
        <v>2.1215628217388054</v>
      </c>
      <c r="BO184" s="65">
        <f t="shared" si="172"/>
        <v>1.6037507477489568</v>
      </c>
      <c r="BP184" s="65">
        <f t="shared" si="173"/>
        <v>1.6037507477489568</v>
      </c>
      <c r="BQ184" s="90">
        <f t="shared" si="174"/>
        <v>0.80187537387447971</v>
      </c>
      <c r="BR184" s="69">
        <f t="shared" si="162"/>
        <v>100</v>
      </c>
      <c r="BS184" s="67">
        <f t="shared" si="163"/>
        <v>86.111111111111128</v>
      </c>
      <c r="BT184" s="67">
        <f t="shared" si="164"/>
        <v>72.222222222222229</v>
      </c>
      <c r="BU184" s="67">
        <f t="shared" si="165"/>
        <v>72.222222222222229</v>
      </c>
      <c r="BV184" s="67">
        <f t="shared" si="180"/>
        <v>69.444444444444457</v>
      </c>
      <c r="BW184" s="67">
        <f t="shared" si="182"/>
        <v>52.777777777777779</v>
      </c>
      <c r="BX184" s="67">
        <f t="shared" si="178"/>
        <v>52.777777777777779</v>
      </c>
      <c r="BY184" s="67">
        <f t="shared" si="179"/>
        <v>52.777777777777779</v>
      </c>
      <c r="BZ184" s="69">
        <f t="shared" si="181"/>
        <v>0</v>
      </c>
      <c r="CA184" s="67">
        <f t="shared" si="181"/>
        <v>13.888888888888872</v>
      </c>
      <c r="CB184" s="67">
        <f t="shared" si="181"/>
        <v>27.777777777777771</v>
      </c>
      <c r="CC184" s="67">
        <f t="shared" si="181"/>
        <v>27.777777777777771</v>
      </c>
      <c r="CD184" s="67">
        <f t="shared" si="181"/>
        <v>30.555555555555543</v>
      </c>
      <c r="CE184" s="67">
        <f t="shared" si="129"/>
        <v>47.222222222222221</v>
      </c>
      <c r="CF184" s="67">
        <f t="shared" si="129"/>
        <v>47.222222222222221</v>
      </c>
      <c r="CG184" s="116">
        <f t="shared" si="129"/>
        <v>47.222222222222221</v>
      </c>
    </row>
    <row r="185" spans="2:85" x14ac:dyDescent="0.3">
      <c r="B185" s="410"/>
      <c r="C185" s="413"/>
      <c r="D185" s="70" t="s">
        <v>805</v>
      </c>
      <c r="E185" s="71">
        <v>12</v>
      </c>
      <c r="F185" s="71">
        <v>12</v>
      </c>
      <c r="G185" s="72">
        <v>12</v>
      </c>
      <c r="H185" s="71">
        <f t="shared" si="166"/>
        <v>36</v>
      </c>
      <c r="I185" s="73">
        <v>11</v>
      </c>
      <c r="J185" s="73">
        <v>10</v>
      </c>
      <c r="K185" s="72">
        <v>11</v>
      </c>
      <c r="L185" s="73">
        <v>10</v>
      </c>
      <c r="M185" s="73">
        <v>10</v>
      </c>
      <c r="N185" s="72">
        <v>10</v>
      </c>
      <c r="O185" s="73">
        <v>10</v>
      </c>
      <c r="P185" s="73">
        <v>10</v>
      </c>
      <c r="Q185" s="72">
        <v>10</v>
      </c>
      <c r="R185" s="73">
        <v>10</v>
      </c>
      <c r="S185" s="73">
        <v>9</v>
      </c>
      <c r="T185" s="72">
        <v>8</v>
      </c>
      <c r="U185" s="73">
        <v>10</v>
      </c>
      <c r="V185" s="73">
        <v>8</v>
      </c>
      <c r="W185" s="72">
        <v>6</v>
      </c>
      <c r="X185" s="73">
        <v>10</v>
      </c>
      <c r="Y185" s="73">
        <v>8</v>
      </c>
      <c r="Z185" s="72">
        <v>6</v>
      </c>
      <c r="AA185" s="73">
        <v>9</v>
      </c>
      <c r="AB185" s="73">
        <v>6</v>
      </c>
      <c r="AC185" s="72">
        <v>6</v>
      </c>
      <c r="AD185" s="71">
        <f t="shared" si="130"/>
        <v>100</v>
      </c>
      <c r="AE185" s="71">
        <f t="shared" si="131"/>
        <v>100</v>
      </c>
      <c r="AF185" s="72">
        <f t="shared" si="132"/>
        <v>100</v>
      </c>
      <c r="AG185" s="71">
        <f t="shared" si="133"/>
        <v>91.666666666666671</v>
      </c>
      <c r="AH185" s="71">
        <f t="shared" si="134"/>
        <v>83.333333333333343</v>
      </c>
      <c r="AI185" s="72">
        <f t="shared" si="135"/>
        <v>91.666666666666671</v>
      </c>
      <c r="AJ185" s="71">
        <f t="shared" si="136"/>
        <v>83.333333333333343</v>
      </c>
      <c r="AK185" s="71">
        <f t="shared" si="137"/>
        <v>83.333333333333343</v>
      </c>
      <c r="AL185" s="72">
        <f t="shared" si="138"/>
        <v>83.333333333333343</v>
      </c>
      <c r="AM185" s="71">
        <f t="shared" si="139"/>
        <v>83.333333333333343</v>
      </c>
      <c r="AN185" s="71">
        <f t="shared" si="140"/>
        <v>83.333333333333343</v>
      </c>
      <c r="AO185" s="72">
        <f t="shared" si="141"/>
        <v>83.333333333333343</v>
      </c>
      <c r="AP185" s="71">
        <f t="shared" si="142"/>
        <v>83.333333333333343</v>
      </c>
      <c r="AQ185" s="71">
        <f t="shared" si="143"/>
        <v>75</v>
      </c>
      <c r="AR185" s="72">
        <f t="shared" si="144"/>
        <v>66.666666666666671</v>
      </c>
      <c r="AS185" s="71">
        <f t="shared" si="145"/>
        <v>83.333333333333343</v>
      </c>
      <c r="AT185" s="71">
        <f t="shared" si="146"/>
        <v>66.666666666666671</v>
      </c>
      <c r="AU185" s="72">
        <f t="shared" si="147"/>
        <v>50</v>
      </c>
      <c r="AV185" s="71">
        <f t="shared" si="148"/>
        <v>83.333333333333343</v>
      </c>
      <c r="AW185" s="71">
        <f t="shared" si="149"/>
        <v>66.666666666666671</v>
      </c>
      <c r="AX185" s="72">
        <f t="shared" si="150"/>
        <v>50</v>
      </c>
      <c r="AY185" s="71">
        <f t="shared" si="151"/>
        <v>75</v>
      </c>
      <c r="AZ185" s="71">
        <f t="shared" si="152"/>
        <v>50</v>
      </c>
      <c r="BA185" s="72">
        <f t="shared" si="153"/>
        <v>50</v>
      </c>
      <c r="BB185" s="74">
        <f t="shared" si="154"/>
        <v>0</v>
      </c>
      <c r="BC185" s="71">
        <f t="shared" si="155"/>
        <v>4.8112522432468783</v>
      </c>
      <c r="BD185" s="71">
        <f t="shared" si="156"/>
        <v>0</v>
      </c>
      <c r="BE185" s="71">
        <f t="shared" si="157"/>
        <v>0</v>
      </c>
      <c r="BF185" s="71">
        <f t="shared" si="158"/>
        <v>8.3333333333333357</v>
      </c>
      <c r="BG185" s="71">
        <f t="shared" si="159"/>
        <v>16.666666666666682</v>
      </c>
      <c r="BH185" s="71">
        <f t="shared" si="160"/>
        <v>16.666666666666682</v>
      </c>
      <c r="BI185" s="71">
        <f t="shared" si="161"/>
        <v>14.433756729740633</v>
      </c>
      <c r="BJ185" s="74">
        <f t="shared" si="167"/>
        <v>0</v>
      </c>
      <c r="BK185" s="71">
        <f t="shared" si="168"/>
        <v>0.80187537387447971</v>
      </c>
      <c r="BL185" s="71">
        <f t="shared" si="169"/>
        <v>0</v>
      </c>
      <c r="BM185" s="71">
        <f t="shared" si="170"/>
        <v>0</v>
      </c>
      <c r="BN185" s="71">
        <f t="shared" si="171"/>
        <v>1.3888888888888893</v>
      </c>
      <c r="BO185" s="71">
        <f t="shared" si="172"/>
        <v>2.7777777777777803</v>
      </c>
      <c r="BP185" s="71">
        <f t="shared" si="173"/>
        <v>2.7777777777777803</v>
      </c>
      <c r="BQ185" s="91">
        <f t="shared" si="174"/>
        <v>2.4056261216234387</v>
      </c>
      <c r="BR185" s="75">
        <f t="shared" si="162"/>
        <v>100</v>
      </c>
      <c r="BS185" s="73">
        <f t="shared" si="163"/>
        <v>88.8888888888889</v>
      </c>
      <c r="BT185" s="73">
        <f t="shared" si="164"/>
        <v>83.333333333333343</v>
      </c>
      <c r="BU185" s="73">
        <f t="shared" si="165"/>
        <v>83.333333333333343</v>
      </c>
      <c r="BV185" s="73">
        <f t="shared" si="180"/>
        <v>75</v>
      </c>
      <c r="BW185" s="73">
        <f t="shared" si="182"/>
        <v>66.666666666666671</v>
      </c>
      <c r="BX185" s="73">
        <f t="shared" si="178"/>
        <v>66.666666666666671</v>
      </c>
      <c r="BY185" s="73">
        <f t="shared" si="179"/>
        <v>66.666666666666671</v>
      </c>
      <c r="BZ185" s="75">
        <f t="shared" si="181"/>
        <v>0</v>
      </c>
      <c r="CA185" s="73">
        <f t="shared" si="181"/>
        <v>11.1111111111111</v>
      </c>
      <c r="CB185" s="73">
        <f t="shared" si="181"/>
        <v>16.666666666666657</v>
      </c>
      <c r="CC185" s="73">
        <f t="shared" si="181"/>
        <v>16.666666666666657</v>
      </c>
      <c r="CD185" s="73">
        <f t="shared" si="181"/>
        <v>25</v>
      </c>
      <c r="CE185" s="73">
        <f t="shared" si="129"/>
        <v>33.333333333333329</v>
      </c>
      <c r="CF185" s="73">
        <f t="shared" si="129"/>
        <v>33.333333333333329</v>
      </c>
      <c r="CG185" s="265">
        <f t="shared" si="129"/>
        <v>33.333333333333329</v>
      </c>
    </row>
    <row r="186" spans="2:85" ht="15" customHeight="1" x14ac:dyDescent="0.3">
      <c r="B186" s="408">
        <v>46</v>
      </c>
      <c r="C186" s="411" t="s">
        <v>578</v>
      </c>
      <c r="D186" s="76" t="s">
        <v>802</v>
      </c>
      <c r="E186" s="77">
        <v>10</v>
      </c>
      <c r="F186" s="77">
        <v>14</v>
      </c>
      <c r="G186" s="78">
        <v>15</v>
      </c>
      <c r="H186" s="77">
        <f t="shared" si="166"/>
        <v>39</v>
      </c>
      <c r="I186" s="79">
        <v>7</v>
      </c>
      <c r="J186" s="79">
        <v>11</v>
      </c>
      <c r="K186" s="78">
        <v>15</v>
      </c>
      <c r="L186" s="79">
        <v>5</v>
      </c>
      <c r="M186" s="79">
        <v>4</v>
      </c>
      <c r="N186" s="78">
        <v>8</v>
      </c>
      <c r="O186" s="79">
        <v>0</v>
      </c>
      <c r="P186" s="79">
        <v>0</v>
      </c>
      <c r="Q186" s="78">
        <v>3</v>
      </c>
      <c r="R186" s="79">
        <v>0</v>
      </c>
      <c r="S186" s="79">
        <v>0</v>
      </c>
      <c r="T186" s="78">
        <v>1</v>
      </c>
      <c r="U186" s="79">
        <v>0</v>
      </c>
      <c r="V186" s="79">
        <v>0</v>
      </c>
      <c r="W186" s="78">
        <v>1</v>
      </c>
      <c r="X186" s="79">
        <v>0</v>
      </c>
      <c r="Y186" s="79">
        <v>0</v>
      </c>
      <c r="Z186" s="78">
        <v>1</v>
      </c>
      <c r="AA186" s="79">
        <v>0</v>
      </c>
      <c r="AB186" s="79">
        <v>0</v>
      </c>
      <c r="AC186" s="78">
        <v>0</v>
      </c>
      <c r="AD186" s="77">
        <f t="shared" si="130"/>
        <v>100</v>
      </c>
      <c r="AE186" s="77">
        <f t="shared" si="131"/>
        <v>100</v>
      </c>
      <c r="AF186" s="78">
        <f t="shared" si="132"/>
        <v>100</v>
      </c>
      <c r="AG186" s="77">
        <f t="shared" si="133"/>
        <v>70</v>
      </c>
      <c r="AH186" s="77">
        <f t="shared" si="134"/>
        <v>78.571428571428569</v>
      </c>
      <c r="AI186" s="78">
        <f t="shared" si="135"/>
        <v>100</v>
      </c>
      <c r="AJ186" s="77">
        <f t="shared" si="136"/>
        <v>50</v>
      </c>
      <c r="AK186" s="77">
        <f t="shared" si="137"/>
        <v>28.571428571428573</v>
      </c>
      <c r="AL186" s="78">
        <f t="shared" si="138"/>
        <v>53.333333333333336</v>
      </c>
      <c r="AM186" s="77">
        <f t="shared" si="139"/>
        <v>0</v>
      </c>
      <c r="AN186" s="77">
        <f t="shared" si="140"/>
        <v>0</v>
      </c>
      <c r="AO186" s="78">
        <f t="shared" si="141"/>
        <v>20</v>
      </c>
      <c r="AP186" s="77">
        <f t="shared" si="142"/>
        <v>0</v>
      </c>
      <c r="AQ186" s="77">
        <f t="shared" si="143"/>
        <v>0</v>
      </c>
      <c r="AR186" s="78">
        <f t="shared" si="144"/>
        <v>6.666666666666667</v>
      </c>
      <c r="AS186" s="77">
        <f t="shared" si="145"/>
        <v>0</v>
      </c>
      <c r="AT186" s="77">
        <f t="shared" si="146"/>
        <v>0</v>
      </c>
      <c r="AU186" s="78">
        <f t="shared" si="147"/>
        <v>6.666666666666667</v>
      </c>
      <c r="AV186" s="77">
        <f t="shared" si="148"/>
        <v>0</v>
      </c>
      <c r="AW186" s="77">
        <f t="shared" si="149"/>
        <v>0</v>
      </c>
      <c r="AX186" s="78">
        <f t="shared" si="150"/>
        <v>6.666666666666667</v>
      </c>
      <c r="AY186" s="77">
        <f t="shared" si="151"/>
        <v>0</v>
      </c>
      <c r="AZ186" s="77">
        <f t="shared" si="152"/>
        <v>0</v>
      </c>
      <c r="BA186" s="78">
        <f t="shared" si="153"/>
        <v>0</v>
      </c>
      <c r="BB186" s="80">
        <f t="shared" si="154"/>
        <v>0</v>
      </c>
      <c r="BC186" s="77">
        <f t="shared" si="155"/>
        <v>15.45236260913148</v>
      </c>
      <c r="BD186" s="77">
        <f t="shared" si="156"/>
        <v>13.437799373521838</v>
      </c>
      <c r="BE186" s="77">
        <f t="shared" si="157"/>
        <v>11.547005383792515</v>
      </c>
      <c r="BF186" s="77">
        <f t="shared" si="158"/>
        <v>3.8490017945975055</v>
      </c>
      <c r="BG186" s="77">
        <f t="shared" si="159"/>
        <v>3.8490017945975055</v>
      </c>
      <c r="BH186" s="77">
        <f t="shared" si="160"/>
        <v>3.8490017945975055</v>
      </c>
      <c r="BI186" s="77">
        <f t="shared" si="161"/>
        <v>0</v>
      </c>
      <c r="BJ186" s="80">
        <f t="shared" si="167"/>
        <v>0</v>
      </c>
      <c r="BK186" s="77">
        <f t="shared" si="168"/>
        <v>2.474358296526983</v>
      </c>
      <c r="BL186" s="77">
        <f t="shared" si="169"/>
        <v>2.1517700048852082</v>
      </c>
      <c r="BM186" s="77">
        <f t="shared" si="170"/>
        <v>1.8490006540840969</v>
      </c>
      <c r="BN186" s="77">
        <f t="shared" si="171"/>
        <v>0.61633355136136569</v>
      </c>
      <c r="BO186" s="77">
        <f t="shared" si="172"/>
        <v>0.61633355136136569</v>
      </c>
      <c r="BP186" s="77">
        <f t="shared" si="173"/>
        <v>0.61633355136136569</v>
      </c>
      <c r="BQ186" s="92">
        <f t="shared" si="174"/>
        <v>0</v>
      </c>
      <c r="BR186" s="81">
        <f t="shared" si="162"/>
        <v>100</v>
      </c>
      <c r="BS186" s="79">
        <f t="shared" si="163"/>
        <v>82.857142857142847</v>
      </c>
      <c r="BT186" s="79">
        <f t="shared" si="164"/>
        <v>43.968253968253968</v>
      </c>
      <c r="BU186" s="79">
        <f t="shared" si="165"/>
        <v>6.666666666666667</v>
      </c>
      <c r="BV186" s="79">
        <f t="shared" si="180"/>
        <v>2.2222222222222223</v>
      </c>
      <c r="BW186" s="79">
        <f t="shared" si="182"/>
        <v>2.2222222222222223</v>
      </c>
      <c r="BX186" s="79">
        <f t="shared" ref="BX186:BX205" si="183">AVERAGE(AT186:AV186)</f>
        <v>2.2222222222222223</v>
      </c>
      <c r="BY186" s="79">
        <f t="shared" ref="BY186:BY205" si="184">AVERAGE(AU186:AW186)</f>
        <v>2.2222222222222223</v>
      </c>
      <c r="BZ186" s="81">
        <f t="shared" si="181"/>
        <v>0</v>
      </c>
      <c r="CA186" s="79">
        <f t="shared" si="181"/>
        <v>17.142857142857153</v>
      </c>
      <c r="CB186" s="79">
        <f t="shared" si="181"/>
        <v>56.031746031746032</v>
      </c>
      <c r="CC186" s="79">
        <f t="shared" si="181"/>
        <v>93.333333333333329</v>
      </c>
      <c r="CD186" s="79">
        <f t="shared" si="181"/>
        <v>97.777777777777771</v>
      </c>
      <c r="CE186" s="79">
        <f t="shared" si="181"/>
        <v>97.777777777777771</v>
      </c>
      <c r="CF186" s="79">
        <f t="shared" si="181"/>
        <v>97.777777777777771</v>
      </c>
      <c r="CG186" s="264">
        <f t="shared" si="181"/>
        <v>97.777777777777771</v>
      </c>
    </row>
    <row r="187" spans="2:85" x14ac:dyDescent="0.3">
      <c r="B187" s="409"/>
      <c r="C187" s="412"/>
      <c r="D187" s="70" t="s">
        <v>803</v>
      </c>
      <c r="E187" s="65">
        <v>13</v>
      </c>
      <c r="F187" s="65">
        <v>15</v>
      </c>
      <c r="G187" s="66">
        <v>15</v>
      </c>
      <c r="H187" s="65">
        <f t="shared" si="166"/>
        <v>43</v>
      </c>
      <c r="I187" s="67">
        <v>12</v>
      </c>
      <c r="J187" s="67">
        <v>15</v>
      </c>
      <c r="K187" s="66">
        <v>15</v>
      </c>
      <c r="L187" s="67">
        <v>11</v>
      </c>
      <c r="M187" s="67">
        <v>15</v>
      </c>
      <c r="N187" s="66">
        <v>14</v>
      </c>
      <c r="O187" s="67">
        <v>11</v>
      </c>
      <c r="P187" s="67">
        <v>14</v>
      </c>
      <c r="Q187" s="66">
        <v>13</v>
      </c>
      <c r="R187" s="67">
        <v>9</v>
      </c>
      <c r="S187" s="67">
        <v>14</v>
      </c>
      <c r="T187" s="66">
        <v>13</v>
      </c>
      <c r="U187" s="67">
        <v>8</v>
      </c>
      <c r="V187" s="67">
        <v>13</v>
      </c>
      <c r="W187" s="66">
        <v>10</v>
      </c>
      <c r="X187" s="67">
        <v>8</v>
      </c>
      <c r="Y187" s="67">
        <v>12</v>
      </c>
      <c r="Z187" s="66">
        <v>8</v>
      </c>
      <c r="AA187" s="67">
        <v>8</v>
      </c>
      <c r="AB187" s="67">
        <v>11</v>
      </c>
      <c r="AC187" s="66">
        <v>7</v>
      </c>
      <c r="AD187" s="65">
        <f t="shared" si="130"/>
        <v>100</v>
      </c>
      <c r="AE187" s="65">
        <f t="shared" si="131"/>
        <v>100</v>
      </c>
      <c r="AF187" s="66">
        <f t="shared" si="132"/>
        <v>100</v>
      </c>
      <c r="AG187" s="65">
        <f t="shared" si="133"/>
        <v>92.307692307692307</v>
      </c>
      <c r="AH187" s="65">
        <f t="shared" si="134"/>
        <v>100</v>
      </c>
      <c r="AI187" s="66">
        <f t="shared" si="135"/>
        <v>100</v>
      </c>
      <c r="AJ187" s="65">
        <f t="shared" si="136"/>
        <v>84.615384615384613</v>
      </c>
      <c r="AK187" s="65">
        <f t="shared" si="137"/>
        <v>100</v>
      </c>
      <c r="AL187" s="66">
        <f t="shared" si="138"/>
        <v>93.333333333333343</v>
      </c>
      <c r="AM187" s="65">
        <f t="shared" si="139"/>
        <v>84.615384615384613</v>
      </c>
      <c r="AN187" s="65">
        <f t="shared" si="140"/>
        <v>93.333333333333343</v>
      </c>
      <c r="AO187" s="66">
        <f t="shared" si="141"/>
        <v>86.666666666666671</v>
      </c>
      <c r="AP187" s="65">
        <f t="shared" si="142"/>
        <v>69.230769230769226</v>
      </c>
      <c r="AQ187" s="65">
        <f t="shared" si="143"/>
        <v>93.333333333333343</v>
      </c>
      <c r="AR187" s="66">
        <f t="shared" si="144"/>
        <v>86.666666666666671</v>
      </c>
      <c r="AS187" s="65">
        <f t="shared" si="145"/>
        <v>61.53846153846154</v>
      </c>
      <c r="AT187" s="65">
        <f t="shared" si="146"/>
        <v>86.666666666666671</v>
      </c>
      <c r="AU187" s="66">
        <f t="shared" si="147"/>
        <v>66.666666666666671</v>
      </c>
      <c r="AV187" s="65">
        <f t="shared" si="148"/>
        <v>61.53846153846154</v>
      </c>
      <c r="AW187" s="65">
        <f t="shared" si="149"/>
        <v>80</v>
      </c>
      <c r="AX187" s="66">
        <f t="shared" si="150"/>
        <v>53.333333333333336</v>
      </c>
      <c r="AY187" s="65">
        <f t="shared" si="151"/>
        <v>61.53846153846154</v>
      </c>
      <c r="AZ187" s="65">
        <f t="shared" si="152"/>
        <v>73.333333333333343</v>
      </c>
      <c r="BA187" s="66">
        <f t="shared" si="153"/>
        <v>46.666666666666671</v>
      </c>
      <c r="BB187" s="68">
        <f t="shared" si="154"/>
        <v>0</v>
      </c>
      <c r="BC187" s="65">
        <f t="shared" si="155"/>
        <v>4.4411559168432753</v>
      </c>
      <c r="BD187" s="65">
        <f t="shared" si="156"/>
        <v>7.7150660488182981</v>
      </c>
      <c r="BE187" s="65">
        <f t="shared" si="157"/>
        <v>4.5580484191362052</v>
      </c>
      <c r="BF187" s="65">
        <f t="shared" si="158"/>
        <v>12.445806255909417</v>
      </c>
      <c r="BG187" s="65">
        <f t="shared" si="159"/>
        <v>13.277331438722399</v>
      </c>
      <c r="BH187" s="65">
        <f t="shared" si="160"/>
        <v>13.658108960983316</v>
      </c>
      <c r="BI187" s="65">
        <f t="shared" si="161"/>
        <v>13.362886380302923</v>
      </c>
      <c r="BJ187" s="68">
        <f t="shared" si="167"/>
        <v>0</v>
      </c>
      <c r="BK187" s="65">
        <f t="shared" si="168"/>
        <v>0.67726992794278762</v>
      </c>
      <c r="BL187" s="65">
        <f t="shared" si="169"/>
        <v>1.1765365424664076</v>
      </c>
      <c r="BM187" s="65">
        <f t="shared" si="170"/>
        <v>0.69509586742506013</v>
      </c>
      <c r="BN187" s="65">
        <f t="shared" si="171"/>
        <v>1.8979676606627736</v>
      </c>
      <c r="BO187" s="65">
        <f t="shared" si="172"/>
        <v>2.0247740622373112</v>
      </c>
      <c r="BP187" s="65">
        <f t="shared" si="173"/>
        <v>2.0828420899968925</v>
      </c>
      <c r="BQ187" s="90">
        <f t="shared" si="174"/>
        <v>2.0378210685132303</v>
      </c>
      <c r="BR187" s="69">
        <f t="shared" si="162"/>
        <v>100</v>
      </c>
      <c r="BS187" s="67">
        <f t="shared" si="163"/>
        <v>97.435897435897445</v>
      </c>
      <c r="BT187" s="67">
        <f t="shared" si="164"/>
        <v>92.649572649572647</v>
      </c>
      <c r="BU187" s="67">
        <f t="shared" si="165"/>
        <v>88.205128205128219</v>
      </c>
      <c r="BV187" s="67">
        <f t="shared" si="180"/>
        <v>83.07692307692308</v>
      </c>
      <c r="BW187" s="67">
        <f t="shared" si="182"/>
        <v>71.623931623931625</v>
      </c>
      <c r="BX187" s="67">
        <f t="shared" si="183"/>
        <v>71.623931623931625</v>
      </c>
      <c r="BY187" s="67">
        <f t="shared" si="184"/>
        <v>69.401709401709397</v>
      </c>
      <c r="BZ187" s="69">
        <f t="shared" si="181"/>
        <v>0</v>
      </c>
      <c r="CA187" s="67">
        <f t="shared" si="181"/>
        <v>2.564102564102555</v>
      </c>
      <c r="CB187" s="67">
        <f t="shared" si="181"/>
        <v>7.3504273504273527</v>
      </c>
      <c r="CC187" s="67">
        <f t="shared" si="181"/>
        <v>11.794871794871781</v>
      </c>
      <c r="CD187" s="67">
        <f t="shared" si="181"/>
        <v>16.92307692307692</v>
      </c>
      <c r="CE187" s="67">
        <f t="shared" si="181"/>
        <v>28.376068376068375</v>
      </c>
      <c r="CF187" s="67">
        <f t="shared" si="181"/>
        <v>28.376068376068375</v>
      </c>
      <c r="CG187" s="116">
        <f t="shared" si="181"/>
        <v>30.598290598290603</v>
      </c>
    </row>
    <row r="188" spans="2:85" x14ac:dyDescent="0.3">
      <c r="B188" s="409"/>
      <c r="C188" s="412"/>
      <c r="D188" s="70" t="s">
        <v>804</v>
      </c>
      <c r="E188" s="65">
        <v>14</v>
      </c>
      <c r="F188" s="65">
        <v>10</v>
      </c>
      <c r="G188" s="66">
        <v>13</v>
      </c>
      <c r="H188" s="65">
        <f t="shared" si="166"/>
        <v>37</v>
      </c>
      <c r="I188" s="67">
        <v>14</v>
      </c>
      <c r="J188" s="67">
        <v>10</v>
      </c>
      <c r="K188" s="66">
        <v>13</v>
      </c>
      <c r="L188" s="67">
        <v>14</v>
      </c>
      <c r="M188" s="67">
        <v>9</v>
      </c>
      <c r="N188" s="66">
        <v>13</v>
      </c>
      <c r="O188" s="67">
        <v>13</v>
      </c>
      <c r="P188" s="67">
        <v>9</v>
      </c>
      <c r="Q188" s="66">
        <v>13</v>
      </c>
      <c r="R188" s="67">
        <v>13</v>
      </c>
      <c r="S188" s="67">
        <v>9</v>
      </c>
      <c r="T188" s="66">
        <v>13</v>
      </c>
      <c r="U188" s="67">
        <v>13</v>
      </c>
      <c r="V188" s="67">
        <v>9</v>
      </c>
      <c r="W188" s="66">
        <v>13</v>
      </c>
      <c r="X188" s="67">
        <v>12</v>
      </c>
      <c r="Y188" s="67">
        <v>6</v>
      </c>
      <c r="Z188" s="66">
        <v>13</v>
      </c>
      <c r="AA188" s="67">
        <v>12</v>
      </c>
      <c r="AB188" s="67">
        <v>6</v>
      </c>
      <c r="AC188" s="66">
        <v>13</v>
      </c>
      <c r="AD188" s="65">
        <f t="shared" si="130"/>
        <v>100</v>
      </c>
      <c r="AE188" s="65">
        <f t="shared" si="131"/>
        <v>100</v>
      </c>
      <c r="AF188" s="66">
        <f t="shared" si="132"/>
        <v>100</v>
      </c>
      <c r="AG188" s="65">
        <f t="shared" si="133"/>
        <v>100</v>
      </c>
      <c r="AH188" s="65">
        <f t="shared" si="134"/>
        <v>100</v>
      </c>
      <c r="AI188" s="66">
        <f t="shared" si="135"/>
        <v>100</v>
      </c>
      <c r="AJ188" s="65">
        <f t="shared" si="136"/>
        <v>100</v>
      </c>
      <c r="AK188" s="65">
        <f t="shared" si="137"/>
        <v>90</v>
      </c>
      <c r="AL188" s="66">
        <f t="shared" si="138"/>
        <v>100</v>
      </c>
      <c r="AM188" s="65">
        <f t="shared" si="139"/>
        <v>92.857142857142861</v>
      </c>
      <c r="AN188" s="65">
        <f t="shared" si="140"/>
        <v>90</v>
      </c>
      <c r="AO188" s="66">
        <f t="shared" si="141"/>
        <v>100</v>
      </c>
      <c r="AP188" s="65">
        <f t="shared" si="142"/>
        <v>92.857142857142861</v>
      </c>
      <c r="AQ188" s="65">
        <f t="shared" si="143"/>
        <v>90</v>
      </c>
      <c r="AR188" s="66">
        <f t="shared" si="144"/>
        <v>100</v>
      </c>
      <c r="AS188" s="65">
        <f t="shared" si="145"/>
        <v>92.857142857142861</v>
      </c>
      <c r="AT188" s="65">
        <f t="shared" si="146"/>
        <v>90</v>
      </c>
      <c r="AU188" s="66">
        <f t="shared" si="147"/>
        <v>100</v>
      </c>
      <c r="AV188" s="65">
        <f t="shared" si="148"/>
        <v>85.714285714285722</v>
      </c>
      <c r="AW188" s="65">
        <f t="shared" si="149"/>
        <v>60</v>
      </c>
      <c r="AX188" s="66">
        <f t="shared" si="150"/>
        <v>100</v>
      </c>
      <c r="AY188" s="65">
        <f t="shared" si="151"/>
        <v>85.714285714285722</v>
      </c>
      <c r="AZ188" s="65">
        <f t="shared" si="152"/>
        <v>60</v>
      </c>
      <c r="BA188" s="66">
        <f t="shared" si="153"/>
        <v>100</v>
      </c>
      <c r="BB188" s="68">
        <f t="shared" si="154"/>
        <v>0</v>
      </c>
      <c r="BC188" s="65">
        <f t="shared" si="155"/>
        <v>0</v>
      </c>
      <c r="BD188" s="65">
        <f t="shared" si="156"/>
        <v>5.7735026918962573</v>
      </c>
      <c r="BE188" s="65">
        <f t="shared" si="157"/>
        <v>5.1507875363771269</v>
      </c>
      <c r="BF188" s="65">
        <f t="shared" si="158"/>
        <v>5.1507875363771269</v>
      </c>
      <c r="BG188" s="65">
        <f t="shared" si="159"/>
        <v>5.1507875363771269</v>
      </c>
      <c r="BH188" s="65">
        <f t="shared" si="160"/>
        <v>20.270282527421706</v>
      </c>
      <c r="BI188" s="65">
        <f t="shared" si="161"/>
        <v>20.270282527421706</v>
      </c>
      <c r="BJ188" s="68">
        <f t="shared" si="167"/>
        <v>0</v>
      </c>
      <c r="BK188" s="65">
        <f t="shared" si="168"/>
        <v>0</v>
      </c>
      <c r="BL188" s="65">
        <f t="shared" si="169"/>
        <v>0.94915799575249904</v>
      </c>
      <c r="BM188" s="65">
        <f t="shared" si="170"/>
        <v>0.84678425480545594</v>
      </c>
      <c r="BN188" s="65">
        <f t="shared" si="171"/>
        <v>0.84678425480545594</v>
      </c>
      <c r="BO188" s="65">
        <f t="shared" si="172"/>
        <v>0.84678425480545594</v>
      </c>
      <c r="BP188" s="65">
        <f t="shared" si="173"/>
        <v>3.3324139199016067</v>
      </c>
      <c r="BQ188" s="90">
        <f t="shared" si="174"/>
        <v>3.3324139199016067</v>
      </c>
      <c r="BR188" s="69">
        <f t="shared" si="162"/>
        <v>100</v>
      </c>
      <c r="BS188" s="67">
        <f t="shared" si="163"/>
        <v>100</v>
      </c>
      <c r="BT188" s="67">
        <f t="shared" si="164"/>
        <v>96.666666666666671</v>
      </c>
      <c r="BU188" s="67">
        <f t="shared" si="165"/>
        <v>94.285714285714292</v>
      </c>
      <c r="BV188" s="67">
        <f t="shared" si="180"/>
        <v>94.285714285714292</v>
      </c>
      <c r="BW188" s="67">
        <f t="shared" si="182"/>
        <v>94.285714285714292</v>
      </c>
      <c r="BX188" s="67">
        <f t="shared" si="183"/>
        <v>91.904761904761912</v>
      </c>
      <c r="BY188" s="67">
        <f t="shared" si="184"/>
        <v>81.904761904761912</v>
      </c>
      <c r="BZ188" s="69">
        <f t="shared" si="181"/>
        <v>0</v>
      </c>
      <c r="CA188" s="67">
        <f t="shared" si="181"/>
        <v>0</v>
      </c>
      <c r="CB188" s="67">
        <f t="shared" si="181"/>
        <v>3.3333333333333286</v>
      </c>
      <c r="CC188" s="67">
        <f t="shared" si="181"/>
        <v>5.7142857142857082</v>
      </c>
      <c r="CD188" s="67">
        <f t="shared" si="181"/>
        <v>5.7142857142857082</v>
      </c>
      <c r="CE188" s="67">
        <f t="shared" si="181"/>
        <v>5.7142857142857082</v>
      </c>
      <c r="CF188" s="67">
        <f t="shared" si="181"/>
        <v>8.0952380952380878</v>
      </c>
      <c r="CG188" s="116">
        <f t="shared" si="181"/>
        <v>18.095238095238088</v>
      </c>
    </row>
    <row r="189" spans="2:85" x14ac:dyDescent="0.3">
      <c r="B189" s="410"/>
      <c r="C189" s="413"/>
      <c r="D189" s="70" t="s">
        <v>805</v>
      </c>
      <c r="E189" s="71">
        <v>12</v>
      </c>
      <c r="F189" s="71">
        <v>14</v>
      </c>
      <c r="G189" s="72">
        <v>12</v>
      </c>
      <c r="H189" s="71">
        <f t="shared" si="166"/>
        <v>38</v>
      </c>
      <c r="I189" s="73">
        <v>12</v>
      </c>
      <c r="J189" s="73">
        <v>14</v>
      </c>
      <c r="K189" s="72">
        <v>12</v>
      </c>
      <c r="L189" s="73">
        <v>12</v>
      </c>
      <c r="M189" s="73">
        <v>14</v>
      </c>
      <c r="N189" s="72">
        <v>11</v>
      </c>
      <c r="O189" s="73">
        <v>12</v>
      </c>
      <c r="P189" s="73">
        <v>14</v>
      </c>
      <c r="Q189" s="72">
        <v>11</v>
      </c>
      <c r="R189" s="73">
        <v>12</v>
      </c>
      <c r="S189" s="73">
        <v>14</v>
      </c>
      <c r="T189" s="72">
        <v>11</v>
      </c>
      <c r="U189" s="73">
        <v>10</v>
      </c>
      <c r="V189" s="73">
        <v>13</v>
      </c>
      <c r="W189" s="72">
        <v>11</v>
      </c>
      <c r="X189" s="73">
        <v>10</v>
      </c>
      <c r="Y189" s="73">
        <v>13</v>
      </c>
      <c r="Z189" s="72">
        <v>11</v>
      </c>
      <c r="AA189" s="73">
        <v>10</v>
      </c>
      <c r="AB189" s="73">
        <v>13</v>
      </c>
      <c r="AC189" s="72">
        <v>11</v>
      </c>
      <c r="AD189" s="71">
        <f t="shared" si="130"/>
        <v>100</v>
      </c>
      <c r="AE189" s="71">
        <f t="shared" si="131"/>
        <v>100</v>
      </c>
      <c r="AF189" s="72">
        <f t="shared" si="132"/>
        <v>100</v>
      </c>
      <c r="AG189" s="71">
        <f t="shared" si="133"/>
        <v>100</v>
      </c>
      <c r="AH189" s="71">
        <f t="shared" si="134"/>
        <v>100</v>
      </c>
      <c r="AI189" s="72">
        <f t="shared" si="135"/>
        <v>100</v>
      </c>
      <c r="AJ189" s="71">
        <f t="shared" si="136"/>
        <v>100</v>
      </c>
      <c r="AK189" s="71">
        <f t="shared" si="137"/>
        <v>100</v>
      </c>
      <c r="AL189" s="72">
        <f t="shared" si="138"/>
        <v>91.666666666666671</v>
      </c>
      <c r="AM189" s="71">
        <f t="shared" si="139"/>
        <v>100</v>
      </c>
      <c r="AN189" s="71">
        <f t="shared" si="140"/>
        <v>100</v>
      </c>
      <c r="AO189" s="72">
        <f t="shared" si="141"/>
        <v>91.666666666666671</v>
      </c>
      <c r="AP189" s="71">
        <f t="shared" si="142"/>
        <v>100</v>
      </c>
      <c r="AQ189" s="71">
        <f t="shared" si="143"/>
        <v>100</v>
      </c>
      <c r="AR189" s="72">
        <f t="shared" si="144"/>
        <v>91.666666666666671</v>
      </c>
      <c r="AS189" s="71">
        <f t="shared" si="145"/>
        <v>83.333333333333343</v>
      </c>
      <c r="AT189" s="71">
        <f t="shared" si="146"/>
        <v>92.857142857142861</v>
      </c>
      <c r="AU189" s="72">
        <f t="shared" si="147"/>
        <v>91.666666666666671</v>
      </c>
      <c r="AV189" s="71">
        <f t="shared" si="148"/>
        <v>83.333333333333343</v>
      </c>
      <c r="AW189" s="71">
        <f t="shared" si="149"/>
        <v>92.857142857142861</v>
      </c>
      <c r="AX189" s="72">
        <f t="shared" si="150"/>
        <v>91.666666666666671</v>
      </c>
      <c r="AY189" s="71">
        <f t="shared" si="151"/>
        <v>83.333333333333343</v>
      </c>
      <c r="AZ189" s="71">
        <f t="shared" si="152"/>
        <v>92.857142857142861</v>
      </c>
      <c r="BA189" s="72">
        <f t="shared" si="153"/>
        <v>91.666666666666671</v>
      </c>
      <c r="BB189" s="74">
        <f t="shared" si="154"/>
        <v>0</v>
      </c>
      <c r="BC189" s="71">
        <f t="shared" si="155"/>
        <v>0</v>
      </c>
      <c r="BD189" s="71">
        <f t="shared" si="156"/>
        <v>4.8112522432468783</v>
      </c>
      <c r="BE189" s="71">
        <f t="shared" si="157"/>
        <v>4.8112522432468783</v>
      </c>
      <c r="BF189" s="71">
        <f t="shared" si="158"/>
        <v>4.8112522432468783</v>
      </c>
      <c r="BG189" s="71">
        <f t="shared" si="159"/>
        <v>5.1891654089769892</v>
      </c>
      <c r="BH189" s="71">
        <f t="shared" si="160"/>
        <v>5.1891654089769892</v>
      </c>
      <c r="BI189" s="71">
        <f t="shared" si="161"/>
        <v>5.1891654089769892</v>
      </c>
      <c r="BJ189" s="74">
        <f t="shared" si="167"/>
        <v>0</v>
      </c>
      <c r="BK189" s="71">
        <f t="shared" si="168"/>
        <v>0</v>
      </c>
      <c r="BL189" s="71">
        <f t="shared" si="169"/>
        <v>0.78048817631807788</v>
      </c>
      <c r="BM189" s="71">
        <f t="shared" si="170"/>
        <v>0.78048817631807788</v>
      </c>
      <c r="BN189" s="71">
        <f t="shared" si="171"/>
        <v>0.78048817631807788</v>
      </c>
      <c r="BO189" s="71">
        <f t="shared" si="172"/>
        <v>0.84179378712684183</v>
      </c>
      <c r="BP189" s="71">
        <f t="shared" si="173"/>
        <v>0.84179378712684183</v>
      </c>
      <c r="BQ189" s="91">
        <f t="shared" si="174"/>
        <v>0.84179378712684183</v>
      </c>
      <c r="BR189" s="75">
        <f t="shared" si="162"/>
        <v>100</v>
      </c>
      <c r="BS189" s="73">
        <f t="shared" si="163"/>
        <v>100</v>
      </c>
      <c r="BT189" s="73">
        <f t="shared" si="164"/>
        <v>97.222222222222229</v>
      </c>
      <c r="BU189" s="73">
        <f t="shared" si="165"/>
        <v>97.222222222222229</v>
      </c>
      <c r="BV189" s="73">
        <f t="shared" si="180"/>
        <v>97.222222222222229</v>
      </c>
      <c r="BW189" s="73">
        <f t="shared" si="182"/>
        <v>89.285714285714292</v>
      </c>
      <c r="BX189" s="73">
        <f t="shared" si="183"/>
        <v>89.285714285714292</v>
      </c>
      <c r="BY189" s="73">
        <f t="shared" si="184"/>
        <v>89.285714285714292</v>
      </c>
      <c r="BZ189" s="75">
        <f t="shared" si="181"/>
        <v>0</v>
      </c>
      <c r="CA189" s="73">
        <f t="shared" si="181"/>
        <v>0</v>
      </c>
      <c r="CB189" s="73">
        <f t="shared" si="181"/>
        <v>2.7777777777777715</v>
      </c>
      <c r="CC189" s="73">
        <f t="shared" si="181"/>
        <v>2.7777777777777715</v>
      </c>
      <c r="CD189" s="73">
        <f t="shared" si="181"/>
        <v>2.7777777777777715</v>
      </c>
      <c r="CE189" s="73">
        <f t="shared" si="181"/>
        <v>10.714285714285708</v>
      </c>
      <c r="CF189" s="73">
        <f t="shared" si="181"/>
        <v>10.714285714285708</v>
      </c>
      <c r="CG189" s="265">
        <f t="shared" si="181"/>
        <v>10.714285714285708</v>
      </c>
    </row>
    <row r="190" spans="2:85" ht="15" customHeight="1" x14ac:dyDescent="0.3">
      <c r="B190" s="408">
        <v>47</v>
      </c>
      <c r="C190" s="411" t="s">
        <v>604</v>
      </c>
      <c r="D190" s="76" t="s">
        <v>802</v>
      </c>
      <c r="E190" s="77">
        <v>12</v>
      </c>
      <c r="F190" s="77">
        <v>12</v>
      </c>
      <c r="G190" s="78">
        <v>12</v>
      </c>
      <c r="H190" s="77">
        <f t="shared" si="166"/>
        <v>36</v>
      </c>
      <c r="I190" s="79">
        <v>9</v>
      </c>
      <c r="J190" s="79">
        <v>11</v>
      </c>
      <c r="K190" s="78">
        <v>8</v>
      </c>
      <c r="L190" s="79">
        <v>7</v>
      </c>
      <c r="M190" s="79">
        <v>10</v>
      </c>
      <c r="N190" s="78">
        <v>8</v>
      </c>
      <c r="O190" s="79">
        <v>3</v>
      </c>
      <c r="P190" s="79">
        <v>6</v>
      </c>
      <c r="Q190" s="78">
        <v>4</v>
      </c>
      <c r="R190" s="79">
        <v>2</v>
      </c>
      <c r="S190" s="79">
        <v>3</v>
      </c>
      <c r="T190" s="78">
        <v>3</v>
      </c>
      <c r="U190" s="79">
        <v>1</v>
      </c>
      <c r="V190" s="79">
        <v>3</v>
      </c>
      <c r="W190" s="78">
        <v>2</v>
      </c>
      <c r="X190" s="79">
        <v>1</v>
      </c>
      <c r="Y190" s="79">
        <v>3</v>
      </c>
      <c r="Z190" s="78">
        <v>2</v>
      </c>
      <c r="AA190" s="79">
        <v>1</v>
      </c>
      <c r="AB190" s="79">
        <v>2</v>
      </c>
      <c r="AC190" s="78">
        <v>2</v>
      </c>
      <c r="AD190" s="77">
        <f t="shared" ref="AD190:AD206" si="185">100/E190*E190</f>
        <v>100</v>
      </c>
      <c r="AE190" s="77">
        <f t="shared" ref="AE190:AE206" si="186">100/F190*F190</f>
        <v>100</v>
      </c>
      <c r="AF190" s="78">
        <f t="shared" ref="AF190:AF206" si="187">100/G190*G190</f>
        <v>100</v>
      </c>
      <c r="AG190" s="77">
        <f t="shared" ref="AG190:AG206" si="188">100/E190*I190</f>
        <v>75</v>
      </c>
      <c r="AH190" s="77">
        <f t="shared" ref="AH190:AH206" si="189">100/F190*J190</f>
        <v>91.666666666666671</v>
      </c>
      <c r="AI190" s="78">
        <f t="shared" ref="AI190:AI206" si="190">100/G190*K190</f>
        <v>66.666666666666671</v>
      </c>
      <c r="AJ190" s="77">
        <f t="shared" ref="AJ190:AJ206" si="191">100/E190*L190</f>
        <v>58.333333333333336</v>
      </c>
      <c r="AK190" s="77">
        <f t="shared" ref="AK190:AK206" si="192">100/F190*M190</f>
        <v>83.333333333333343</v>
      </c>
      <c r="AL190" s="78">
        <f t="shared" ref="AL190:AL206" si="193">100/G190*N190</f>
        <v>66.666666666666671</v>
      </c>
      <c r="AM190" s="77">
        <f t="shared" ref="AM190:AM206" si="194">100/E190*O190</f>
        <v>25</v>
      </c>
      <c r="AN190" s="77">
        <f t="shared" ref="AN190:AN206" si="195">100/F190*P190</f>
        <v>50</v>
      </c>
      <c r="AO190" s="78">
        <f t="shared" ref="AO190:AO206" si="196">100/G190*Q190</f>
        <v>33.333333333333336</v>
      </c>
      <c r="AP190" s="77">
        <f t="shared" ref="AP190:AP206" si="197">100/E190*R190</f>
        <v>16.666666666666668</v>
      </c>
      <c r="AQ190" s="77">
        <f t="shared" ref="AQ190:AQ206" si="198">100/F190*S190</f>
        <v>25</v>
      </c>
      <c r="AR190" s="78">
        <f t="shared" ref="AR190:AR206" si="199">100/G190*T190</f>
        <v>25</v>
      </c>
      <c r="AS190" s="77">
        <f t="shared" ref="AS190:AS206" si="200">100/E190*U190</f>
        <v>8.3333333333333339</v>
      </c>
      <c r="AT190" s="77">
        <f t="shared" ref="AT190:AT206" si="201">100/F190*V190</f>
        <v>25</v>
      </c>
      <c r="AU190" s="78">
        <f t="shared" ref="AU190:AU206" si="202">100/G190*W190</f>
        <v>16.666666666666668</v>
      </c>
      <c r="AV190" s="77">
        <f t="shared" ref="AV190:AV206" si="203">100/E190*X190</f>
        <v>8.3333333333333339</v>
      </c>
      <c r="AW190" s="77">
        <f t="shared" ref="AW190:AW206" si="204">100/F190*Y190</f>
        <v>25</v>
      </c>
      <c r="AX190" s="78">
        <f t="shared" ref="AX190:AX206" si="205">100/G190*Z190</f>
        <v>16.666666666666668</v>
      </c>
      <c r="AY190" s="77">
        <f t="shared" ref="AY190:AY206" si="206">100/E190*AA190</f>
        <v>8.3333333333333339</v>
      </c>
      <c r="AZ190" s="77">
        <f t="shared" ref="AZ190:AZ206" si="207">100/F190*AB190</f>
        <v>16.666666666666668</v>
      </c>
      <c r="BA190" s="78">
        <f t="shared" ref="BA190:BA206" si="208">100/G190*AC190</f>
        <v>16.666666666666668</v>
      </c>
      <c r="BB190" s="80">
        <f t="shared" ref="BB190:BB210" si="209">STDEV(AD190:AF190)</f>
        <v>0</v>
      </c>
      <c r="BC190" s="77">
        <f t="shared" ref="BC190:BC210" si="210">STDEV(AG190:AI190)</f>
        <v>12.729376930432867</v>
      </c>
      <c r="BD190" s="77">
        <f t="shared" ref="BD190:BD210" si="211">STDEV(AJ190:AL190)</f>
        <v>12.729376930432831</v>
      </c>
      <c r="BE190" s="77">
        <f t="shared" ref="BE190:BE210" si="212">STDEV(AM190:AO190)</f>
        <v>12.729376930432876</v>
      </c>
      <c r="BF190" s="77">
        <f t="shared" ref="BF190:BF210" si="213">STDEV(AP190:AR190)</f>
        <v>4.8112522432468703</v>
      </c>
      <c r="BG190" s="77">
        <f t="shared" ref="BG190:BG210" si="214">STDEV(AS190:AU190)</f>
        <v>8.3333333333333339</v>
      </c>
      <c r="BH190" s="77">
        <f t="shared" ref="BH190:BH210" si="215">STDEV(AV190:AX190)</f>
        <v>8.3333333333333339</v>
      </c>
      <c r="BI190" s="77">
        <f t="shared" ref="BI190:BI210" si="216">STDEV(AY190:BA190)</f>
        <v>4.8112522432468818</v>
      </c>
      <c r="BJ190" s="80">
        <f t="shared" si="167"/>
        <v>0</v>
      </c>
      <c r="BK190" s="77">
        <f t="shared" si="168"/>
        <v>2.1215628217388112</v>
      </c>
      <c r="BL190" s="77">
        <f t="shared" si="169"/>
        <v>2.1215628217388054</v>
      </c>
      <c r="BM190" s="77">
        <f t="shared" si="170"/>
        <v>2.1215628217388125</v>
      </c>
      <c r="BN190" s="77">
        <f t="shared" si="171"/>
        <v>0.80187537387447838</v>
      </c>
      <c r="BO190" s="77">
        <f t="shared" si="172"/>
        <v>1.3888888888888891</v>
      </c>
      <c r="BP190" s="77">
        <f t="shared" si="173"/>
        <v>1.3888888888888891</v>
      </c>
      <c r="BQ190" s="92">
        <f t="shared" si="174"/>
        <v>0.80187537387448027</v>
      </c>
      <c r="BR190" s="81">
        <f t="shared" ref="BR190:BR206" si="217">AVERAGE(AD190:AF190)</f>
        <v>100</v>
      </c>
      <c r="BS190" s="79">
        <f t="shared" ref="BS190:BS206" si="218">AVERAGE(AG190:AI190)</f>
        <v>77.777777777777786</v>
      </c>
      <c r="BT190" s="79">
        <f t="shared" ref="BT190:BT206" si="219">AVERAGE(AJ190:AL190)</f>
        <v>69.444444444444457</v>
      </c>
      <c r="BU190" s="79">
        <f t="shared" ref="BU190:BU206" si="220">AVERAGE(AM190:AO190)</f>
        <v>36.111111111111114</v>
      </c>
      <c r="BV190" s="79">
        <f t="shared" si="180"/>
        <v>22.222222222222225</v>
      </c>
      <c r="BW190" s="79">
        <f t="shared" si="182"/>
        <v>16.666666666666668</v>
      </c>
      <c r="BX190" s="79">
        <f t="shared" si="183"/>
        <v>16.666666666666668</v>
      </c>
      <c r="BY190" s="79">
        <f t="shared" si="184"/>
        <v>16.666666666666668</v>
      </c>
      <c r="BZ190" s="81">
        <f t="shared" si="181"/>
        <v>0</v>
      </c>
      <c r="CA190" s="79">
        <f t="shared" si="181"/>
        <v>22.222222222222214</v>
      </c>
      <c r="CB190" s="79">
        <f t="shared" si="181"/>
        <v>30.555555555555543</v>
      </c>
      <c r="CC190" s="79">
        <f t="shared" si="181"/>
        <v>63.888888888888886</v>
      </c>
      <c r="CD190" s="79">
        <f t="shared" si="181"/>
        <v>77.777777777777771</v>
      </c>
      <c r="CE190" s="79">
        <f t="shared" si="181"/>
        <v>83.333333333333329</v>
      </c>
      <c r="CF190" s="79">
        <f t="shared" si="181"/>
        <v>83.333333333333329</v>
      </c>
      <c r="CG190" s="264">
        <f t="shared" si="181"/>
        <v>83.333333333333329</v>
      </c>
    </row>
    <row r="191" spans="2:85" x14ac:dyDescent="0.3">
      <c r="B191" s="409"/>
      <c r="C191" s="412"/>
      <c r="D191" s="70" t="s">
        <v>803</v>
      </c>
      <c r="E191" s="65">
        <v>12</v>
      </c>
      <c r="F191" s="65">
        <v>12</v>
      </c>
      <c r="G191" s="66">
        <v>12</v>
      </c>
      <c r="H191" s="65">
        <f t="shared" ref="H191:H210" si="221">SUM(E191:G191)</f>
        <v>36</v>
      </c>
      <c r="I191" s="67">
        <v>9</v>
      </c>
      <c r="J191" s="67">
        <v>9</v>
      </c>
      <c r="K191" s="66">
        <v>10</v>
      </c>
      <c r="L191" s="67">
        <v>8</v>
      </c>
      <c r="M191" s="67">
        <v>8</v>
      </c>
      <c r="N191" s="66">
        <v>10</v>
      </c>
      <c r="O191" s="67">
        <v>7</v>
      </c>
      <c r="P191" s="67">
        <v>8</v>
      </c>
      <c r="Q191" s="66">
        <v>9</v>
      </c>
      <c r="R191" s="67">
        <v>6</v>
      </c>
      <c r="S191" s="67">
        <v>7</v>
      </c>
      <c r="T191" s="66">
        <v>8</v>
      </c>
      <c r="U191" s="67">
        <v>6</v>
      </c>
      <c r="V191" s="67">
        <v>6</v>
      </c>
      <c r="W191" s="66">
        <v>8</v>
      </c>
      <c r="X191" s="67">
        <v>6</v>
      </c>
      <c r="Y191" s="67">
        <v>6</v>
      </c>
      <c r="Z191" s="66">
        <v>8</v>
      </c>
      <c r="AA191" s="67">
        <v>6</v>
      </c>
      <c r="AB191" s="67">
        <v>6</v>
      </c>
      <c r="AC191" s="66">
        <v>8</v>
      </c>
      <c r="AD191" s="65">
        <f t="shared" si="185"/>
        <v>100</v>
      </c>
      <c r="AE191" s="65">
        <f t="shared" si="186"/>
        <v>100</v>
      </c>
      <c r="AF191" s="66">
        <f t="shared" si="187"/>
        <v>100</v>
      </c>
      <c r="AG191" s="65">
        <f t="shared" si="188"/>
        <v>75</v>
      </c>
      <c r="AH191" s="65">
        <f t="shared" si="189"/>
        <v>75</v>
      </c>
      <c r="AI191" s="66">
        <f t="shared" si="190"/>
        <v>83.333333333333343</v>
      </c>
      <c r="AJ191" s="65">
        <f t="shared" si="191"/>
        <v>66.666666666666671</v>
      </c>
      <c r="AK191" s="65">
        <f t="shared" si="192"/>
        <v>66.666666666666671</v>
      </c>
      <c r="AL191" s="66">
        <f t="shared" si="193"/>
        <v>83.333333333333343</v>
      </c>
      <c r="AM191" s="65">
        <f t="shared" si="194"/>
        <v>58.333333333333336</v>
      </c>
      <c r="AN191" s="65">
        <f t="shared" si="195"/>
        <v>66.666666666666671</v>
      </c>
      <c r="AO191" s="66">
        <f t="shared" si="196"/>
        <v>75</v>
      </c>
      <c r="AP191" s="65">
        <f t="shared" si="197"/>
        <v>50</v>
      </c>
      <c r="AQ191" s="65">
        <f t="shared" si="198"/>
        <v>58.333333333333336</v>
      </c>
      <c r="AR191" s="66">
        <f t="shared" si="199"/>
        <v>66.666666666666671</v>
      </c>
      <c r="AS191" s="65">
        <f t="shared" si="200"/>
        <v>50</v>
      </c>
      <c r="AT191" s="65">
        <f t="shared" si="201"/>
        <v>50</v>
      </c>
      <c r="AU191" s="66">
        <f t="shared" si="202"/>
        <v>66.666666666666671</v>
      </c>
      <c r="AV191" s="65">
        <f t="shared" si="203"/>
        <v>50</v>
      </c>
      <c r="AW191" s="65">
        <f t="shared" si="204"/>
        <v>50</v>
      </c>
      <c r="AX191" s="66">
        <f t="shared" si="205"/>
        <v>66.666666666666671</v>
      </c>
      <c r="AY191" s="65">
        <f t="shared" si="206"/>
        <v>50</v>
      </c>
      <c r="AZ191" s="65">
        <f t="shared" si="207"/>
        <v>50</v>
      </c>
      <c r="BA191" s="66">
        <f t="shared" si="208"/>
        <v>66.666666666666671</v>
      </c>
      <c r="BB191" s="68">
        <f t="shared" si="209"/>
        <v>0</v>
      </c>
      <c r="BC191" s="65">
        <f t="shared" si="210"/>
        <v>4.8112522432468872</v>
      </c>
      <c r="BD191" s="65">
        <f t="shared" si="211"/>
        <v>9.6225044864937406</v>
      </c>
      <c r="BE191" s="65">
        <f t="shared" si="212"/>
        <v>8.3333333333333268</v>
      </c>
      <c r="BF191" s="65">
        <f t="shared" si="213"/>
        <v>8.3333333333333268</v>
      </c>
      <c r="BG191" s="65">
        <f t="shared" si="214"/>
        <v>9.6225044864937406</v>
      </c>
      <c r="BH191" s="65">
        <f t="shared" si="215"/>
        <v>9.6225044864937406</v>
      </c>
      <c r="BI191" s="65">
        <f t="shared" si="216"/>
        <v>9.6225044864937406</v>
      </c>
      <c r="BJ191" s="68">
        <f t="shared" ref="BJ191:BJ210" si="222">BB191/SQRT($H191)</f>
        <v>0</v>
      </c>
      <c r="BK191" s="65">
        <f t="shared" ref="BK191:BK210" si="223">BC191/SQRT($H191)</f>
        <v>0.80187537387448116</v>
      </c>
      <c r="BL191" s="65">
        <f t="shared" ref="BL191:BL210" si="224">BD191/SQRT($H191)</f>
        <v>1.6037507477489568</v>
      </c>
      <c r="BM191" s="65">
        <f t="shared" ref="BM191:BM210" si="225">BE191/SQRT($H191)</f>
        <v>1.3888888888888877</v>
      </c>
      <c r="BN191" s="65">
        <f t="shared" ref="BN191:BN210" si="226">BF191/SQRT($H191)</f>
        <v>1.3888888888888877</v>
      </c>
      <c r="BO191" s="65">
        <f t="shared" ref="BO191:BO210" si="227">BG191/SQRT($H191)</f>
        <v>1.6037507477489568</v>
      </c>
      <c r="BP191" s="65">
        <f t="shared" ref="BP191:BP210" si="228">BH191/SQRT($H191)</f>
        <v>1.6037507477489568</v>
      </c>
      <c r="BQ191" s="90">
        <f t="shared" ref="BQ191:BQ210" si="229">BI191/SQRT($H191)</f>
        <v>1.6037507477489568</v>
      </c>
      <c r="BR191" s="69">
        <f t="shared" si="217"/>
        <v>100</v>
      </c>
      <c r="BS191" s="67">
        <f t="shared" si="218"/>
        <v>77.777777777777786</v>
      </c>
      <c r="BT191" s="67">
        <f t="shared" si="219"/>
        <v>72.222222222222229</v>
      </c>
      <c r="BU191" s="67">
        <f t="shared" si="220"/>
        <v>66.666666666666671</v>
      </c>
      <c r="BV191" s="67">
        <f t="shared" si="180"/>
        <v>58.333333333333336</v>
      </c>
      <c r="BW191" s="67">
        <f t="shared" si="182"/>
        <v>55.555555555555564</v>
      </c>
      <c r="BX191" s="67">
        <f t="shared" si="183"/>
        <v>55.555555555555564</v>
      </c>
      <c r="BY191" s="67">
        <f t="shared" si="184"/>
        <v>55.555555555555564</v>
      </c>
      <c r="BZ191" s="69">
        <f t="shared" si="181"/>
        <v>0</v>
      </c>
      <c r="CA191" s="67">
        <f t="shared" si="181"/>
        <v>22.222222222222214</v>
      </c>
      <c r="CB191" s="67">
        <f t="shared" si="181"/>
        <v>27.777777777777771</v>
      </c>
      <c r="CC191" s="67">
        <f t="shared" si="181"/>
        <v>33.333333333333329</v>
      </c>
      <c r="CD191" s="67">
        <f t="shared" si="181"/>
        <v>41.666666666666664</v>
      </c>
      <c r="CE191" s="67">
        <f t="shared" si="181"/>
        <v>44.444444444444436</v>
      </c>
      <c r="CF191" s="67">
        <f t="shared" si="181"/>
        <v>44.444444444444436</v>
      </c>
      <c r="CG191" s="116">
        <f t="shared" si="181"/>
        <v>44.444444444444436</v>
      </c>
    </row>
    <row r="192" spans="2:85" x14ac:dyDescent="0.3">
      <c r="B192" s="409"/>
      <c r="C192" s="412"/>
      <c r="D192" s="70" t="s">
        <v>804</v>
      </c>
      <c r="E192" s="65">
        <v>12</v>
      </c>
      <c r="F192" s="65">
        <v>12</v>
      </c>
      <c r="G192" s="66">
        <v>12</v>
      </c>
      <c r="H192" s="65">
        <f t="shared" si="221"/>
        <v>36</v>
      </c>
      <c r="I192" s="67">
        <v>11</v>
      </c>
      <c r="J192" s="67">
        <v>9</v>
      </c>
      <c r="K192" s="66">
        <v>9</v>
      </c>
      <c r="L192" s="67">
        <v>9</v>
      </c>
      <c r="M192" s="67">
        <v>8</v>
      </c>
      <c r="N192" s="66">
        <v>9</v>
      </c>
      <c r="O192" s="67">
        <v>8</v>
      </c>
      <c r="P192" s="67">
        <v>8</v>
      </c>
      <c r="Q192" s="66">
        <v>8</v>
      </c>
      <c r="R192" s="67">
        <v>7</v>
      </c>
      <c r="S192" s="67">
        <v>8</v>
      </c>
      <c r="T192" s="66">
        <v>8</v>
      </c>
      <c r="U192" s="67">
        <v>7</v>
      </c>
      <c r="V192" s="67">
        <v>7</v>
      </c>
      <c r="W192" s="66">
        <v>8</v>
      </c>
      <c r="X192" s="67">
        <v>6</v>
      </c>
      <c r="Y192" s="67">
        <v>5</v>
      </c>
      <c r="Z192" s="66">
        <v>6</v>
      </c>
      <c r="AA192" s="67">
        <v>4</v>
      </c>
      <c r="AB192" s="67">
        <v>5</v>
      </c>
      <c r="AC192" s="66">
        <v>6</v>
      </c>
      <c r="AD192" s="65">
        <f t="shared" si="185"/>
        <v>100</v>
      </c>
      <c r="AE192" s="65">
        <f t="shared" si="186"/>
        <v>100</v>
      </c>
      <c r="AF192" s="66">
        <f t="shared" si="187"/>
        <v>100</v>
      </c>
      <c r="AG192" s="65">
        <f t="shared" si="188"/>
        <v>91.666666666666671</v>
      </c>
      <c r="AH192" s="65">
        <f t="shared" si="189"/>
        <v>75</v>
      </c>
      <c r="AI192" s="66">
        <f t="shared" si="190"/>
        <v>75</v>
      </c>
      <c r="AJ192" s="65">
        <f t="shared" si="191"/>
        <v>75</v>
      </c>
      <c r="AK192" s="65">
        <f t="shared" si="192"/>
        <v>66.666666666666671</v>
      </c>
      <c r="AL192" s="66">
        <f t="shared" si="193"/>
        <v>75</v>
      </c>
      <c r="AM192" s="65">
        <f t="shared" si="194"/>
        <v>66.666666666666671</v>
      </c>
      <c r="AN192" s="65">
        <f t="shared" si="195"/>
        <v>66.666666666666671</v>
      </c>
      <c r="AO192" s="66">
        <f t="shared" si="196"/>
        <v>66.666666666666671</v>
      </c>
      <c r="AP192" s="65">
        <f t="shared" si="197"/>
        <v>58.333333333333336</v>
      </c>
      <c r="AQ192" s="65">
        <f t="shared" si="198"/>
        <v>66.666666666666671</v>
      </c>
      <c r="AR192" s="66">
        <f t="shared" si="199"/>
        <v>66.666666666666671</v>
      </c>
      <c r="AS192" s="65">
        <f t="shared" si="200"/>
        <v>58.333333333333336</v>
      </c>
      <c r="AT192" s="65">
        <f t="shared" si="201"/>
        <v>58.333333333333336</v>
      </c>
      <c r="AU192" s="66">
        <f t="shared" si="202"/>
        <v>66.666666666666671</v>
      </c>
      <c r="AV192" s="65">
        <f t="shared" si="203"/>
        <v>50</v>
      </c>
      <c r="AW192" s="65">
        <f t="shared" si="204"/>
        <v>41.666666666666671</v>
      </c>
      <c r="AX192" s="66">
        <f t="shared" si="205"/>
        <v>50</v>
      </c>
      <c r="AY192" s="65">
        <f t="shared" si="206"/>
        <v>33.333333333333336</v>
      </c>
      <c r="AZ192" s="65">
        <f t="shared" si="207"/>
        <v>41.666666666666671</v>
      </c>
      <c r="BA192" s="66">
        <f t="shared" si="208"/>
        <v>50</v>
      </c>
      <c r="BB192" s="68">
        <f t="shared" si="209"/>
        <v>0</v>
      </c>
      <c r="BC192" s="65">
        <f t="shared" si="210"/>
        <v>9.6225044864937654</v>
      </c>
      <c r="BD192" s="65">
        <f t="shared" si="211"/>
        <v>4.8112522432468783</v>
      </c>
      <c r="BE192" s="65">
        <f t="shared" si="212"/>
        <v>0</v>
      </c>
      <c r="BF192" s="65">
        <f t="shared" si="213"/>
        <v>4.8112522432468827</v>
      </c>
      <c r="BG192" s="65">
        <f t="shared" si="214"/>
        <v>4.8112522432468827</v>
      </c>
      <c r="BH192" s="65">
        <f t="shared" si="215"/>
        <v>4.8112522432468783</v>
      </c>
      <c r="BI192" s="65">
        <f t="shared" si="216"/>
        <v>8.3333333333333552</v>
      </c>
      <c r="BJ192" s="68">
        <f t="shared" si="222"/>
        <v>0</v>
      </c>
      <c r="BK192" s="65">
        <f t="shared" si="223"/>
        <v>1.603750747748961</v>
      </c>
      <c r="BL192" s="65">
        <f t="shared" si="224"/>
        <v>0.80187537387447971</v>
      </c>
      <c r="BM192" s="65">
        <f t="shared" si="225"/>
        <v>0</v>
      </c>
      <c r="BN192" s="65">
        <f t="shared" si="226"/>
        <v>0.80187537387448049</v>
      </c>
      <c r="BO192" s="65">
        <f t="shared" si="227"/>
        <v>0.80187537387448049</v>
      </c>
      <c r="BP192" s="65">
        <f t="shared" si="228"/>
        <v>0.80187537387447971</v>
      </c>
      <c r="BQ192" s="90">
        <f t="shared" si="229"/>
        <v>1.3888888888888926</v>
      </c>
      <c r="BR192" s="69">
        <f t="shared" si="217"/>
        <v>100</v>
      </c>
      <c r="BS192" s="67">
        <f t="shared" si="218"/>
        <v>80.555555555555557</v>
      </c>
      <c r="BT192" s="67">
        <f t="shared" si="219"/>
        <v>72.222222222222229</v>
      </c>
      <c r="BU192" s="67">
        <f t="shared" si="220"/>
        <v>66.666666666666671</v>
      </c>
      <c r="BV192" s="67">
        <f t="shared" si="180"/>
        <v>63.888888888888893</v>
      </c>
      <c r="BW192" s="67">
        <f t="shared" si="182"/>
        <v>61.111111111111114</v>
      </c>
      <c r="BX192" s="67">
        <f t="shared" si="183"/>
        <v>58.333333333333336</v>
      </c>
      <c r="BY192" s="67">
        <f t="shared" si="184"/>
        <v>52.777777777777779</v>
      </c>
      <c r="BZ192" s="69">
        <f t="shared" si="181"/>
        <v>0</v>
      </c>
      <c r="CA192" s="67">
        <f t="shared" si="181"/>
        <v>19.444444444444443</v>
      </c>
      <c r="CB192" s="67">
        <f t="shared" si="181"/>
        <v>27.777777777777771</v>
      </c>
      <c r="CC192" s="67">
        <f t="shared" si="181"/>
        <v>33.333333333333329</v>
      </c>
      <c r="CD192" s="67">
        <f t="shared" si="181"/>
        <v>36.111111111111107</v>
      </c>
      <c r="CE192" s="67">
        <f t="shared" si="181"/>
        <v>38.888888888888886</v>
      </c>
      <c r="CF192" s="67">
        <f t="shared" si="181"/>
        <v>41.666666666666664</v>
      </c>
      <c r="CG192" s="116">
        <f t="shared" si="181"/>
        <v>47.222222222222221</v>
      </c>
    </row>
    <row r="193" spans="2:85" x14ac:dyDescent="0.3">
      <c r="B193" s="410"/>
      <c r="C193" s="413"/>
      <c r="D193" s="70" t="s">
        <v>805</v>
      </c>
      <c r="E193" s="71">
        <v>12</v>
      </c>
      <c r="F193" s="71">
        <v>12</v>
      </c>
      <c r="G193" s="72">
        <v>12</v>
      </c>
      <c r="H193" s="71">
        <f t="shared" si="221"/>
        <v>36</v>
      </c>
      <c r="I193" s="73">
        <v>11</v>
      </c>
      <c r="J193" s="73">
        <v>9</v>
      </c>
      <c r="K193" s="72">
        <v>10</v>
      </c>
      <c r="L193" s="73">
        <v>11</v>
      </c>
      <c r="M193" s="73">
        <v>9</v>
      </c>
      <c r="N193" s="72">
        <v>10</v>
      </c>
      <c r="O193" s="73">
        <v>11</v>
      </c>
      <c r="P193" s="73">
        <v>9</v>
      </c>
      <c r="Q193" s="72">
        <v>10</v>
      </c>
      <c r="R193" s="73">
        <v>11</v>
      </c>
      <c r="S193" s="73">
        <v>9</v>
      </c>
      <c r="T193" s="72">
        <v>10</v>
      </c>
      <c r="U193" s="73">
        <v>8</v>
      </c>
      <c r="V193" s="73">
        <v>7</v>
      </c>
      <c r="W193" s="72">
        <v>7</v>
      </c>
      <c r="X193" s="73">
        <v>8</v>
      </c>
      <c r="Y193" s="73">
        <v>7</v>
      </c>
      <c r="Z193" s="72">
        <v>4</v>
      </c>
      <c r="AA193" s="73">
        <v>7</v>
      </c>
      <c r="AB193" s="73">
        <v>7</v>
      </c>
      <c r="AC193" s="72">
        <v>4</v>
      </c>
      <c r="AD193" s="71">
        <f t="shared" si="185"/>
        <v>100</v>
      </c>
      <c r="AE193" s="71">
        <f t="shared" si="186"/>
        <v>100</v>
      </c>
      <c r="AF193" s="72">
        <f t="shared" si="187"/>
        <v>100</v>
      </c>
      <c r="AG193" s="71">
        <f t="shared" si="188"/>
        <v>91.666666666666671</v>
      </c>
      <c r="AH193" s="71">
        <f t="shared" si="189"/>
        <v>75</v>
      </c>
      <c r="AI193" s="72">
        <f t="shared" si="190"/>
        <v>83.333333333333343</v>
      </c>
      <c r="AJ193" s="71">
        <f t="shared" si="191"/>
        <v>91.666666666666671</v>
      </c>
      <c r="AK193" s="71">
        <f t="shared" si="192"/>
        <v>75</v>
      </c>
      <c r="AL193" s="72">
        <f t="shared" si="193"/>
        <v>83.333333333333343</v>
      </c>
      <c r="AM193" s="71">
        <f t="shared" si="194"/>
        <v>91.666666666666671</v>
      </c>
      <c r="AN193" s="71">
        <f t="shared" si="195"/>
        <v>75</v>
      </c>
      <c r="AO193" s="72">
        <f t="shared" si="196"/>
        <v>83.333333333333343</v>
      </c>
      <c r="AP193" s="71">
        <f t="shared" si="197"/>
        <v>91.666666666666671</v>
      </c>
      <c r="AQ193" s="71">
        <f t="shared" si="198"/>
        <v>75</v>
      </c>
      <c r="AR193" s="72">
        <f t="shared" si="199"/>
        <v>83.333333333333343</v>
      </c>
      <c r="AS193" s="71">
        <f t="shared" si="200"/>
        <v>66.666666666666671</v>
      </c>
      <c r="AT193" s="71">
        <f t="shared" si="201"/>
        <v>58.333333333333336</v>
      </c>
      <c r="AU193" s="72">
        <f t="shared" si="202"/>
        <v>58.333333333333336</v>
      </c>
      <c r="AV193" s="71">
        <f t="shared" si="203"/>
        <v>66.666666666666671</v>
      </c>
      <c r="AW193" s="71">
        <f t="shared" si="204"/>
        <v>58.333333333333336</v>
      </c>
      <c r="AX193" s="72">
        <f t="shared" si="205"/>
        <v>33.333333333333336</v>
      </c>
      <c r="AY193" s="71">
        <f t="shared" si="206"/>
        <v>58.333333333333336</v>
      </c>
      <c r="AZ193" s="71">
        <f t="shared" si="207"/>
        <v>58.333333333333336</v>
      </c>
      <c r="BA193" s="72">
        <f t="shared" si="208"/>
        <v>33.333333333333336</v>
      </c>
      <c r="BB193" s="74">
        <f t="shared" si="209"/>
        <v>0</v>
      </c>
      <c r="BC193" s="71">
        <f t="shared" si="210"/>
        <v>8.3333333333333357</v>
      </c>
      <c r="BD193" s="71">
        <f t="shared" si="211"/>
        <v>8.3333333333333357</v>
      </c>
      <c r="BE193" s="71">
        <f t="shared" si="212"/>
        <v>8.3333333333333357</v>
      </c>
      <c r="BF193" s="71">
        <f t="shared" si="213"/>
        <v>8.3333333333333357</v>
      </c>
      <c r="BG193" s="71">
        <f t="shared" si="214"/>
        <v>4.8112522432468827</v>
      </c>
      <c r="BH193" s="71">
        <f t="shared" si="215"/>
        <v>17.34721666221775</v>
      </c>
      <c r="BI193" s="71">
        <f t="shared" si="216"/>
        <v>14.433756729740649</v>
      </c>
      <c r="BJ193" s="74">
        <f t="shared" si="222"/>
        <v>0</v>
      </c>
      <c r="BK193" s="71">
        <f t="shared" si="223"/>
        <v>1.3888888888888893</v>
      </c>
      <c r="BL193" s="71">
        <f t="shared" si="224"/>
        <v>1.3888888888888893</v>
      </c>
      <c r="BM193" s="71">
        <f t="shared" si="225"/>
        <v>1.3888888888888893</v>
      </c>
      <c r="BN193" s="71">
        <f t="shared" si="226"/>
        <v>1.3888888888888893</v>
      </c>
      <c r="BO193" s="71">
        <f t="shared" si="227"/>
        <v>0.80187537387448049</v>
      </c>
      <c r="BP193" s="71">
        <f t="shared" si="228"/>
        <v>2.8912027770362916</v>
      </c>
      <c r="BQ193" s="91">
        <f t="shared" si="229"/>
        <v>2.4056261216234414</v>
      </c>
      <c r="BR193" s="75">
        <f t="shared" si="217"/>
        <v>100</v>
      </c>
      <c r="BS193" s="73">
        <f t="shared" si="218"/>
        <v>83.333333333333343</v>
      </c>
      <c r="BT193" s="73">
        <f t="shared" si="219"/>
        <v>83.333333333333343</v>
      </c>
      <c r="BU193" s="73">
        <f t="shared" si="220"/>
        <v>83.333333333333343</v>
      </c>
      <c r="BV193" s="73">
        <f t="shared" si="180"/>
        <v>83.333333333333343</v>
      </c>
      <c r="BW193" s="73">
        <f t="shared" si="182"/>
        <v>61.111111111111114</v>
      </c>
      <c r="BX193" s="73">
        <f t="shared" si="183"/>
        <v>61.111111111111114</v>
      </c>
      <c r="BY193" s="73">
        <f t="shared" si="184"/>
        <v>61.111111111111114</v>
      </c>
      <c r="BZ193" s="75">
        <f t="shared" si="181"/>
        <v>0</v>
      </c>
      <c r="CA193" s="73">
        <f t="shared" si="181"/>
        <v>16.666666666666657</v>
      </c>
      <c r="CB193" s="73">
        <f t="shared" si="181"/>
        <v>16.666666666666657</v>
      </c>
      <c r="CC193" s="73">
        <f t="shared" si="181"/>
        <v>16.666666666666657</v>
      </c>
      <c r="CD193" s="73">
        <f t="shared" si="181"/>
        <v>16.666666666666657</v>
      </c>
      <c r="CE193" s="73">
        <f t="shared" si="181"/>
        <v>38.888888888888886</v>
      </c>
      <c r="CF193" s="73">
        <f t="shared" si="181"/>
        <v>38.888888888888886</v>
      </c>
      <c r="CG193" s="265">
        <f t="shared" si="181"/>
        <v>38.888888888888886</v>
      </c>
    </row>
    <row r="194" spans="2:85" ht="15" customHeight="1" x14ac:dyDescent="0.3">
      <c r="B194" s="408">
        <v>48</v>
      </c>
      <c r="C194" s="411" t="s">
        <v>613</v>
      </c>
      <c r="D194" s="76" t="s">
        <v>802</v>
      </c>
      <c r="E194" s="77">
        <v>12</v>
      </c>
      <c r="F194" s="77">
        <v>12</v>
      </c>
      <c r="G194" s="78">
        <v>12</v>
      </c>
      <c r="H194" s="77">
        <f t="shared" si="221"/>
        <v>36</v>
      </c>
      <c r="I194" s="79">
        <v>9</v>
      </c>
      <c r="J194" s="79">
        <v>9</v>
      </c>
      <c r="K194" s="78">
        <v>10</v>
      </c>
      <c r="L194" s="79">
        <v>6</v>
      </c>
      <c r="M194" s="79">
        <v>8</v>
      </c>
      <c r="N194" s="78">
        <v>6</v>
      </c>
      <c r="O194" s="79">
        <v>4</v>
      </c>
      <c r="P194" s="79">
        <v>5</v>
      </c>
      <c r="Q194" s="78">
        <v>3</v>
      </c>
      <c r="R194" s="79">
        <v>2</v>
      </c>
      <c r="S194" s="79">
        <v>2</v>
      </c>
      <c r="T194" s="78">
        <v>1</v>
      </c>
      <c r="U194" s="79">
        <v>1</v>
      </c>
      <c r="V194" s="79">
        <v>2</v>
      </c>
      <c r="W194" s="78">
        <v>1</v>
      </c>
      <c r="X194" s="79">
        <v>0</v>
      </c>
      <c r="Y194" s="79">
        <v>2</v>
      </c>
      <c r="Z194" s="78">
        <v>0</v>
      </c>
      <c r="AA194" s="79">
        <v>0</v>
      </c>
      <c r="AB194" s="79">
        <v>2</v>
      </c>
      <c r="AC194" s="78">
        <v>0</v>
      </c>
      <c r="AD194" s="77">
        <f t="shared" si="185"/>
        <v>100</v>
      </c>
      <c r="AE194" s="77">
        <f t="shared" si="186"/>
        <v>100</v>
      </c>
      <c r="AF194" s="78">
        <f t="shared" si="187"/>
        <v>100</v>
      </c>
      <c r="AG194" s="77">
        <f t="shared" si="188"/>
        <v>75</v>
      </c>
      <c r="AH194" s="77">
        <f t="shared" si="189"/>
        <v>75</v>
      </c>
      <c r="AI194" s="78">
        <f t="shared" si="190"/>
        <v>83.333333333333343</v>
      </c>
      <c r="AJ194" s="77">
        <f t="shared" si="191"/>
        <v>50</v>
      </c>
      <c r="AK194" s="77">
        <f t="shared" si="192"/>
        <v>66.666666666666671</v>
      </c>
      <c r="AL194" s="78">
        <f t="shared" si="193"/>
        <v>50</v>
      </c>
      <c r="AM194" s="77">
        <f t="shared" si="194"/>
        <v>33.333333333333336</v>
      </c>
      <c r="AN194" s="77">
        <f t="shared" si="195"/>
        <v>41.666666666666671</v>
      </c>
      <c r="AO194" s="78">
        <f t="shared" si="196"/>
        <v>25</v>
      </c>
      <c r="AP194" s="77">
        <f t="shared" si="197"/>
        <v>16.666666666666668</v>
      </c>
      <c r="AQ194" s="77">
        <f t="shared" si="198"/>
        <v>16.666666666666668</v>
      </c>
      <c r="AR194" s="78">
        <f t="shared" si="199"/>
        <v>8.3333333333333339</v>
      </c>
      <c r="AS194" s="77">
        <f t="shared" si="200"/>
        <v>8.3333333333333339</v>
      </c>
      <c r="AT194" s="77">
        <f t="shared" si="201"/>
        <v>16.666666666666668</v>
      </c>
      <c r="AU194" s="78">
        <f t="shared" si="202"/>
        <v>8.3333333333333339</v>
      </c>
      <c r="AV194" s="77">
        <f t="shared" si="203"/>
        <v>0</v>
      </c>
      <c r="AW194" s="77">
        <f t="shared" si="204"/>
        <v>16.666666666666668</v>
      </c>
      <c r="AX194" s="78">
        <f t="shared" si="205"/>
        <v>0</v>
      </c>
      <c r="AY194" s="77">
        <f t="shared" si="206"/>
        <v>0</v>
      </c>
      <c r="AZ194" s="77">
        <f t="shared" si="207"/>
        <v>16.666666666666668</v>
      </c>
      <c r="BA194" s="78">
        <f t="shared" si="208"/>
        <v>0</v>
      </c>
      <c r="BB194" s="80">
        <f t="shared" si="209"/>
        <v>0</v>
      </c>
      <c r="BC194" s="77">
        <f t="shared" si="210"/>
        <v>4.8112522432468872</v>
      </c>
      <c r="BD194" s="77">
        <f t="shared" si="211"/>
        <v>9.6225044864937406</v>
      </c>
      <c r="BE194" s="77">
        <f t="shared" si="212"/>
        <v>8.333333333333341</v>
      </c>
      <c r="BF194" s="77">
        <f t="shared" si="213"/>
        <v>4.8112522432468818</v>
      </c>
      <c r="BG194" s="77">
        <f t="shared" si="214"/>
        <v>4.8112522432468818</v>
      </c>
      <c r="BH194" s="77">
        <f t="shared" si="215"/>
        <v>9.6225044864937637</v>
      </c>
      <c r="BI194" s="77">
        <f t="shared" si="216"/>
        <v>9.6225044864937637</v>
      </c>
      <c r="BJ194" s="80">
        <f t="shared" si="222"/>
        <v>0</v>
      </c>
      <c r="BK194" s="77">
        <f t="shared" si="223"/>
        <v>0.80187537387448116</v>
      </c>
      <c r="BL194" s="77">
        <f t="shared" si="224"/>
        <v>1.6037507477489568</v>
      </c>
      <c r="BM194" s="77">
        <f t="shared" si="225"/>
        <v>1.3888888888888902</v>
      </c>
      <c r="BN194" s="77">
        <f t="shared" si="226"/>
        <v>0.80187537387448027</v>
      </c>
      <c r="BO194" s="77">
        <f t="shared" si="227"/>
        <v>0.80187537387448027</v>
      </c>
      <c r="BP194" s="77">
        <f t="shared" si="228"/>
        <v>1.6037507477489605</v>
      </c>
      <c r="BQ194" s="92">
        <f t="shared" si="229"/>
        <v>1.6037507477489605</v>
      </c>
      <c r="BR194" s="81">
        <f t="shared" si="217"/>
        <v>100</v>
      </c>
      <c r="BS194" s="79">
        <f t="shared" si="218"/>
        <v>77.777777777777786</v>
      </c>
      <c r="BT194" s="79">
        <f t="shared" si="219"/>
        <v>55.555555555555564</v>
      </c>
      <c r="BU194" s="79">
        <f t="shared" si="220"/>
        <v>33.333333333333336</v>
      </c>
      <c r="BV194" s="79">
        <f t="shared" si="180"/>
        <v>13.888888888888891</v>
      </c>
      <c r="BW194" s="79">
        <f t="shared" si="182"/>
        <v>11.111111111111112</v>
      </c>
      <c r="BX194" s="79">
        <f t="shared" si="183"/>
        <v>8.3333333333333339</v>
      </c>
      <c r="BY194" s="79">
        <f t="shared" si="184"/>
        <v>8.3333333333333339</v>
      </c>
      <c r="BZ194" s="81">
        <f t="shared" si="181"/>
        <v>0</v>
      </c>
      <c r="CA194" s="79">
        <f t="shared" si="181"/>
        <v>22.222222222222214</v>
      </c>
      <c r="CB194" s="79">
        <f t="shared" si="181"/>
        <v>44.444444444444436</v>
      </c>
      <c r="CC194" s="79">
        <f t="shared" si="181"/>
        <v>66.666666666666657</v>
      </c>
      <c r="CD194" s="79">
        <f t="shared" si="181"/>
        <v>86.111111111111114</v>
      </c>
      <c r="CE194" s="79">
        <f t="shared" si="181"/>
        <v>88.888888888888886</v>
      </c>
      <c r="CF194" s="79">
        <f t="shared" si="181"/>
        <v>91.666666666666671</v>
      </c>
      <c r="CG194" s="264">
        <f t="shared" si="181"/>
        <v>91.666666666666671</v>
      </c>
    </row>
    <row r="195" spans="2:85" x14ac:dyDescent="0.3">
      <c r="B195" s="409"/>
      <c r="C195" s="412"/>
      <c r="D195" s="70" t="s">
        <v>803</v>
      </c>
      <c r="E195" s="65">
        <v>12</v>
      </c>
      <c r="F195" s="65">
        <v>12</v>
      </c>
      <c r="G195" s="66">
        <v>12</v>
      </c>
      <c r="H195" s="65">
        <f t="shared" si="221"/>
        <v>36</v>
      </c>
      <c r="I195" s="67">
        <v>11</v>
      </c>
      <c r="J195" s="67">
        <v>10</v>
      </c>
      <c r="K195" s="66">
        <v>11</v>
      </c>
      <c r="L195" s="67">
        <v>9</v>
      </c>
      <c r="M195" s="67">
        <v>8</v>
      </c>
      <c r="N195" s="66">
        <v>9</v>
      </c>
      <c r="O195" s="67">
        <v>7</v>
      </c>
      <c r="P195" s="67">
        <v>5</v>
      </c>
      <c r="Q195" s="66">
        <v>6</v>
      </c>
      <c r="R195" s="67">
        <v>4</v>
      </c>
      <c r="S195" s="67">
        <v>5</v>
      </c>
      <c r="T195" s="66">
        <v>6</v>
      </c>
      <c r="U195" s="67">
        <v>4</v>
      </c>
      <c r="V195" s="67">
        <v>4</v>
      </c>
      <c r="W195" s="66">
        <v>4</v>
      </c>
      <c r="X195" s="67">
        <v>4</v>
      </c>
      <c r="Y195" s="67">
        <v>4</v>
      </c>
      <c r="Z195" s="66">
        <v>3</v>
      </c>
      <c r="AA195" s="67">
        <v>4</v>
      </c>
      <c r="AB195" s="67">
        <v>3</v>
      </c>
      <c r="AC195" s="66">
        <v>3</v>
      </c>
      <c r="AD195" s="65">
        <f t="shared" si="185"/>
        <v>100</v>
      </c>
      <c r="AE195" s="65">
        <f t="shared" si="186"/>
        <v>100</v>
      </c>
      <c r="AF195" s="66">
        <f t="shared" si="187"/>
        <v>100</v>
      </c>
      <c r="AG195" s="65">
        <f t="shared" si="188"/>
        <v>91.666666666666671</v>
      </c>
      <c r="AH195" s="65">
        <f t="shared" si="189"/>
        <v>83.333333333333343</v>
      </c>
      <c r="AI195" s="66">
        <f t="shared" si="190"/>
        <v>91.666666666666671</v>
      </c>
      <c r="AJ195" s="65">
        <f t="shared" si="191"/>
        <v>75</v>
      </c>
      <c r="AK195" s="65">
        <f t="shared" si="192"/>
        <v>66.666666666666671</v>
      </c>
      <c r="AL195" s="66">
        <f t="shared" si="193"/>
        <v>75</v>
      </c>
      <c r="AM195" s="65">
        <f t="shared" si="194"/>
        <v>58.333333333333336</v>
      </c>
      <c r="AN195" s="65">
        <f t="shared" si="195"/>
        <v>41.666666666666671</v>
      </c>
      <c r="AO195" s="66">
        <f t="shared" si="196"/>
        <v>50</v>
      </c>
      <c r="AP195" s="65">
        <f t="shared" si="197"/>
        <v>33.333333333333336</v>
      </c>
      <c r="AQ195" s="65">
        <f t="shared" si="198"/>
        <v>41.666666666666671</v>
      </c>
      <c r="AR195" s="66">
        <f t="shared" si="199"/>
        <v>50</v>
      </c>
      <c r="AS195" s="65">
        <f t="shared" si="200"/>
        <v>33.333333333333336</v>
      </c>
      <c r="AT195" s="65">
        <f t="shared" si="201"/>
        <v>33.333333333333336</v>
      </c>
      <c r="AU195" s="66">
        <f t="shared" si="202"/>
        <v>33.333333333333336</v>
      </c>
      <c r="AV195" s="65">
        <f t="shared" si="203"/>
        <v>33.333333333333336</v>
      </c>
      <c r="AW195" s="65">
        <f t="shared" si="204"/>
        <v>33.333333333333336</v>
      </c>
      <c r="AX195" s="66">
        <f t="shared" si="205"/>
        <v>25</v>
      </c>
      <c r="AY195" s="65">
        <f t="shared" si="206"/>
        <v>33.333333333333336</v>
      </c>
      <c r="AZ195" s="65">
        <f t="shared" si="207"/>
        <v>25</v>
      </c>
      <c r="BA195" s="66">
        <f t="shared" si="208"/>
        <v>25</v>
      </c>
      <c r="BB195" s="68">
        <f t="shared" si="209"/>
        <v>0</v>
      </c>
      <c r="BC195" s="65">
        <f t="shared" si="210"/>
        <v>4.8112522432468783</v>
      </c>
      <c r="BD195" s="65">
        <f t="shared" si="211"/>
        <v>4.8112522432468783</v>
      </c>
      <c r="BE195" s="65">
        <f t="shared" si="212"/>
        <v>8.3333333333333552</v>
      </c>
      <c r="BF195" s="65">
        <f t="shared" si="213"/>
        <v>8.3333333333333552</v>
      </c>
      <c r="BG195" s="65">
        <f t="shared" si="214"/>
        <v>0</v>
      </c>
      <c r="BH195" s="65">
        <f t="shared" si="215"/>
        <v>4.8112522432468703</v>
      </c>
      <c r="BI195" s="65">
        <f t="shared" si="216"/>
        <v>4.8112522432468703</v>
      </c>
      <c r="BJ195" s="68">
        <f t="shared" si="222"/>
        <v>0</v>
      </c>
      <c r="BK195" s="65">
        <f t="shared" si="223"/>
        <v>0.80187537387447971</v>
      </c>
      <c r="BL195" s="65">
        <f t="shared" si="224"/>
        <v>0.80187537387447971</v>
      </c>
      <c r="BM195" s="65">
        <f t="shared" si="225"/>
        <v>1.3888888888888926</v>
      </c>
      <c r="BN195" s="65">
        <f t="shared" si="226"/>
        <v>1.3888888888888926</v>
      </c>
      <c r="BO195" s="65">
        <f t="shared" si="227"/>
        <v>0</v>
      </c>
      <c r="BP195" s="65">
        <f t="shared" si="228"/>
        <v>0.80187537387447838</v>
      </c>
      <c r="BQ195" s="90">
        <f t="shared" si="229"/>
        <v>0.80187537387447838</v>
      </c>
      <c r="BR195" s="69">
        <f t="shared" si="217"/>
        <v>100</v>
      </c>
      <c r="BS195" s="67">
        <f t="shared" si="218"/>
        <v>88.8888888888889</v>
      </c>
      <c r="BT195" s="67">
        <f t="shared" si="219"/>
        <v>72.222222222222229</v>
      </c>
      <c r="BU195" s="67">
        <f t="shared" si="220"/>
        <v>50</v>
      </c>
      <c r="BV195" s="67">
        <f t="shared" si="180"/>
        <v>41.666666666666664</v>
      </c>
      <c r="BW195" s="67">
        <f t="shared" si="182"/>
        <v>33.333333333333336</v>
      </c>
      <c r="BX195" s="67">
        <f t="shared" si="183"/>
        <v>33.333333333333336</v>
      </c>
      <c r="BY195" s="67">
        <f t="shared" si="184"/>
        <v>33.333333333333336</v>
      </c>
      <c r="BZ195" s="69">
        <f t="shared" si="181"/>
        <v>0</v>
      </c>
      <c r="CA195" s="67">
        <f t="shared" si="181"/>
        <v>11.1111111111111</v>
      </c>
      <c r="CB195" s="67">
        <f t="shared" si="181"/>
        <v>27.777777777777771</v>
      </c>
      <c r="CC195" s="67">
        <f t="shared" si="181"/>
        <v>50</v>
      </c>
      <c r="CD195" s="67">
        <f t="shared" si="181"/>
        <v>58.333333333333336</v>
      </c>
      <c r="CE195" s="67">
        <f t="shared" si="181"/>
        <v>66.666666666666657</v>
      </c>
      <c r="CF195" s="67">
        <f t="shared" si="181"/>
        <v>66.666666666666657</v>
      </c>
      <c r="CG195" s="116">
        <f t="shared" si="181"/>
        <v>66.666666666666657</v>
      </c>
    </row>
    <row r="196" spans="2:85" x14ac:dyDescent="0.3">
      <c r="B196" s="409"/>
      <c r="C196" s="412"/>
      <c r="D196" s="70" t="s">
        <v>804</v>
      </c>
      <c r="E196" s="65">
        <v>12</v>
      </c>
      <c r="F196" s="65">
        <v>12</v>
      </c>
      <c r="G196" s="66">
        <v>12</v>
      </c>
      <c r="H196" s="65">
        <f t="shared" si="221"/>
        <v>36</v>
      </c>
      <c r="I196" s="67">
        <v>10</v>
      </c>
      <c r="J196" s="67">
        <v>10</v>
      </c>
      <c r="K196" s="66">
        <v>9</v>
      </c>
      <c r="L196" s="67">
        <v>6</v>
      </c>
      <c r="M196" s="67">
        <v>8</v>
      </c>
      <c r="N196" s="66">
        <v>6</v>
      </c>
      <c r="O196" s="67">
        <v>5</v>
      </c>
      <c r="P196" s="67">
        <v>6</v>
      </c>
      <c r="Q196" s="66">
        <v>5</v>
      </c>
      <c r="R196" s="67">
        <v>4</v>
      </c>
      <c r="S196" s="67">
        <v>2</v>
      </c>
      <c r="T196" s="66">
        <v>0</v>
      </c>
      <c r="U196" s="67">
        <v>4</v>
      </c>
      <c r="V196" s="67">
        <v>2</v>
      </c>
      <c r="W196" s="66">
        <v>0</v>
      </c>
      <c r="X196" s="67">
        <v>3</v>
      </c>
      <c r="Y196" s="67">
        <v>2</v>
      </c>
      <c r="Z196" s="66">
        <v>0</v>
      </c>
      <c r="AA196" s="67">
        <v>3</v>
      </c>
      <c r="AB196" s="67">
        <v>1</v>
      </c>
      <c r="AC196" s="66">
        <v>0</v>
      </c>
      <c r="AD196" s="65">
        <f t="shared" si="185"/>
        <v>100</v>
      </c>
      <c r="AE196" s="65">
        <f t="shared" si="186"/>
        <v>100</v>
      </c>
      <c r="AF196" s="66">
        <f t="shared" si="187"/>
        <v>100</v>
      </c>
      <c r="AG196" s="65">
        <f t="shared" si="188"/>
        <v>83.333333333333343</v>
      </c>
      <c r="AH196" s="65">
        <f t="shared" si="189"/>
        <v>83.333333333333343</v>
      </c>
      <c r="AI196" s="66">
        <f t="shared" si="190"/>
        <v>75</v>
      </c>
      <c r="AJ196" s="65">
        <f t="shared" si="191"/>
        <v>50</v>
      </c>
      <c r="AK196" s="65">
        <f t="shared" si="192"/>
        <v>66.666666666666671</v>
      </c>
      <c r="AL196" s="66">
        <f t="shared" si="193"/>
        <v>50</v>
      </c>
      <c r="AM196" s="65">
        <f t="shared" si="194"/>
        <v>41.666666666666671</v>
      </c>
      <c r="AN196" s="65">
        <f t="shared" si="195"/>
        <v>50</v>
      </c>
      <c r="AO196" s="66">
        <f t="shared" si="196"/>
        <v>41.666666666666671</v>
      </c>
      <c r="AP196" s="65">
        <f t="shared" si="197"/>
        <v>33.333333333333336</v>
      </c>
      <c r="AQ196" s="65">
        <f t="shared" si="198"/>
        <v>16.666666666666668</v>
      </c>
      <c r="AR196" s="66">
        <f t="shared" si="199"/>
        <v>0</v>
      </c>
      <c r="AS196" s="65">
        <f t="shared" si="200"/>
        <v>33.333333333333336</v>
      </c>
      <c r="AT196" s="65">
        <f t="shared" si="201"/>
        <v>16.666666666666668</v>
      </c>
      <c r="AU196" s="66">
        <f t="shared" si="202"/>
        <v>0</v>
      </c>
      <c r="AV196" s="65">
        <f t="shared" si="203"/>
        <v>25</v>
      </c>
      <c r="AW196" s="65">
        <f t="shared" si="204"/>
        <v>16.666666666666668</v>
      </c>
      <c r="AX196" s="66">
        <f t="shared" si="205"/>
        <v>0</v>
      </c>
      <c r="AY196" s="65">
        <f t="shared" si="206"/>
        <v>25</v>
      </c>
      <c r="AZ196" s="65">
        <f t="shared" si="207"/>
        <v>8.3333333333333339</v>
      </c>
      <c r="BA196" s="66">
        <f t="shared" si="208"/>
        <v>0</v>
      </c>
      <c r="BB196" s="68">
        <f t="shared" si="209"/>
        <v>0</v>
      </c>
      <c r="BC196" s="65">
        <f t="shared" si="210"/>
        <v>4.8112522432468872</v>
      </c>
      <c r="BD196" s="65">
        <f t="shared" si="211"/>
        <v>9.6225044864937406</v>
      </c>
      <c r="BE196" s="65">
        <f t="shared" si="212"/>
        <v>4.8112522432468783</v>
      </c>
      <c r="BF196" s="65">
        <f t="shared" si="213"/>
        <v>16.666666666666671</v>
      </c>
      <c r="BG196" s="65">
        <f t="shared" si="214"/>
        <v>16.666666666666671</v>
      </c>
      <c r="BH196" s="65">
        <f t="shared" si="215"/>
        <v>12.729376930432888</v>
      </c>
      <c r="BI196" s="65">
        <f t="shared" si="216"/>
        <v>12.729376930432888</v>
      </c>
      <c r="BJ196" s="68">
        <f t="shared" si="222"/>
        <v>0</v>
      </c>
      <c r="BK196" s="65">
        <f t="shared" si="223"/>
        <v>0.80187537387448116</v>
      </c>
      <c r="BL196" s="65">
        <f t="shared" si="224"/>
        <v>1.6037507477489568</v>
      </c>
      <c r="BM196" s="65">
        <f t="shared" si="225"/>
        <v>0.80187537387447971</v>
      </c>
      <c r="BN196" s="65">
        <f t="shared" si="226"/>
        <v>2.7777777777777786</v>
      </c>
      <c r="BO196" s="65">
        <f t="shared" si="227"/>
        <v>2.7777777777777786</v>
      </c>
      <c r="BP196" s="65">
        <f t="shared" si="228"/>
        <v>2.1215628217388147</v>
      </c>
      <c r="BQ196" s="90">
        <f t="shared" si="229"/>
        <v>2.1215628217388147</v>
      </c>
      <c r="BR196" s="69">
        <f t="shared" si="217"/>
        <v>100</v>
      </c>
      <c r="BS196" s="67">
        <f t="shared" si="218"/>
        <v>80.555555555555557</v>
      </c>
      <c r="BT196" s="67">
        <f t="shared" si="219"/>
        <v>55.555555555555564</v>
      </c>
      <c r="BU196" s="67">
        <f t="shared" si="220"/>
        <v>44.44444444444445</v>
      </c>
      <c r="BV196" s="67">
        <f t="shared" si="180"/>
        <v>16.666666666666668</v>
      </c>
      <c r="BW196" s="67">
        <f t="shared" si="182"/>
        <v>16.666666666666668</v>
      </c>
      <c r="BX196" s="67">
        <f t="shared" si="183"/>
        <v>13.888888888888891</v>
      </c>
      <c r="BY196" s="67">
        <f t="shared" si="184"/>
        <v>13.888888888888891</v>
      </c>
      <c r="BZ196" s="69">
        <f t="shared" si="181"/>
        <v>0</v>
      </c>
      <c r="CA196" s="67">
        <f t="shared" si="181"/>
        <v>19.444444444444443</v>
      </c>
      <c r="CB196" s="67">
        <f t="shared" si="181"/>
        <v>44.444444444444436</v>
      </c>
      <c r="CC196" s="67">
        <f t="shared" si="181"/>
        <v>55.55555555555555</v>
      </c>
      <c r="CD196" s="67">
        <f t="shared" si="181"/>
        <v>83.333333333333329</v>
      </c>
      <c r="CE196" s="67">
        <f t="shared" si="181"/>
        <v>83.333333333333329</v>
      </c>
      <c r="CF196" s="67">
        <f t="shared" si="181"/>
        <v>86.111111111111114</v>
      </c>
      <c r="CG196" s="116">
        <f t="shared" si="181"/>
        <v>86.111111111111114</v>
      </c>
    </row>
    <row r="197" spans="2:85" x14ac:dyDescent="0.3">
      <c r="B197" s="410"/>
      <c r="C197" s="413"/>
      <c r="D197" s="70" t="s">
        <v>805</v>
      </c>
      <c r="E197" s="71">
        <v>12</v>
      </c>
      <c r="F197" s="71">
        <v>12</v>
      </c>
      <c r="G197" s="72">
        <v>12</v>
      </c>
      <c r="H197" s="71">
        <f t="shared" si="221"/>
        <v>36</v>
      </c>
      <c r="I197" s="73">
        <v>9</v>
      </c>
      <c r="J197" s="73">
        <v>9</v>
      </c>
      <c r="K197" s="72">
        <v>10</v>
      </c>
      <c r="L197" s="73">
        <v>5</v>
      </c>
      <c r="M197" s="73">
        <v>5</v>
      </c>
      <c r="N197" s="72">
        <v>8</v>
      </c>
      <c r="O197" s="73">
        <v>5</v>
      </c>
      <c r="P197" s="73">
        <v>5</v>
      </c>
      <c r="Q197" s="72">
        <v>7</v>
      </c>
      <c r="R197" s="73">
        <v>3</v>
      </c>
      <c r="S197" s="73">
        <v>2</v>
      </c>
      <c r="T197" s="72">
        <v>1</v>
      </c>
      <c r="U197" s="73">
        <v>3</v>
      </c>
      <c r="V197" s="73">
        <v>2</v>
      </c>
      <c r="W197" s="72">
        <v>1</v>
      </c>
      <c r="X197" s="73">
        <v>2</v>
      </c>
      <c r="Y197" s="73">
        <v>2</v>
      </c>
      <c r="Z197" s="72">
        <v>1</v>
      </c>
      <c r="AA197" s="73">
        <v>1</v>
      </c>
      <c r="AB197" s="73">
        <v>2</v>
      </c>
      <c r="AC197" s="72">
        <v>1</v>
      </c>
      <c r="AD197" s="71">
        <f t="shared" si="185"/>
        <v>100</v>
      </c>
      <c r="AE197" s="71">
        <f t="shared" si="186"/>
        <v>100</v>
      </c>
      <c r="AF197" s="72">
        <f t="shared" si="187"/>
        <v>100</v>
      </c>
      <c r="AG197" s="71">
        <f t="shared" si="188"/>
        <v>75</v>
      </c>
      <c r="AH197" s="71">
        <f t="shared" si="189"/>
        <v>75</v>
      </c>
      <c r="AI197" s="72">
        <f t="shared" si="190"/>
        <v>83.333333333333343</v>
      </c>
      <c r="AJ197" s="71">
        <f t="shared" si="191"/>
        <v>41.666666666666671</v>
      </c>
      <c r="AK197" s="71">
        <f t="shared" si="192"/>
        <v>41.666666666666671</v>
      </c>
      <c r="AL197" s="72">
        <f t="shared" si="193"/>
        <v>66.666666666666671</v>
      </c>
      <c r="AM197" s="71">
        <f t="shared" si="194"/>
        <v>41.666666666666671</v>
      </c>
      <c r="AN197" s="71">
        <f t="shared" si="195"/>
        <v>41.666666666666671</v>
      </c>
      <c r="AO197" s="72">
        <f t="shared" si="196"/>
        <v>58.333333333333336</v>
      </c>
      <c r="AP197" s="71">
        <f t="shared" si="197"/>
        <v>25</v>
      </c>
      <c r="AQ197" s="71">
        <f t="shared" si="198"/>
        <v>16.666666666666668</v>
      </c>
      <c r="AR197" s="72">
        <f t="shared" si="199"/>
        <v>8.3333333333333339</v>
      </c>
      <c r="AS197" s="71">
        <f t="shared" si="200"/>
        <v>25</v>
      </c>
      <c r="AT197" s="71">
        <f t="shared" si="201"/>
        <v>16.666666666666668</v>
      </c>
      <c r="AU197" s="72">
        <f t="shared" si="202"/>
        <v>8.3333333333333339</v>
      </c>
      <c r="AV197" s="71">
        <f t="shared" si="203"/>
        <v>16.666666666666668</v>
      </c>
      <c r="AW197" s="71">
        <f t="shared" si="204"/>
        <v>16.666666666666668</v>
      </c>
      <c r="AX197" s="72">
        <f t="shared" si="205"/>
        <v>8.3333333333333339</v>
      </c>
      <c r="AY197" s="71">
        <f t="shared" si="206"/>
        <v>8.3333333333333339</v>
      </c>
      <c r="AZ197" s="71">
        <f t="shared" si="207"/>
        <v>16.666666666666668</v>
      </c>
      <c r="BA197" s="72">
        <f t="shared" si="208"/>
        <v>8.3333333333333339</v>
      </c>
      <c r="BB197" s="74">
        <f t="shared" si="209"/>
        <v>0</v>
      </c>
      <c r="BC197" s="71">
        <f t="shared" si="210"/>
        <v>4.8112522432468872</v>
      </c>
      <c r="BD197" s="71">
        <f t="shared" si="211"/>
        <v>14.433756729740665</v>
      </c>
      <c r="BE197" s="71">
        <f t="shared" si="212"/>
        <v>9.6225044864937406</v>
      </c>
      <c r="BF197" s="71">
        <f t="shared" si="213"/>
        <v>8.3333333333333268</v>
      </c>
      <c r="BG197" s="71">
        <f t="shared" si="214"/>
        <v>8.3333333333333268</v>
      </c>
      <c r="BH197" s="71">
        <f t="shared" si="215"/>
        <v>4.8112522432468818</v>
      </c>
      <c r="BI197" s="71">
        <f t="shared" si="216"/>
        <v>4.8112522432468818</v>
      </c>
      <c r="BJ197" s="74">
        <f t="shared" si="222"/>
        <v>0</v>
      </c>
      <c r="BK197" s="71">
        <f t="shared" si="223"/>
        <v>0.80187537387448116</v>
      </c>
      <c r="BL197" s="71">
        <f t="shared" si="224"/>
        <v>2.405626121623444</v>
      </c>
      <c r="BM197" s="71">
        <f t="shared" si="225"/>
        <v>1.6037507477489568</v>
      </c>
      <c r="BN197" s="71">
        <f t="shared" si="226"/>
        <v>1.3888888888888877</v>
      </c>
      <c r="BO197" s="71">
        <f t="shared" si="227"/>
        <v>1.3888888888888877</v>
      </c>
      <c r="BP197" s="71">
        <f t="shared" si="228"/>
        <v>0.80187537387448027</v>
      </c>
      <c r="BQ197" s="91">
        <f t="shared" si="229"/>
        <v>0.80187537387448027</v>
      </c>
      <c r="BR197" s="75">
        <f t="shared" si="217"/>
        <v>100</v>
      </c>
      <c r="BS197" s="73">
        <f t="shared" si="218"/>
        <v>77.777777777777786</v>
      </c>
      <c r="BT197" s="73">
        <f t="shared" si="219"/>
        <v>50</v>
      </c>
      <c r="BU197" s="73">
        <f t="shared" si="220"/>
        <v>47.222222222222229</v>
      </c>
      <c r="BV197" s="73">
        <f t="shared" si="180"/>
        <v>16.666666666666668</v>
      </c>
      <c r="BW197" s="73">
        <f t="shared" si="182"/>
        <v>16.666666666666668</v>
      </c>
      <c r="BX197" s="73">
        <f t="shared" si="183"/>
        <v>13.888888888888891</v>
      </c>
      <c r="BY197" s="73">
        <f t="shared" si="184"/>
        <v>13.888888888888891</v>
      </c>
      <c r="BZ197" s="75">
        <f t="shared" si="181"/>
        <v>0</v>
      </c>
      <c r="CA197" s="73">
        <f t="shared" si="181"/>
        <v>22.222222222222214</v>
      </c>
      <c r="CB197" s="73">
        <f t="shared" si="181"/>
        <v>50</v>
      </c>
      <c r="CC197" s="73">
        <f t="shared" si="181"/>
        <v>52.777777777777771</v>
      </c>
      <c r="CD197" s="73">
        <f t="shared" si="181"/>
        <v>83.333333333333329</v>
      </c>
      <c r="CE197" s="73">
        <f t="shared" si="181"/>
        <v>83.333333333333329</v>
      </c>
      <c r="CF197" s="73">
        <f t="shared" si="181"/>
        <v>86.111111111111114</v>
      </c>
      <c r="CG197" s="265">
        <f t="shared" si="181"/>
        <v>86.111111111111114</v>
      </c>
    </row>
    <row r="198" spans="2:85" ht="15" customHeight="1" x14ac:dyDescent="0.3">
      <c r="B198" s="408">
        <v>49</v>
      </c>
      <c r="C198" s="411" t="s">
        <v>629</v>
      </c>
      <c r="D198" s="76" t="s">
        <v>802</v>
      </c>
      <c r="E198" s="77">
        <v>12</v>
      </c>
      <c r="F198" s="77">
        <v>9</v>
      </c>
      <c r="G198" s="78">
        <v>11</v>
      </c>
      <c r="H198" s="77">
        <f t="shared" si="221"/>
        <v>32</v>
      </c>
      <c r="I198" s="79">
        <v>12</v>
      </c>
      <c r="J198" s="79">
        <v>6</v>
      </c>
      <c r="K198" s="78">
        <v>10</v>
      </c>
      <c r="L198" s="79">
        <v>11</v>
      </c>
      <c r="M198" s="79">
        <v>6</v>
      </c>
      <c r="N198" s="78">
        <v>9</v>
      </c>
      <c r="O198" s="79">
        <v>9</v>
      </c>
      <c r="P198" s="79">
        <v>5</v>
      </c>
      <c r="Q198" s="78">
        <v>5</v>
      </c>
      <c r="R198" s="79">
        <v>2</v>
      </c>
      <c r="S198" s="79">
        <v>3</v>
      </c>
      <c r="T198" s="78">
        <v>1</v>
      </c>
      <c r="U198" s="79">
        <v>0</v>
      </c>
      <c r="V198" s="79">
        <v>3</v>
      </c>
      <c r="W198" s="78">
        <v>0</v>
      </c>
      <c r="X198" s="79">
        <v>0</v>
      </c>
      <c r="Y198" s="79">
        <v>2</v>
      </c>
      <c r="Z198" s="78">
        <v>0</v>
      </c>
      <c r="AA198" s="79">
        <v>0</v>
      </c>
      <c r="AB198" s="79">
        <v>2</v>
      </c>
      <c r="AC198" s="78">
        <v>0</v>
      </c>
      <c r="AD198" s="77">
        <f t="shared" si="185"/>
        <v>100</v>
      </c>
      <c r="AE198" s="77">
        <f t="shared" si="186"/>
        <v>100</v>
      </c>
      <c r="AF198" s="78">
        <f t="shared" si="187"/>
        <v>100.00000000000001</v>
      </c>
      <c r="AG198" s="77">
        <f t="shared" si="188"/>
        <v>100</v>
      </c>
      <c r="AH198" s="77">
        <f t="shared" si="189"/>
        <v>66.666666666666657</v>
      </c>
      <c r="AI198" s="78">
        <f t="shared" si="190"/>
        <v>90.909090909090921</v>
      </c>
      <c r="AJ198" s="77">
        <f t="shared" si="191"/>
        <v>91.666666666666671</v>
      </c>
      <c r="AK198" s="77">
        <f t="shared" si="192"/>
        <v>66.666666666666657</v>
      </c>
      <c r="AL198" s="78">
        <f t="shared" si="193"/>
        <v>81.818181818181827</v>
      </c>
      <c r="AM198" s="77">
        <f t="shared" si="194"/>
        <v>75</v>
      </c>
      <c r="AN198" s="77">
        <f t="shared" si="195"/>
        <v>55.555555555555557</v>
      </c>
      <c r="AO198" s="78">
        <f t="shared" si="196"/>
        <v>45.45454545454546</v>
      </c>
      <c r="AP198" s="77">
        <f t="shared" si="197"/>
        <v>16.666666666666668</v>
      </c>
      <c r="AQ198" s="77">
        <f t="shared" si="198"/>
        <v>33.333333333333329</v>
      </c>
      <c r="AR198" s="78">
        <f t="shared" si="199"/>
        <v>9.0909090909090917</v>
      </c>
      <c r="AS198" s="77">
        <f t="shared" si="200"/>
        <v>0</v>
      </c>
      <c r="AT198" s="77">
        <f t="shared" si="201"/>
        <v>33.333333333333329</v>
      </c>
      <c r="AU198" s="78">
        <f t="shared" si="202"/>
        <v>0</v>
      </c>
      <c r="AV198" s="77">
        <f t="shared" si="203"/>
        <v>0</v>
      </c>
      <c r="AW198" s="77">
        <f t="shared" si="204"/>
        <v>22.222222222222221</v>
      </c>
      <c r="AX198" s="78">
        <f t="shared" si="205"/>
        <v>0</v>
      </c>
      <c r="AY198" s="77">
        <f t="shared" si="206"/>
        <v>0</v>
      </c>
      <c r="AZ198" s="77">
        <f t="shared" si="207"/>
        <v>22.222222222222221</v>
      </c>
      <c r="BA198" s="78">
        <f t="shared" si="208"/>
        <v>0</v>
      </c>
      <c r="BB198" s="80">
        <f t="shared" si="209"/>
        <v>1.0048591735576161E-14</v>
      </c>
      <c r="BC198" s="77">
        <f t="shared" si="210"/>
        <v>17.231032433567751</v>
      </c>
      <c r="BD198" s="77">
        <f t="shared" si="211"/>
        <v>12.593391555345271</v>
      </c>
      <c r="BE198" s="77">
        <f t="shared" si="212"/>
        <v>15.016938819831209</v>
      </c>
      <c r="BF198" s="77">
        <f t="shared" si="213"/>
        <v>12.402049654352192</v>
      </c>
      <c r="BG198" s="77">
        <f t="shared" si="214"/>
        <v>19.245008972987524</v>
      </c>
      <c r="BH198" s="77">
        <f t="shared" si="215"/>
        <v>12.830005981991684</v>
      </c>
      <c r="BI198" s="77">
        <f t="shared" si="216"/>
        <v>12.830005981991684</v>
      </c>
      <c r="BJ198" s="80">
        <f t="shared" si="222"/>
        <v>1.7763568394002505E-15</v>
      </c>
      <c r="BK198" s="77">
        <f t="shared" si="223"/>
        <v>3.0460449701552736</v>
      </c>
      <c r="BL198" s="77">
        <f t="shared" si="224"/>
        <v>2.2262181417305107</v>
      </c>
      <c r="BM198" s="77">
        <f t="shared" si="225"/>
        <v>2.6546448180415392</v>
      </c>
      <c r="BN198" s="77">
        <f t="shared" si="226"/>
        <v>2.1923933528011781</v>
      </c>
      <c r="BO198" s="77">
        <f t="shared" si="227"/>
        <v>3.4020690871988579</v>
      </c>
      <c r="BP198" s="77">
        <f t="shared" si="228"/>
        <v>2.2680460581325721</v>
      </c>
      <c r="BQ198" s="92">
        <f t="shared" si="229"/>
        <v>2.2680460581325721</v>
      </c>
      <c r="BR198" s="81">
        <f t="shared" si="217"/>
        <v>100</v>
      </c>
      <c r="BS198" s="79">
        <f t="shared" si="218"/>
        <v>85.858585858585855</v>
      </c>
      <c r="BT198" s="79">
        <f t="shared" si="219"/>
        <v>80.050505050505038</v>
      </c>
      <c r="BU198" s="79">
        <f t="shared" si="220"/>
        <v>58.670033670033668</v>
      </c>
      <c r="BV198" s="79">
        <f t="shared" si="180"/>
        <v>19.696969696969699</v>
      </c>
      <c r="BW198" s="79">
        <f t="shared" si="182"/>
        <v>11.111111111111109</v>
      </c>
      <c r="BX198" s="79">
        <f t="shared" si="183"/>
        <v>11.111111111111109</v>
      </c>
      <c r="BY198" s="79">
        <f t="shared" si="184"/>
        <v>7.4074074074074074</v>
      </c>
      <c r="BZ198" s="81">
        <f t="shared" si="181"/>
        <v>0</v>
      </c>
      <c r="CA198" s="79">
        <f t="shared" si="181"/>
        <v>14.141414141414145</v>
      </c>
      <c r="CB198" s="79">
        <f t="shared" si="181"/>
        <v>19.949494949494962</v>
      </c>
      <c r="CC198" s="79">
        <f t="shared" si="181"/>
        <v>41.329966329966332</v>
      </c>
      <c r="CD198" s="79">
        <f t="shared" si="181"/>
        <v>80.303030303030297</v>
      </c>
      <c r="CE198" s="79">
        <f t="shared" si="181"/>
        <v>88.888888888888886</v>
      </c>
      <c r="CF198" s="79">
        <f t="shared" si="181"/>
        <v>88.888888888888886</v>
      </c>
      <c r="CG198" s="264">
        <f t="shared" si="181"/>
        <v>92.592592592592595</v>
      </c>
    </row>
    <row r="199" spans="2:85" x14ac:dyDescent="0.3">
      <c r="B199" s="409"/>
      <c r="C199" s="412"/>
      <c r="D199" s="70" t="s">
        <v>803</v>
      </c>
      <c r="E199" s="65">
        <v>14</v>
      </c>
      <c r="F199" s="65">
        <v>15</v>
      </c>
      <c r="G199" s="66">
        <v>14</v>
      </c>
      <c r="H199" s="65">
        <f t="shared" si="221"/>
        <v>43</v>
      </c>
      <c r="I199" s="67">
        <v>4</v>
      </c>
      <c r="J199" s="67">
        <v>7</v>
      </c>
      <c r="K199" s="66">
        <v>12</v>
      </c>
      <c r="L199" s="67">
        <v>4</v>
      </c>
      <c r="M199" s="67">
        <v>7</v>
      </c>
      <c r="N199" s="66">
        <v>9</v>
      </c>
      <c r="O199" s="67">
        <v>4</v>
      </c>
      <c r="P199" s="67">
        <v>7</v>
      </c>
      <c r="Q199" s="66">
        <v>9</v>
      </c>
      <c r="R199" s="67">
        <v>3</v>
      </c>
      <c r="S199" s="67">
        <v>7</v>
      </c>
      <c r="T199" s="66">
        <v>7</v>
      </c>
      <c r="U199" s="67">
        <v>2</v>
      </c>
      <c r="V199" s="67">
        <v>6</v>
      </c>
      <c r="W199" s="66">
        <v>6</v>
      </c>
      <c r="X199" s="67">
        <v>2</v>
      </c>
      <c r="Y199" s="67">
        <v>4</v>
      </c>
      <c r="Z199" s="66">
        <v>6</v>
      </c>
      <c r="AA199" s="67">
        <v>2</v>
      </c>
      <c r="AB199" s="67">
        <v>4</v>
      </c>
      <c r="AC199" s="66">
        <v>6</v>
      </c>
      <c r="AD199" s="65">
        <f t="shared" si="185"/>
        <v>100</v>
      </c>
      <c r="AE199" s="65">
        <f t="shared" si="186"/>
        <v>100</v>
      </c>
      <c r="AF199" s="66">
        <f t="shared" si="187"/>
        <v>100</v>
      </c>
      <c r="AG199" s="65">
        <f t="shared" si="188"/>
        <v>28.571428571428573</v>
      </c>
      <c r="AH199" s="65">
        <f t="shared" si="189"/>
        <v>46.666666666666671</v>
      </c>
      <c r="AI199" s="66">
        <f t="shared" si="190"/>
        <v>85.714285714285722</v>
      </c>
      <c r="AJ199" s="65">
        <f t="shared" si="191"/>
        <v>28.571428571428573</v>
      </c>
      <c r="AK199" s="65">
        <f t="shared" si="192"/>
        <v>46.666666666666671</v>
      </c>
      <c r="AL199" s="66">
        <f t="shared" si="193"/>
        <v>64.285714285714292</v>
      </c>
      <c r="AM199" s="65">
        <f t="shared" si="194"/>
        <v>28.571428571428573</v>
      </c>
      <c r="AN199" s="65">
        <f t="shared" si="195"/>
        <v>46.666666666666671</v>
      </c>
      <c r="AO199" s="66">
        <f t="shared" si="196"/>
        <v>64.285714285714292</v>
      </c>
      <c r="AP199" s="65">
        <f t="shared" si="197"/>
        <v>21.428571428571431</v>
      </c>
      <c r="AQ199" s="65">
        <f t="shared" si="198"/>
        <v>46.666666666666671</v>
      </c>
      <c r="AR199" s="66">
        <f t="shared" si="199"/>
        <v>50</v>
      </c>
      <c r="AS199" s="65">
        <f t="shared" si="200"/>
        <v>14.285714285714286</v>
      </c>
      <c r="AT199" s="65">
        <f t="shared" si="201"/>
        <v>40</v>
      </c>
      <c r="AU199" s="66">
        <f t="shared" si="202"/>
        <v>42.857142857142861</v>
      </c>
      <c r="AV199" s="65">
        <f t="shared" si="203"/>
        <v>14.285714285714286</v>
      </c>
      <c r="AW199" s="65">
        <f t="shared" si="204"/>
        <v>26.666666666666668</v>
      </c>
      <c r="AX199" s="66">
        <f t="shared" si="205"/>
        <v>42.857142857142861</v>
      </c>
      <c r="AY199" s="65">
        <f t="shared" si="206"/>
        <v>14.285714285714286</v>
      </c>
      <c r="AZ199" s="65">
        <f t="shared" si="207"/>
        <v>26.666666666666668</v>
      </c>
      <c r="BA199" s="66">
        <f t="shared" si="208"/>
        <v>42.857142857142861</v>
      </c>
      <c r="BB199" s="68">
        <f t="shared" si="209"/>
        <v>0</v>
      </c>
      <c r="BC199" s="65">
        <f t="shared" si="210"/>
        <v>29.204623827573148</v>
      </c>
      <c r="BD199" s="65">
        <f t="shared" si="211"/>
        <v>17.857671949833687</v>
      </c>
      <c r="BE199" s="65">
        <f t="shared" si="212"/>
        <v>17.857671949833687</v>
      </c>
      <c r="BF199" s="65">
        <f t="shared" si="213"/>
        <v>15.622628315846443</v>
      </c>
      <c r="BG199" s="65">
        <f t="shared" si="214"/>
        <v>15.735915849388872</v>
      </c>
      <c r="BH199" s="65">
        <f t="shared" si="215"/>
        <v>14.327979804948258</v>
      </c>
      <c r="BI199" s="65">
        <f t="shared" si="216"/>
        <v>14.327979804948258</v>
      </c>
      <c r="BJ199" s="68">
        <f t="shared" si="222"/>
        <v>0</v>
      </c>
      <c r="BK199" s="65">
        <f t="shared" si="223"/>
        <v>4.4536633808064261</v>
      </c>
      <c r="BL199" s="65">
        <f t="shared" si="224"/>
        <v>2.7232694418182941</v>
      </c>
      <c r="BM199" s="65">
        <f t="shared" si="225"/>
        <v>2.7232694418182941</v>
      </c>
      <c r="BN199" s="65">
        <f t="shared" si="226"/>
        <v>2.3824284830042499</v>
      </c>
      <c r="BO199" s="65">
        <f t="shared" si="227"/>
        <v>2.3997046699059776</v>
      </c>
      <c r="BP199" s="65">
        <f t="shared" si="228"/>
        <v>2.1849964360090413</v>
      </c>
      <c r="BQ199" s="90">
        <f t="shared" si="229"/>
        <v>2.1849964360090413</v>
      </c>
      <c r="BR199" s="69">
        <f t="shared" si="217"/>
        <v>100</v>
      </c>
      <c r="BS199" s="67">
        <f t="shared" si="218"/>
        <v>53.650793650793652</v>
      </c>
      <c r="BT199" s="67">
        <f t="shared" si="219"/>
        <v>46.507936507936506</v>
      </c>
      <c r="BU199" s="67">
        <f t="shared" si="220"/>
        <v>46.507936507936506</v>
      </c>
      <c r="BV199" s="67">
        <f t="shared" si="180"/>
        <v>39.365079365079367</v>
      </c>
      <c r="BW199" s="67">
        <f t="shared" si="182"/>
        <v>32.38095238095238</v>
      </c>
      <c r="BX199" s="67">
        <f t="shared" si="183"/>
        <v>32.380952380952387</v>
      </c>
      <c r="BY199" s="67">
        <f t="shared" si="184"/>
        <v>27.936507936507937</v>
      </c>
      <c r="BZ199" s="69">
        <f t="shared" si="181"/>
        <v>0</v>
      </c>
      <c r="CA199" s="67">
        <f t="shared" si="181"/>
        <v>46.349206349206348</v>
      </c>
      <c r="CB199" s="67">
        <f t="shared" si="181"/>
        <v>53.492063492063494</v>
      </c>
      <c r="CC199" s="67">
        <f t="shared" si="181"/>
        <v>53.492063492063494</v>
      </c>
      <c r="CD199" s="67">
        <f t="shared" si="181"/>
        <v>60.634920634920633</v>
      </c>
      <c r="CE199" s="67">
        <f t="shared" si="181"/>
        <v>67.61904761904762</v>
      </c>
      <c r="CF199" s="67">
        <f t="shared" si="181"/>
        <v>67.61904761904762</v>
      </c>
      <c r="CG199" s="116">
        <f t="shared" si="181"/>
        <v>72.063492063492063</v>
      </c>
    </row>
    <row r="200" spans="2:85" x14ac:dyDescent="0.3">
      <c r="B200" s="409"/>
      <c r="C200" s="412"/>
      <c r="D200" s="70" t="s">
        <v>804</v>
      </c>
      <c r="E200" s="65">
        <v>15</v>
      </c>
      <c r="F200" s="65">
        <v>14</v>
      </c>
      <c r="G200" s="66">
        <v>13</v>
      </c>
      <c r="H200" s="65">
        <f t="shared" si="221"/>
        <v>42</v>
      </c>
      <c r="I200" s="67">
        <v>10</v>
      </c>
      <c r="J200" s="67">
        <v>9</v>
      </c>
      <c r="K200" s="66">
        <v>7</v>
      </c>
      <c r="L200" s="67">
        <v>10</v>
      </c>
      <c r="M200" s="67">
        <v>9</v>
      </c>
      <c r="N200" s="66">
        <v>6</v>
      </c>
      <c r="O200" s="67">
        <v>10</v>
      </c>
      <c r="P200" s="67">
        <v>9</v>
      </c>
      <c r="Q200" s="66">
        <v>6</v>
      </c>
      <c r="R200" s="67">
        <v>10</v>
      </c>
      <c r="S200" s="67">
        <v>6</v>
      </c>
      <c r="T200" s="66">
        <v>6</v>
      </c>
      <c r="U200" s="67">
        <v>10</v>
      </c>
      <c r="V200" s="67">
        <v>5</v>
      </c>
      <c r="W200" s="66">
        <v>6</v>
      </c>
      <c r="X200" s="67">
        <v>10</v>
      </c>
      <c r="Y200" s="67">
        <v>5</v>
      </c>
      <c r="Z200" s="66">
        <v>6</v>
      </c>
      <c r="AA200" s="67">
        <v>10</v>
      </c>
      <c r="AB200" s="67">
        <v>5</v>
      </c>
      <c r="AC200" s="66">
        <v>6</v>
      </c>
      <c r="AD200" s="65">
        <f t="shared" si="185"/>
        <v>100</v>
      </c>
      <c r="AE200" s="65">
        <f t="shared" si="186"/>
        <v>100</v>
      </c>
      <c r="AF200" s="66">
        <f t="shared" si="187"/>
        <v>100</v>
      </c>
      <c r="AG200" s="65">
        <f t="shared" si="188"/>
        <v>66.666666666666671</v>
      </c>
      <c r="AH200" s="65">
        <f t="shared" si="189"/>
        <v>64.285714285714292</v>
      </c>
      <c r="AI200" s="66">
        <f t="shared" si="190"/>
        <v>53.846153846153847</v>
      </c>
      <c r="AJ200" s="65">
        <f t="shared" si="191"/>
        <v>66.666666666666671</v>
      </c>
      <c r="AK200" s="65">
        <f t="shared" si="192"/>
        <v>64.285714285714292</v>
      </c>
      <c r="AL200" s="66">
        <f t="shared" si="193"/>
        <v>46.153846153846153</v>
      </c>
      <c r="AM200" s="65">
        <f t="shared" si="194"/>
        <v>66.666666666666671</v>
      </c>
      <c r="AN200" s="65">
        <f t="shared" si="195"/>
        <v>64.285714285714292</v>
      </c>
      <c r="AO200" s="66">
        <f t="shared" si="196"/>
        <v>46.153846153846153</v>
      </c>
      <c r="AP200" s="65">
        <f t="shared" si="197"/>
        <v>66.666666666666671</v>
      </c>
      <c r="AQ200" s="65">
        <f t="shared" si="198"/>
        <v>42.857142857142861</v>
      </c>
      <c r="AR200" s="66">
        <f t="shared" si="199"/>
        <v>46.153846153846153</v>
      </c>
      <c r="AS200" s="65">
        <f t="shared" si="200"/>
        <v>66.666666666666671</v>
      </c>
      <c r="AT200" s="65">
        <f t="shared" si="201"/>
        <v>35.714285714285715</v>
      </c>
      <c r="AU200" s="66">
        <f t="shared" si="202"/>
        <v>46.153846153846153</v>
      </c>
      <c r="AV200" s="65">
        <f t="shared" si="203"/>
        <v>66.666666666666671</v>
      </c>
      <c r="AW200" s="65">
        <f t="shared" si="204"/>
        <v>35.714285714285715</v>
      </c>
      <c r="AX200" s="66">
        <f t="shared" si="205"/>
        <v>46.153846153846153</v>
      </c>
      <c r="AY200" s="65">
        <f t="shared" si="206"/>
        <v>66.666666666666671</v>
      </c>
      <c r="AZ200" s="65">
        <f t="shared" si="207"/>
        <v>35.714285714285715</v>
      </c>
      <c r="BA200" s="66">
        <f t="shared" si="208"/>
        <v>46.153846153846153</v>
      </c>
      <c r="BB200" s="68">
        <f t="shared" si="209"/>
        <v>0</v>
      </c>
      <c r="BC200" s="65">
        <f t="shared" si="210"/>
        <v>6.8193218796853499</v>
      </c>
      <c r="BD200" s="65">
        <f t="shared" si="211"/>
        <v>11.219101134397285</v>
      </c>
      <c r="BE200" s="65">
        <f t="shared" si="212"/>
        <v>11.219101134397285</v>
      </c>
      <c r="BF200" s="65">
        <f t="shared" si="213"/>
        <v>12.900500520354322</v>
      </c>
      <c r="BG200" s="65">
        <f t="shared" si="214"/>
        <v>15.747010902515973</v>
      </c>
      <c r="BH200" s="65">
        <f t="shared" si="215"/>
        <v>15.747010902515973</v>
      </c>
      <c r="BI200" s="65">
        <f t="shared" si="216"/>
        <v>15.747010902515973</v>
      </c>
      <c r="BJ200" s="68">
        <f t="shared" si="222"/>
        <v>0</v>
      </c>
      <c r="BK200" s="65">
        <f t="shared" si="223"/>
        <v>1.052244210505239</v>
      </c>
      <c r="BL200" s="65">
        <f t="shared" si="224"/>
        <v>1.7311448886010066</v>
      </c>
      <c r="BM200" s="65">
        <f t="shared" si="225"/>
        <v>1.7311448886010066</v>
      </c>
      <c r="BN200" s="65">
        <f t="shared" si="226"/>
        <v>1.9905904464783817</v>
      </c>
      <c r="BO200" s="65">
        <f t="shared" si="227"/>
        <v>2.4298165341477986</v>
      </c>
      <c r="BP200" s="65">
        <f t="shared" si="228"/>
        <v>2.4298165341477986</v>
      </c>
      <c r="BQ200" s="90">
        <f t="shared" si="229"/>
        <v>2.4298165341477986</v>
      </c>
      <c r="BR200" s="69">
        <f t="shared" si="217"/>
        <v>100</v>
      </c>
      <c r="BS200" s="67">
        <f t="shared" si="218"/>
        <v>61.599511599511601</v>
      </c>
      <c r="BT200" s="67">
        <f t="shared" si="219"/>
        <v>59.035409035409039</v>
      </c>
      <c r="BU200" s="67">
        <f t="shared" si="220"/>
        <v>59.035409035409039</v>
      </c>
      <c r="BV200" s="67">
        <f t="shared" si="180"/>
        <v>51.892551892551893</v>
      </c>
      <c r="BW200" s="67">
        <f t="shared" si="182"/>
        <v>49.511599511599513</v>
      </c>
      <c r="BX200" s="67">
        <f t="shared" si="183"/>
        <v>49.511599511599513</v>
      </c>
      <c r="BY200" s="67">
        <f t="shared" si="184"/>
        <v>49.511599511599513</v>
      </c>
      <c r="BZ200" s="69">
        <f t="shared" si="181"/>
        <v>0</v>
      </c>
      <c r="CA200" s="67">
        <f t="shared" si="181"/>
        <v>38.400488400488399</v>
      </c>
      <c r="CB200" s="67">
        <f t="shared" si="181"/>
        <v>40.964590964590961</v>
      </c>
      <c r="CC200" s="67">
        <f t="shared" si="181"/>
        <v>40.964590964590961</v>
      </c>
      <c r="CD200" s="67">
        <f t="shared" si="181"/>
        <v>48.107448107448107</v>
      </c>
      <c r="CE200" s="67">
        <f t="shared" si="181"/>
        <v>50.488400488400487</v>
      </c>
      <c r="CF200" s="67">
        <f t="shared" si="181"/>
        <v>50.488400488400487</v>
      </c>
      <c r="CG200" s="116">
        <f t="shared" si="181"/>
        <v>50.488400488400487</v>
      </c>
    </row>
    <row r="201" spans="2:85" x14ac:dyDescent="0.3">
      <c r="B201" s="410"/>
      <c r="C201" s="413"/>
      <c r="D201" s="70" t="s">
        <v>805</v>
      </c>
      <c r="E201" s="71">
        <v>14</v>
      </c>
      <c r="F201" s="71">
        <v>15</v>
      </c>
      <c r="G201" s="72">
        <v>14</v>
      </c>
      <c r="H201" s="71">
        <f t="shared" si="221"/>
        <v>43</v>
      </c>
      <c r="I201" s="73">
        <v>14</v>
      </c>
      <c r="J201" s="73">
        <v>14</v>
      </c>
      <c r="K201" s="72">
        <v>12</v>
      </c>
      <c r="L201" s="73">
        <v>12</v>
      </c>
      <c r="M201" s="73">
        <v>14</v>
      </c>
      <c r="N201" s="72">
        <v>10</v>
      </c>
      <c r="O201" s="73">
        <v>9</v>
      </c>
      <c r="P201" s="73">
        <v>12</v>
      </c>
      <c r="Q201" s="72">
        <v>9</v>
      </c>
      <c r="R201" s="73">
        <v>9</v>
      </c>
      <c r="S201" s="73">
        <v>12</v>
      </c>
      <c r="T201" s="72">
        <v>9</v>
      </c>
      <c r="U201" s="73">
        <v>9</v>
      </c>
      <c r="V201" s="73">
        <v>12</v>
      </c>
      <c r="W201" s="72">
        <v>9</v>
      </c>
      <c r="X201" s="73">
        <v>9</v>
      </c>
      <c r="Y201" s="73">
        <v>12</v>
      </c>
      <c r="Z201" s="72">
        <v>9</v>
      </c>
      <c r="AA201" s="73">
        <v>9</v>
      </c>
      <c r="AB201" s="73">
        <v>12</v>
      </c>
      <c r="AC201" s="72">
        <v>9</v>
      </c>
      <c r="AD201" s="71">
        <f t="shared" si="185"/>
        <v>100</v>
      </c>
      <c r="AE201" s="71">
        <f t="shared" si="186"/>
        <v>100</v>
      </c>
      <c r="AF201" s="72">
        <f t="shared" si="187"/>
        <v>100</v>
      </c>
      <c r="AG201" s="71">
        <f t="shared" si="188"/>
        <v>100</v>
      </c>
      <c r="AH201" s="71">
        <f t="shared" si="189"/>
        <v>93.333333333333343</v>
      </c>
      <c r="AI201" s="72">
        <f t="shared" si="190"/>
        <v>85.714285714285722</v>
      </c>
      <c r="AJ201" s="71">
        <f t="shared" si="191"/>
        <v>85.714285714285722</v>
      </c>
      <c r="AK201" s="71">
        <f t="shared" si="192"/>
        <v>93.333333333333343</v>
      </c>
      <c r="AL201" s="72">
        <f t="shared" si="193"/>
        <v>71.428571428571431</v>
      </c>
      <c r="AM201" s="71">
        <f t="shared" si="194"/>
        <v>64.285714285714292</v>
      </c>
      <c r="AN201" s="71">
        <f t="shared" si="195"/>
        <v>80</v>
      </c>
      <c r="AO201" s="72">
        <f t="shared" si="196"/>
        <v>64.285714285714292</v>
      </c>
      <c r="AP201" s="71">
        <f t="shared" si="197"/>
        <v>64.285714285714292</v>
      </c>
      <c r="AQ201" s="71">
        <f t="shared" si="198"/>
        <v>80</v>
      </c>
      <c r="AR201" s="72">
        <f t="shared" si="199"/>
        <v>64.285714285714292</v>
      </c>
      <c r="AS201" s="71">
        <f t="shared" si="200"/>
        <v>64.285714285714292</v>
      </c>
      <c r="AT201" s="71">
        <f t="shared" si="201"/>
        <v>80</v>
      </c>
      <c r="AU201" s="72">
        <f t="shared" si="202"/>
        <v>64.285714285714292</v>
      </c>
      <c r="AV201" s="71">
        <f t="shared" si="203"/>
        <v>64.285714285714292</v>
      </c>
      <c r="AW201" s="71">
        <f t="shared" si="204"/>
        <v>80</v>
      </c>
      <c r="AX201" s="72">
        <f t="shared" si="205"/>
        <v>64.285714285714292</v>
      </c>
      <c r="AY201" s="71">
        <f t="shared" si="206"/>
        <v>64.285714285714292</v>
      </c>
      <c r="AZ201" s="71">
        <f t="shared" si="207"/>
        <v>80</v>
      </c>
      <c r="BA201" s="72">
        <f t="shared" si="208"/>
        <v>64.285714285714292</v>
      </c>
      <c r="BB201" s="74">
        <f t="shared" si="209"/>
        <v>0</v>
      </c>
      <c r="BC201" s="71">
        <f t="shared" si="210"/>
        <v>7.1481461899667913</v>
      </c>
      <c r="BD201" s="71">
        <f t="shared" si="211"/>
        <v>11.120177706753719</v>
      </c>
      <c r="BE201" s="71">
        <f t="shared" si="212"/>
        <v>9.0726470872656186</v>
      </c>
      <c r="BF201" s="71">
        <f t="shared" si="213"/>
        <v>9.0726470872656186</v>
      </c>
      <c r="BG201" s="71">
        <f t="shared" si="214"/>
        <v>9.0726470872656186</v>
      </c>
      <c r="BH201" s="71">
        <f t="shared" si="215"/>
        <v>9.0726470872656186</v>
      </c>
      <c r="BI201" s="71">
        <f t="shared" si="216"/>
        <v>9.0726470872656186</v>
      </c>
      <c r="BJ201" s="74">
        <f t="shared" si="222"/>
        <v>0</v>
      </c>
      <c r="BK201" s="71">
        <f t="shared" si="223"/>
        <v>1.0900820744983908</v>
      </c>
      <c r="BL201" s="71">
        <f t="shared" si="224"/>
        <v>1.6958112021244445</v>
      </c>
      <c r="BM201" s="71">
        <f t="shared" si="225"/>
        <v>1.3835657099402769</v>
      </c>
      <c r="BN201" s="71">
        <f t="shared" si="226"/>
        <v>1.3835657099402769</v>
      </c>
      <c r="BO201" s="71">
        <f t="shared" si="227"/>
        <v>1.3835657099402769</v>
      </c>
      <c r="BP201" s="71">
        <f t="shared" si="228"/>
        <v>1.3835657099402769</v>
      </c>
      <c r="BQ201" s="91">
        <f t="shared" si="229"/>
        <v>1.3835657099402769</v>
      </c>
      <c r="BR201" s="75">
        <f t="shared" si="217"/>
        <v>100</v>
      </c>
      <c r="BS201" s="73">
        <f t="shared" si="218"/>
        <v>93.015873015873012</v>
      </c>
      <c r="BT201" s="73">
        <f t="shared" si="219"/>
        <v>83.492063492063494</v>
      </c>
      <c r="BU201" s="73">
        <f t="shared" si="220"/>
        <v>69.523809523809518</v>
      </c>
      <c r="BV201" s="73">
        <f t="shared" si="180"/>
        <v>69.523809523809518</v>
      </c>
      <c r="BW201" s="73">
        <f t="shared" si="182"/>
        <v>69.523809523809518</v>
      </c>
      <c r="BX201" s="73">
        <f t="shared" si="183"/>
        <v>69.523809523809518</v>
      </c>
      <c r="BY201" s="73">
        <f t="shared" si="184"/>
        <v>69.523809523809533</v>
      </c>
      <c r="BZ201" s="75">
        <f t="shared" si="181"/>
        <v>0</v>
      </c>
      <c r="CA201" s="73">
        <f t="shared" si="181"/>
        <v>6.9841269841269877</v>
      </c>
      <c r="CB201" s="73">
        <f t="shared" si="181"/>
        <v>16.507936507936506</v>
      </c>
      <c r="CC201" s="73">
        <f t="shared" si="181"/>
        <v>30.476190476190482</v>
      </c>
      <c r="CD201" s="73">
        <f t="shared" si="181"/>
        <v>30.476190476190482</v>
      </c>
      <c r="CE201" s="73">
        <f t="shared" si="181"/>
        <v>30.476190476190482</v>
      </c>
      <c r="CF201" s="73">
        <f t="shared" si="181"/>
        <v>30.476190476190482</v>
      </c>
      <c r="CG201" s="265">
        <f t="shared" si="181"/>
        <v>30.476190476190467</v>
      </c>
    </row>
    <row r="202" spans="2:85" ht="15" customHeight="1" x14ac:dyDescent="0.3">
      <c r="B202" s="408">
        <v>50</v>
      </c>
      <c r="C202" s="411" t="s">
        <v>640</v>
      </c>
      <c r="D202" s="76" t="s">
        <v>802</v>
      </c>
      <c r="E202" s="77">
        <v>12</v>
      </c>
      <c r="F202" s="77">
        <v>12</v>
      </c>
      <c r="G202" s="78">
        <v>12</v>
      </c>
      <c r="H202" s="77">
        <f t="shared" si="221"/>
        <v>36</v>
      </c>
      <c r="I202" s="79">
        <v>7</v>
      </c>
      <c r="J202" s="79">
        <v>10</v>
      </c>
      <c r="K202" s="78">
        <v>10</v>
      </c>
      <c r="L202" s="79">
        <v>3</v>
      </c>
      <c r="M202" s="79">
        <v>5</v>
      </c>
      <c r="N202" s="78">
        <v>6</v>
      </c>
      <c r="O202" s="79">
        <v>0</v>
      </c>
      <c r="P202" s="79">
        <v>3</v>
      </c>
      <c r="Q202" s="78">
        <v>4</v>
      </c>
      <c r="R202" s="79">
        <v>0</v>
      </c>
      <c r="S202" s="79">
        <v>2</v>
      </c>
      <c r="T202" s="78">
        <v>3</v>
      </c>
      <c r="U202" s="79">
        <v>0</v>
      </c>
      <c r="V202" s="79">
        <v>1</v>
      </c>
      <c r="W202" s="78">
        <v>3</v>
      </c>
      <c r="X202" s="79">
        <v>0</v>
      </c>
      <c r="Y202" s="79">
        <v>1</v>
      </c>
      <c r="Z202" s="78">
        <v>3</v>
      </c>
      <c r="AA202" s="79">
        <v>0</v>
      </c>
      <c r="AB202" s="79">
        <v>0</v>
      </c>
      <c r="AC202" s="78">
        <v>2</v>
      </c>
      <c r="AD202" s="77">
        <f t="shared" si="185"/>
        <v>100</v>
      </c>
      <c r="AE202" s="77">
        <f t="shared" si="186"/>
        <v>100</v>
      </c>
      <c r="AF202" s="78">
        <f t="shared" si="187"/>
        <v>100</v>
      </c>
      <c r="AG202" s="77">
        <f t="shared" si="188"/>
        <v>58.333333333333336</v>
      </c>
      <c r="AH202" s="77">
        <f t="shared" si="189"/>
        <v>83.333333333333343</v>
      </c>
      <c r="AI202" s="78">
        <f t="shared" si="190"/>
        <v>83.333333333333343</v>
      </c>
      <c r="AJ202" s="77">
        <f t="shared" si="191"/>
        <v>25</v>
      </c>
      <c r="AK202" s="77">
        <f t="shared" si="192"/>
        <v>41.666666666666671</v>
      </c>
      <c r="AL202" s="78">
        <f t="shared" si="193"/>
        <v>50</v>
      </c>
      <c r="AM202" s="77">
        <f t="shared" si="194"/>
        <v>0</v>
      </c>
      <c r="AN202" s="77">
        <f t="shared" si="195"/>
        <v>25</v>
      </c>
      <c r="AO202" s="78">
        <f t="shared" si="196"/>
        <v>33.333333333333336</v>
      </c>
      <c r="AP202" s="77">
        <f t="shared" si="197"/>
        <v>0</v>
      </c>
      <c r="AQ202" s="77">
        <f t="shared" si="198"/>
        <v>16.666666666666668</v>
      </c>
      <c r="AR202" s="78">
        <f t="shared" si="199"/>
        <v>25</v>
      </c>
      <c r="AS202" s="77">
        <f t="shared" si="200"/>
        <v>0</v>
      </c>
      <c r="AT202" s="77">
        <f t="shared" si="201"/>
        <v>8.3333333333333339</v>
      </c>
      <c r="AU202" s="78">
        <f t="shared" si="202"/>
        <v>25</v>
      </c>
      <c r="AV202" s="77">
        <f t="shared" si="203"/>
        <v>0</v>
      </c>
      <c r="AW202" s="77">
        <f t="shared" si="204"/>
        <v>8.3333333333333339</v>
      </c>
      <c r="AX202" s="78">
        <f t="shared" si="205"/>
        <v>25</v>
      </c>
      <c r="AY202" s="77">
        <f t="shared" si="206"/>
        <v>0</v>
      </c>
      <c r="AZ202" s="77">
        <f t="shared" si="207"/>
        <v>0</v>
      </c>
      <c r="BA202" s="78">
        <f t="shared" si="208"/>
        <v>16.666666666666668</v>
      </c>
      <c r="BB202" s="80">
        <f t="shared" si="209"/>
        <v>0</v>
      </c>
      <c r="BC202" s="77">
        <f t="shared" si="210"/>
        <v>14.433756729740665</v>
      </c>
      <c r="BD202" s="77">
        <f t="shared" si="211"/>
        <v>12.729376930432885</v>
      </c>
      <c r="BE202" s="77">
        <f t="shared" si="212"/>
        <v>17.347216662217775</v>
      </c>
      <c r="BF202" s="77">
        <f t="shared" si="213"/>
        <v>12.729376930432888</v>
      </c>
      <c r="BG202" s="77">
        <f t="shared" si="214"/>
        <v>12.729376930432888</v>
      </c>
      <c r="BH202" s="77">
        <f t="shared" si="215"/>
        <v>12.729376930432888</v>
      </c>
      <c r="BI202" s="77">
        <f t="shared" si="216"/>
        <v>9.6225044864937637</v>
      </c>
      <c r="BJ202" s="80">
        <f t="shared" si="222"/>
        <v>0</v>
      </c>
      <c r="BK202" s="77">
        <f t="shared" si="223"/>
        <v>2.405626121623444</v>
      </c>
      <c r="BL202" s="77">
        <f t="shared" si="224"/>
        <v>2.1215628217388143</v>
      </c>
      <c r="BM202" s="77">
        <f t="shared" si="225"/>
        <v>2.891202777036296</v>
      </c>
      <c r="BN202" s="77">
        <f t="shared" si="226"/>
        <v>2.1215628217388147</v>
      </c>
      <c r="BO202" s="77">
        <f t="shared" si="227"/>
        <v>2.1215628217388147</v>
      </c>
      <c r="BP202" s="77">
        <f t="shared" si="228"/>
        <v>2.1215628217388147</v>
      </c>
      <c r="BQ202" s="92">
        <f t="shared" si="229"/>
        <v>1.6037507477489605</v>
      </c>
      <c r="BR202" s="81">
        <f t="shared" si="217"/>
        <v>100</v>
      </c>
      <c r="BS202" s="79">
        <f t="shared" si="218"/>
        <v>75.000000000000014</v>
      </c>
      <c r="BT202" s="79">
        <f t="shared" si="219"/>
        <v>38.888888888888893</v>
      </c>
      <c r="BU202" s="79">
        <f t="shared" si="220"/>
        <v>19.444444444444446</v>
      </c>
      <c r="BV202" s="79">
        <f t="shared" si="180"/>
        <v>13.888888888888891</v>
      </c>
      <c r="BW202" s="79">
        <f t="shared" si="182"/>
        <v>11.111111111111112</v>
      </c>
      <c r="BX202" s="79">
        <f t="shared" si="183"/>
        <v>11.111111111111112</v>
      </c>
      <c r="BY202" s="79">
        <f t="shared" si="184"/>
        <v>11.111111111111112</v>
      </c>
      <c r="BZ202" s="81">
        <f t="shared" si="181"/>
        <v>0</v>
      </c>
      <c r="CA202" s="79">
        <f t="shared" si="181"/>
        <v>24.999999999999986</v>
      </c>
      <c r="CB202" s="79">
        <f t="shared" si="181"/>
        <v>61.111111111111107</v>
      </c>
      <c r="CC202" s="79">
        <f t="shared" si="181"/>
        <v>80.555555555555557</v>
      </c>
      <c r="CD202" s="79">
        <f t="shared" si="181"/>
        <v>86.111111111111114</v>
      </c>
      <c r="CE202" s="79">
        <f t="shared" si="181"/>
        <v>88.888888888888886</v>
      </c>
      <c r="CF202" s="79">
        <f t="shared" si="181"/>
        <v>88.888888888888886</v>
      </c>
      <c r="CG202" s="264">
        <f t="shared" si="181"/>
        <v>88.888888888888886</v>
      </c>
    </row>
    <row r="203" spans="2:85" x14ac:dyDescent="0.3">
      <c r="B203" s="409"/>
      <c r="C203" s="412"/>
      <c r="D203" s="70" t="s">
        <v>803</v>
      </c>
      <c r="E203" s="65">
        <v>12</v>
      </c>
      <c r="F203" s="65">
        <v>12</v>
      </c>
      <c r="G203" s="66">
        <v>12</v>
      </c>
      <c r="H203" s="65">
        <f t="shared" si="221"/>
        <v>36</v>
      </c>
      <c r="I203" s="67">
        <v>11</v>
      </c>
      <c r="J203" s="67">
        <v>12</v>
      </c>
      <c r="K203" s="66">
        <v>10</v>
      </c>
      <c r="L203" s="67">
        <v>8</v>
      </c>
      <c r="M203" s="67">
        <v>10</v>
      </c>
      <c r="N203" s="66">
        <v>6</v>
      </c>
      <c r="O203" s="67">
        <v>7</v>
      </c>
      <c r="P203" s="67">
        <v>10</v>
      </c>
      <c r="Q203" s="66">
        <v>6</v>
      </c>
      <c r="R203" s="67">
        <v>7</v>
      </c>
      <c r="S203" s="67">
        <v>10</v>
      </c>
      <c r="T203" s="66">
        <v>6</v>
      </c>
      <c r="U203" s="67">
        <v>7</v>
      </c>
      <c r="V203" s="67">
        <v>10</v>
      </c>
      <c r="W203" s="66">
        <v>6</v>
      </c>
      <c r="X203" s="67">
        <v>7</v>
      </c>
      <c r="Y203" s="67">
        <v>9</v>
      </c>
      <c r="Z203" s="66">
        <v>6</v>
      </c>
      <c r="AA203" s="67">
        <v>7</v>
      </c>
      <c r="AB203" s="67">
        <v>9</v>
      </c>
      <c r="AC203" s="66">
        <v>6</v>
      </c>
      <c r="AD203" s="65">
        <f t="shared" si="185"/>
        <v>100</v>
      </c>
      <c r="AE203" s="65">
        <f t="shared" si="186"/>
        <v>100</v>
      </c>
      <c r="AF203" s="66">
        <f t="shared" si="187"/>
        <v>100</v>
      </c>
      <c r="AG203" s="65">
        <f t="shared" si="188"/>
        <v>91.666666666666671</v>
      </c>
      <c r="AH203" s="65">
        <f t="shared" si="189"/>
        <v>100</v>
      </c>
      <c r="AI203" s="66">
        <f t="shared" si="190"/>
        <v>83.333333333333343</v>
      </c>
      <c r="AJ203" s="65">
        <f t="shared" si="191"/>
        <v>66.666666666666671</v>
      </c>
      <c r="AK203" s="65">
        <f t="shared" si="192"/>
        <v>83.333333333333343</v>
      </c>
      <c r="AL203" s="66">
        <f t="shared" si="193"/>
        <v>50</v>
      </c>
      <c r="AM203" s="65">
        <f t="shared" si="194"/>
        <v>58.333333333333336</v>
      </c>
      <c r="AN203" s="65">
        <f t="shared" si="195"/>
        <v>83.333333333333343</v>
      </c>
      <c r="AO203" s="66">
        <f t="shared" si="196"/>
        <v>50</v>
      </c>
      <c r="AP203" s="65">
        <f t="shared" si="197"/>
        <v>58.333333333333336</v>
      </c>
      <c r="AQ203" s="65">
        <f t="shared" si="198"/>
        <v>83.333333333333343</v>
      </c>
      <c r="AR203" s="66">
        <f t="shared" si="199"/>
        <v>50</v>
      </c>
      <c r="AS203" s="65">
        <f t="shared" si="200"/>
        <v>58.333333333333336</v>
      </c>
      <c r="AT203" s="65">
        <f t="shared" si="201"/>
        <v>83.333333333333343</v>
      </c>
      <c r="AU203" s="66">
        <f t="shared" si="202"/>
        <v>50</v>
      </c>
      <c r="AV203" s="65">
        <f t="shared" si="203"/>
        <v>58.333333333333336</v>
      </c>
      <c r="AW203" s="65">
        <f t="shared" si="204"/>
        <v>75</v>
      </c>
      <c r="AX203" s="66">
        <f t="shared" si="205"/>
        <v>50</v>
      </c>
      <c r="AY203" s="65">
        <f t="shared" si="206"/>
        <v>58.333333333333336</v>
      </c>
      <c r="AZ203" s="65">
        <f t="shared" si="207"/>
        <v>75</v>
      </c>
      <c r="BA203" s="66">
        <f t="shared" si="208"/>
        <v>50</v>
      </c>
      <c r="BB203" s="68">
        <f t="shared" si="209"/>
        <v>0</v>
      </c>
      <c r="BC203" s="65">
        <f t="shared" si="210"/>
        <v>8.3333333333333286</v>
      </c>
      <c r="BD203" s="65">
        <f t="shared" si="211"/>
        <v>16.666666666666682</v>
      </c>
      <c r="BE203" s="65">
        <f t="shared" si="212"/>
        <v>17.347216662217779</v>
      </c>
      <c r="BF203" s="65">
        <f t="shared" si="213"/>
        <v>17.347216662217779</v>
      </c>
      <c r="BG203" s="65">
        <f t="shared" si="214"/>
        <v>17.347216662217779</v>
      </c>
      <c r="BH203" s="65">
        <f t="shared" si="215"/>
        <v>12.729376930432831</v>
      </c>
      <c r="BI203" s="65">
        <f t="shared" si="216"/>
        <v>12.729376930432831</v>
      </c>
      <c r="BJ203" s="68">
        <f t="shared" si="222"/>
        <v>0</v>
      </c>
      <c r="BK203" s="65">
        <f t="shared" si="223"/>
        <v>1.3888888888888882</v>
      </c>
      <c r="BL203" s="65">
        <f t="shared" si="224"/>
        <v>2.7777777777777803</v>
      </c>
      <c r="BM203" s="65">
        <f t="shared" si="225"/>
        <v>2.8912027770362965</v>
      </c>
      <c r="BN203" s="65">
        <f t="shared" si="226"/>
        <v>2.8912027770362965</v>
      </c>
      <c r="BO203" s="65">
        <f t="shared" si="227"/>
        <v>2.8912027770362965</v>
      </c>
      <c r="BP203" s="65">
        <f t="shared" si="228"/>
        <v>2.1215628217388054</v>
      </c>
      <c r="BQ203" s="90">
        <f t="shared" si="229"/>
        <v>2.1215628217388054</v>
      </c>
      <c r="BR203" s="69">
        <f t="shared" si="217"/>
        <v>100</v>
      </c>
      <c r="BS203" s="67">
        <f t="shared" si="218"/>
        <v>91.666666666666671</v>
      </c>
      <c r="BT203" s="67">
        <f t="shared" si="219"/>
        <v>66.666666666666671</v>
      </c>
      <c r="BU203" s="67">
        <f t="shared" si="220"/>
        <v>63.888888888888893</v>
      </c>
      <c r="BV203" s="67">
        <f t="shared" si="180"/>
        <v>63.888888888888893</v>
      </c>
      <c r="BW203" s="67">
        <f t="shared" si="182"/>
        <v>63.888888888888893</v>
      </c>
      <c r="BX203" s="67">
        <f t="shared" si="183"/>
        <v>63.888888888888893</v>
      </c>
      <c r="BY203" s="67">
        <f t="shared" si="184"/>
        <v>61.111111111111114</v>
      </c>
      <c r="BZ203" s="69">
        <f t="shared" si="181"/>
        <v>0</v>
      </c>
      <c r="CA203" s="67">
        <f t="shared" si="181"/>
        <v>8.3333333333333286</v>
      </c>
      <c r="CB203" s="67">
        <f t="shared" si="181"/>
        <v>33.333333333333329</v>
      </c>
      <c r="CC203" s="67">
        <f t="shared" si="181"/>
        <v>36.111111111111107</v>
      </c>
      <c r="CD203" s="67">
        <f t="shared" si="181"/>
        <v>36.111111111111107</v>
      </c>
      <c r="CE203" s="67">
        <f t="shared" si="181"/>
        <v>36.111111111111107</v>
      </c>
      <c r="CF203" s="67">
        <f t="shared" si="181"/>
        <v>36.111111111111107</v>
      </c>
      <c r="CG203" s="116">
        <f t="shared" si="181"/>
        <v>38.888888888888886</v>
      </c>
    </row>
    <row r="204" spans="2:85" x14ac:dyDescent="0.3">
      <c r="B204" s="409"/>
      <c r="C204" s="412"/>
      <c r="D204" s="70" t="s">
        <v>804</v>
      </c>
      <c r="E204" s="65">
        <v>12</v>
      </c>
      <c r="F204" s="65">
        <v>12</v>
      </c>
      <c r="G204" s="66">
        <v>12</v>
      </c>
      <c r="H204" s="65">
        <f t="shared" si="221"/>
        <v>36</v>
      </c>
      <c r="I204" s="67">
        <v>12</v>
      </c>
      <c r="J204" s="67">
        <v>12</v>
      </c>
      <c r="K204" s="66">
        <v>12</v>
      </c>
      <c r="L204" s="67">
        <v>8</v>
      </c>
      <c r="M204" s="67">
        <v>8</v>
      </c>
      <c r="N204" s="66">
        <v>7</v>
      </c>
      <c r="O204" s="67">
        <v>7</v>
      </c>
      <c r="P204" s="67">
        <v>8</v>
      </c>
      <c r="Q204" s="66">
        <v>7</v>
      </c>
      <c r="R204" s="67">
        <v>7</v>
      </c>
      <c r="S204" s="67">
        <v>8</v>
      </c>
      <c r="T204" s="66">
        <v>7</v>
      </c>
      <c r="U204" s="67">
        <v>7</v>
      </c>
      <c r="V204" s="67">
        <v>8</v>
      </c>
      <c r="W204" s="66">
        <v>7</v>
      </c>
      <c r="X204" s="67">
        <v>7</v>
      </c>
      <c r="Y204" s="67">
        <v>5</v>
      </c>
      <c r="Z204" s="66">
        <v>5</v>
      </c>
      <c r="AA204" s="67">
        <v>7</v>
      </c>
      <c r="AB204" s="67">
        <v>5</v>
      </c>
      <c r="AC204" s="66">
        <v>5</v>
      </c>
      <c r="AD204" s="65">
        <f t="shared" si="185"/>
        <v>100</v>
      </c>
      <c r="AE204" s="65">
        <f t="shared" si="186"/>
        <v>100</v>
      </c>
      <c r="AF204" s="66">
        <f t="shared" si="187"/>
        <v>100</v>
      </c>
      <c r="AG204" s="65">
        <f t="shared" si="188"/>
        <v>100</v>
      </c>
      <c r="AH204" s="65">
        <f t="shared" si="189"/>
        <v>100</v>
      </c>
      <c r="AI204" s="66">
        <f t="shared" si="190"/>
        <v>100</v>
      </c>
      <c r="AJ204" s="65">
        <f t="shared" si="191"/>
        <v>66.666666666666671</v>
      </c>
      <c r="AK204" s="65">
        <f t="shared" si="192"/>
        <v>66.666666666666671</v>
      </c>
      <c r="AL204" s="66">
        <f t="shared" si="193"/>
        <v>58.333333333333336</v>
      </c>
      <c r="AM204" s="65">
        <f t="shared" si="194"/>
        <v>58.333333333333336</v>
      </c>
      <c r="AN204" s="65">
        <f t="shared" si="195"/>
        <v>66.666666666666671</v>
      </c>
      <c r="AO204" s="66">
        <f t="shared" si="196"/>
        <v>58.333333333333336</v>
      </c>
      <c r="AP204" s="65">
        <f t="shared" si="197"/>
        <v>58.333333333333336</v>
      </c>
      <c r="AQ204" s="65">
        <f t="shared" si="198"/>
        <v>66.666666666666671</v>
      </c>
      <c r="AR204" s="66">
        <f t="shared" si="199"/>
        <v>58.333333333333336</v>
      </c>
      <c r="AS204" s="65">
        <f t="shared" si="200"/>
        <v>58.333333333333336</v>
      </c>
      <c r="AT204" s="65">
        <f t="shared" si="201"/>
        <v>66.666666666666671</v>
      </c>
      <c r="AU204" s="66">
        <f t="shared" si="202"/>
        <v>58.333333333333336</v>
      </c>
      <c r="AV204" s="65">
        <f t="shared" si="203"/>
        <v>58.333333333333336</v>
      </c>
      <c r="AW204" s="65">
        <f t="shared" si="204"/>
        <v>41.666666666666671</v>
      </c>
      <c r="AX204" s="66">
        <f t="shared" si="205"/>
        <v>41.666666666666671</v>
      </c>
      <c r="AY204" s="65">
        <f t="shared" si="206"/>
        <v>58.333333333333336</v>
      </c>
      <c r="AZ204" s="65">
        <f t="shared" si="207"/>
        <v>41.666666666666671</v>
      </c>
      <c r="BA204" s="66">
        <f t="shared" si="208"/>
        <v>41.666666666666671</v>
      </c>
      <c r="BB204" s="68">
        <f t="shared" si="209"/>
        <v>0</v>
      </c>
      <c r="BC204" s="65">
        <f t="shared" si="210"/>
        <v>0</v>
      </c>
      <c r="BD204" s="65">
        <f t="shared" si="211"/>
        <v>4.8112522432468827</v>
      </c>
      <c r="BE204" s="65">
        <f t="shared" si="212"/>
        <v>4.8112522432468827</v>
      </c>
      <c r="BF204" s="65">
        <f t="shared" si="213"/>
        <v>4.8112522432468827</v>
      </c>
      <c r="BG204" s="65">
        <f t="shared" si="214"/>
        <v>4.8112522432468827</v>
      </c>
      <c r="BH204" s="65">
        <f t="shared" si="215"/>
        <v>9.6225044864937406</v>
      </c>
      <c r="BI204" s="65">
        <f t="shared" si="216"/>
        <v>9.6225044864937406</v>
      </c>
      <c r="BJ204" s="68">
        <f t="shared" si="222"/>
        <v>0</v>
      </c>
      <c r="BK204" s="65">
        <f t="shared" si="223"/>
        <v>0</v>
      </c>
      <c r="BL204" s="65">
        <f t="shared" si="224"/>
        <v>0.80187537387448049</v>
      </c>
      <c r="BM204" s="65">
        <f t="shared" si="225"/>
        <v>0.80187537387448049</v>
      </c>
      <c r="BN204" s="65">
        <f t="shared" si="226"/>
        <v>0.80187537387448049</v>
      </c>
      <c r="BO204" s="65">
        <f t="shared" si="227"/>
        <v>0.80187537387448049</v>
      </c>
      <c r="BP204" s="65">
        <f t="shared" si="228"/>
        <v>1.6037507477489568</v>
      </c>
      <c r="BQ204" s="90">
        <f t="shared" si="229"/>
        <v>1.6037507477489568</v>
      </c>
      <c r="BR204" s="69">
        <f t="shared" si="217"/>
        <v>100</v>
      </c>
      <c r="BS204" s="67">
        <f t="shared" si="218"/>
        <v>100</v>
      </c>
      <c r="BT204" s="67">
        <f t="shared" si="219"/>
        <v>63.888888888888893</v>
      </c>
      <c r="BU204" s="67">
        <f t="shared" si="220"/>
        <v>61.111111111111114</v>
      </c>
      <c r="BV204" s="67">
        <f t="shared" si="180"/>
        <v>61.111111111111114</v>
      </c>
      <c r="BW204" s="67">
        <f t="shared" si="182"/>
        <v>61.111111111111114</v>
      </c>
      <c r="BX204" s="67">
        <f t="shared" si="183"/>
        <v>61.111111111111114</v>
      </c>
      <c r="BY204" s="67">
        <f t="shared" si="184"/>
        <v>52.777777777777779</v>
      </c>
      <c r="BZ204" s="69">
        <f t="shared" si="181"/>
        <v>0</v>
      </c>
      <c r="CA204" s="67">
        <f t="shared" si="181"/>
        <v>0</v>
      </c>
      <c r="CB204" s="67">
        <f t="shared" si="181"/>
        <v>36.111111111111107</v>
      </c>
      <c r="CC204" s="67">
        <f t="shared" si="181"/>
        <v>38.888888888888886</v>
      </c>
      <c r="CD204" s="67">
        <f t="shared" si="181"/>
        <v>38.888888888888886</v>
      </c>
      <c r="CE204" s="67">
        <f t="shared" si="181"/>
        <v>38.888888888888886</v>
      </c>
      <c r="CF204" s="67">
        <f t="shared" si="181"/>
        <v>38.888888888888886</v>
      </c>
      <c r="CG204" s="116">
        <f t="shared" si="181"/>
        <v>47.222222222222221</v>
      </c>
    </row>
    <row r="205" spans="2:85" x14ac:dyDescent="0.3">
      <c r="B205" s="410"/>
      <c r="C205" s="413"/>
      <c r="D205" s="70" t="s">
        <v>805</v>
      </c>
      <c r="E205" s="71">
        <v>12</v>
      </c>
      <c r="F205" s="71">
        <v>12</v>
      </c>
      <c r="G205" s="72">
        <v>12</v>
      </c>
      <c r="H205" s="71">
        <f t="shared" si="221"/>
        <v>36</v>
      </c>
      <c r="I205" s="73">
        <v>10</v>
      </c>
      <c r="J205" s="73">
        <v>12</v>
      </c>
      <c r="K205" s="72">
        <v>10</v>
      </c>
      <c r="L205" s="73">
        <v>8</v>
      </c>
      <c r="M205" s="73">
        <v>9</v>
      </c>
      <c r="N205" s="72">
        <v>7</v>
      </c>
      <c r="O205" s="73">
        <v>8</v>
      </c>
      <c r="P205" s="73">
        <v>9</v>
      </c>
      <c r="Q205" s="72">
        <v>5</v>
      </c>
      <c r="R205" s="73">
        <v>8</v>
      </c>
      <c r="S205" s="73">
        <v>9</v>
      </c>
      <c r="T205" s="72">
        <v>5</v>
      </c>
      <c r="U205" s="73">
        <v>8</v>
      </c>
      <c r="V205" s="73">
        <v>9</v>
      </c>
      <c r="W205" s="72">
        <v>5</v>
      </c>
      <c r="X205" s="73">
        <v>7</v>
      </c>
      <c r="Y205" s="73">
        <v>8</v>
      </c>
      <c r="Z205" s="72">
        <v>5</v>
      </c>
      <c r="AA205" s="73">
        <v>7</v>
      </c>
      <c r="AB205" s="73">
        <v>8</v>
      </c>
      <c r="AC205" s="72">
        <v>5</v>
      </c>
      <c r="AD205" s="71">
        <f t="shared" si="185"/>
        <v>100</v>
      </c>
      <c r="AE205" s="71">
        <f t="shared" si="186"/>
        <v>100</v>
      </c>
      <c r="AF205" s="72">
        <f t="shared" si="187"/>
        <v>100</v>
      </c>
      <c r="AG205" s="71">
        <f t="shared" si="188"/>
        <v>83.333333333333343</v>
      </c>
      <c r="AH205" s="71">
        <f t="shared" si="189"/>
        <v>100</v>
      </c>
      <c r="AI205" s="72">
        <f t="shared" si="190"/>
        <v>83.333333333333343</v>
      </c>
      <c r="AJ205" s="71">
        <f t="shared" si="191"/>
        <v>66.666666666666671</v>
      </c>
      <c r="AK205" s="71">
        <f t="shared" si="192"/>
        <v>75</v>
      </c>
      <c r="AL205" s="72">
        <f t="shared" si="193"/>
        <v>58.333333333333336</v>
      </c>
      <c r="AM205" s="71">
        <f t="shared" si="194"/>
        <v>66.666666666666671</v>
      </c>
      <c r="AN205" s="71">
        <f t="shared" si="195"/>
        <v>75</v>
      </c>
      <c r="AO205" s="72">
        <f t="shared" si="196"/>
        <v>41.666666666666671</v>
      </c>
      <c r="AP205" s="71">
        <f t="shared" si="197"/>
        <v>66.666666666666671</v>
      </c>
      <c r="AQ205" s="71">
        <f t="shared" si="198"/>
        <v>75</v>
      </c>
      <c r="AR205" s="72">
        <f t="shared" si="199"/>
        <v>41.666666666666671</v>
      </c>
      <c r="AS205" s="71">
        <f t="shared" si="200"/>
        <v>66.666666666666671</v>
      </c>
      <c r="AT205" s="71">
        <f t="shared" si="201"/>
        <v>75</v>
      </c>
      <c r="AU205" s="72">
        <f t="shared" si="202"/>
        <v>41.666666666666671</v>
      </c>
      <c r="AV205" s="71">
        <f t="shared" si="203"/>
        <v>58.333333333333336</v>
      </c>
      <c r="AW205" s="71">
        <f t="shared" si="204"/>
        <v>66.666666666666671</v>
      </c>
      <c r="AX205" s="72">
        <f t="shared" si="205"/>
        <v>41.666666666666671</v>
      </c>
      <c r="AY205" s="71">
        <f t="shared" si="206"/>
        <v>58.333333333333336</v>
      </c>
      <c r="AZ205" s="71">
        <f t="shared" si="207"/>
        <v>66.666666666666671</v>
      </c>
      <c r="BA205" s="72">
        <f t="shared" si="208"/>
        <v>41.666666666666671</v>
      </c>
      <c r="BB205" s="74">
        <f t="shared" si="209"/>
        <v>0</v>
      </c>
      <c r="BC205" s="71">
        <f t="shared" si="210"/>
        <v>9.6225044864937566</v>
      </c>
      <c r="BD205" s="71">
        <f t="shared" si="211"/>
        <v>8.3333333333332185</v>
      </c>
      <c r="BE205" s="71">
        <f t="shared" si="212"/>
        <v>17.347216662217726</v>
      </c>
      <c r="BF205" s="71">
        <f t="shared" si="213"/>
        <v>17.347216662217726</v>
      </c>
      <c r="BG205" s="71">
        <f t="shared" si="214"/>
        <v>17.347216662217726</v>
      </c>
      <c r="BH205" s="71">
        <f t="shared" si="215"/>
        <v>12.729376930432867</v>
      </c>
      <c r="BI205" s="71">
        <f t="shared" si="216"/>
        <v>12.729376930432867</v>
      </c>
      <c r="BJ205" s="74">
        <f t="shared" si="222"/>
        <v>0</v>
      </c>
      <c r="BK205" s="71">
        <f t="shared" si="223"/>
        <v>1.6037507477489594</v>
      </c>
      <c r="BL205" s="71">
        <f t="shared" si="224"/>
        <v>1.3888888888888697</v>
      </c>
      <c r="BM205" s="71">
        <f t="shared" si="225"/>
        <v>2.8912027770362876</v>
      </c>
      <c r="BN205" s="71">
        <f t="shared" si="226"/>
        <v>2.8912027770362876</v>
      </c>
      <c r="BO205" s="71">
        <f t="shared" si="227"/>
        <v>2.8912027770362876</v>
      </c>
      <c r="BP205" s="71">
        <f t="shared" si="228"/>
        <v>2.1215628217388112</v>
      </c>
      <c r="BQ205" s="91">
        <f t="shared" si="229"/>
        <v>2.1215628217388112</v>
      </c>
      <c r="BR205" s="75">
        <f t="shared" si="217"/>
        <v>100</v>
      </c>
      <c r="BS205" s="73">
        <f t="shared" si="218"/>
        <v>88.8888888888889</v>
      </c>
      <c r="BT205" s="73">
        <f t="shared" si="219"/>
        <v>66.666666666666671</v>
      </c>
      <c r="BU205" s="73">
        <f t="shared" si="220"/>
        <v>61.111111111111121</v>
      </c>
      <c r="BV205" s="73">
        <f t="shared" si="180"/>
        <v>61.111111111111121</v>
      </c>
      <c r="BW205" s="73">
        <f t="shared" si="182"/>
        <v>61.111111111111121</v>
      </c>
      <c r="BX205" s="73">
        <f t="shared" si="183"/>
        <v>58.333333333333336</v>
      </c>
      <c r="BY205" s="73">
        <f t="shared" si="184"/>
        <v>55.555555555555564</v>
      </c>
      <c r="BZ205" s="75">
        <f t="shared" si="181"/>
        <v>0</v>
      </c>
      <c r="CA205" s="73">
        <f t="shared" si="181"/>
        <v>11.1111111111111</v>
      </c>
      <c r="CB205" s="73">
        <f t="shared" si="181"/>
        <v>33.333333333333329</v>
      </c>
      <c r="CC205" s="73">
        <f t="shared" si="181"/>
        <v>38.888888888888879</v>
      </c>
      <c r="CD205" s="73">
        <f t="shared" si="181"/>
        <v>38.888888888888879</v>
      </c>
      <c r="CE205" s="73">
        <f t="shared" si="181"/>
        <v>38.888888888888879</v>
      </c>
      <c r="CF205" s="73">
        <f t="shared" si="181"/>
        <v>41.666666666666664</v>
      </c>
      <c r="CG205" s="265">
        <f t="shared" si="181"/>
        <v>44.444444444444436</v>
      </c>
    </row>
    <row r="206" spans="2:85" ht="15" customHeight="1" x14ac:dyDescent="0.3">
      <c r="B206" s="408"/>
      <c r="C206" s="411" t="s">
        <v>665</v>
      </c>
      <c r="D206" s="76" t="s">
        <v>802</v>
      </c>
      <c r="E206" s="77">
        <v>12</v>
      </c>
      <c r="F206" s="77">
        <v>12</v>
      </c>
      <c r="G206" s="78">
        <v>12</v>
      </c>
      <c r="H206" s="77">
        <f t="shared" si="221"/>
        <v>36</v>
      </c>
      <c r="I206" s="79">
        <v>10</v>
      </c>
      <c r="J206" s="79">
        <v>10</v>
      </c>
      <c r="K206" s="78">
        <v>12</v>
      </c>
      <c r="L206" s="79">
        <v>10</v>
      </c>
      <c r="M206" s="79">
        <v>10</v>
      </c>
      <c r="N206" s="78">
        <v>11</v>
      </c>
      <c r="O206" s="79">
        <v>10</v>
      </c>
      <c r="P206" s="79">
        <v>10</v>
      </c>
      <c r="Q206" s="78">
        <v>10</v>
      </c>
      <c r="R206" s="79">
        <v>10</v>
      </c>
      <c r="S206" s="79">
        <v>10</v>
      </c>
      <c r="T206" s="78">
        <v>10</v>
      </c>
      <c r="U206" s="79">
        <v>10</v>
      </c>
      <c r="V206" s="79">
        <v>9</v>
      </c>
      <c r="W206" s="78">
        <v>9</v>
      </c>
      <c r="X206" s="79">
        <v>10</v>
      </c>
      <c r="Y206" s="79">
        <v>9</v>
      </c>
      <c r="Z206" s="78">
        <v>9</v>
      </c>
      <c r="AA206" s="79">
        <v>10</v>
      </c>
      <c r="AB206" s="79">
        <v>9</v>
      </c>
      <c r="AC206" s="78">
        <v>9</v>
      </c>
      <c r="AD206" s="77">
        <f t="shared" si="185"/>
        <v>100</v>
      </c>
      <c r="AE206" s="77">
        <f t="shared" si="186"/>
        <v>100</v>
      </c>
      <c r="AF206" s="78">
        <f t="shared" si="187"/>
        <v>100</v>
      </c>
      <c r="AG206" s="77">
        <f t="shared" si="188"/>
        <v>83.333333333333343</v>
      </c>
      <c r="AH206" s="77">
        <f t="shared" si="189"/>
        <v>83.333333333333343</v>
      </c>
      <c r="AI206" s="78">
        <f t="shared" si="190"/>
        <v>100</v>
      </c>
      <c r="AJ206" s="77">
        <f t="shared" si="191"/>
        <v>83.333333333333343</v>
      </c>
      <c r="AK206" s="77">
        <f t="shared" si="192"/>
        <v>83.333333333333343</v>
      </c>
      <c r="AL206" s="78">
        <f t="shared" si="193"/>
        <v>91.666666666666671</v>
      </c>
      <c r="AM206" s="77">
        <f t="shared" si="194"/>
        <v>83.333333333333343</v>
      </c>
      <c r="AN206" s="77">
        <f t="shared" si="195"/>
        <v>83.333333333333343</v>
      </c>
      <c r="AO206" s="78">
        <f t="shared" si="196"/>
        <v>83.333333333333343</v>
      </c>
      <c r="AP206" s="77">
        <f t="shared" si="197"/>
        <v>83.333333333333343</v>
      </c>
      <c r="AQ206" s="77">
        <f t="shared" si="198"/>
        <v>83.333333333333343</v>
      </c>
      <c r="AR206" s="78">
        <f t="shared" si="199"/>
        <v>83.333333333333343</v>
      </c>
      <c r="AS206" s="77">
        <f t="shared" si="200"/>
        <v>83.333333333333343</v>
      </c>
      <c r="AT206" s="77">
        <f t="shared" si="201"/>
        <v>75</v>
      </c>
      <c r="AU206" s="78">
        <f t="shared" si="202"/>
        <v>75</v>
      </c>
      <c r="AV206" s="77">
        <f t="shared" si="203"/>
        <v>83.333333333333343</v>
      </c>
      <c r="AW206" s="77">
        <f t="shared" si="204"/>
        <v>75</v>
      </c>
      <c r="AX206" s="78">
        <f t="shared" si="205"/>
        <v>75</v>
      </c>
      <c r="AY206" s="77">
        <f t="shared" si="206"/>
        <v>83.333333333333343</v>
      </c>
      <c r="AZ206" s="77">
        <f t="shared" si="207"/>
        <v>75</v>
      </c>
      <c r="BA206" s="78">
        <f t="shared" si="208"/>
        <v>75</v>
      </c>
      <c r="BB206" s="80">
        <f t="shared" si="209"/>
        <v>0</v>
      </c>
      <c r="BC206" s="77">
        <f t="shared" si="210"/>
        <v>9.6225044864937566</v>
      </c>
      <c r="BD206" s="77">
        <f t="shared" si="211"/>
        <v>4.8112522432468792</v>
      </c>
      <c r="BE206" s="77">
        <f t="shared" si="212"/>
        <v>0</v>
      </c>
      <c r="BF206" s="77">
        <f t="shared" si="213"/>
        <v>0</v>
      </c>
      <c r="BG206" s="77">
        <f t="shared" si="214"/>
        <v>4.8112522432468872</v>
      </c>
      <c r="BH206" s="77">
        <f t="shared" si="215"/>
        <v>4.8112522432468872</v>
      </c>
      <c r="BI206" s="77">
        <f t="shared" si="216"/>
        <v>4.8112522432468872</v>
      </c>
      <c r="BJ206" s="80">
        <f t="shared" si="222"/>
        <v>0</v>
      </c>
      <c r="BK206" s="77">
        <f t="shared" si="223"/>
        <v>1.6037507477489594</v>
      </c>
      <c r="BL206" s="77">
        <f t="shared" si="224"/>
        <v>0.80187537387447982</v>
      </c>
      <c r="BM206" s="77">
        <f t="shared" si="225"/>
        <v>0</v>
      </c>
      <c r="BN206" s="77">
        <f t="shared" si="226"/>
        <v>0</v>
      </c>
      <c r="BO206" s="77">
        <f t="shared" si="227"/>
        <v>0.80187537387448116</v>
      </c>
      <c r="BP206" s="77">
        <f t="shared" si="228"/>
        <v>0.80187537387448116</v>
      </c>
      <c r="BQ206" s="92">
        <f t="shared" si="229"/>
        <v>0.80187537387448116</v>
      </c>
      <c r="BR206" s="81">
        <f t="shared" si="217"/>
        <v>100</v>
      </c>
      <c r="BS206" s="79">
        <f t="shared" si="218"/>
        <v>88.8888888888889</v>
      </c>
      <c r="BT206" s="79">
        <f t="shared" si="219"/>
        <v>86.111111111111128</v>
      </c>
      <c r="BU206" s="79">
        <f t="shared" si="220"/>
        <v>83.333333333333343</v>
      </c>
      <c r="BV206" s="79">
        <f t="shared" si="180"/>
        <v>83.333333333333343</v>
      </c>
      <c r="BW206" s="79">
        <f t="shared" si="182"/>
        <v>77.777777777777786</v>
      </c>
      <c r="BX206" s="79">
        <f>AVERAGE(AV206:AX206)</f>
        <v>77.777777777777786</v>
      </c>
      <c r="BY206" s="79">
        <f>AVERAGE(AY206:BA206)</f>
        <v>77.777777777777786</v>
      </c>
      <c r="BZ206" s="81">
        <f t="shared" si="181"/>
        <v>0</v>
      </c>
      <c r="CA206" s="79">
        <f t="shared" si="181"/>
        <v>11.1111111111111</v>
      </c>
      <c r="CB206" s="79">
        <f t="shared" si="181"/>
        <v>13.888888888888872</v>
      </c>
      <c r="CC206" s="79">
        <f t="shared" si="181"/>
        <v>16.666666666666657</v>
      </c>
      <c r="CD206" s="79">
        <f t="shared" si="181"/>
        <v>16.666666666666657</v>
      </c>
      <c r="CE206" s="79">
        <f t="shared" si="181"/>
        <v>22.222222222222214</v>
      </c>
      <c r="CF206" s="79">
        <f t="shared" si="181"/>
        <v>22.222222222222214</v>
      </c>
      <c r="CG206" s="264">
        <f t="shared" si="181"/>
        <v>22.222222222222214</v>
      </c>
    </row>
    <row r="207" spans="2:85" x14ac:dyDescent="0.3">
      <c r="B207" s="409"/>
      <c r="C207" s="412"/>
      <c r="D207" s="70"/>
      <c r="E207" s="65"/>
      <c r="F207" s="65"/>
      <c r="G207" s="66"/>
      <c r="H207" s="65"/>
      <c r="I207" s="67"/>
      <c r="J207" s="67"/>
      <c r="K207" s="66"/>
      <c r="L207" s="67"/>
      <c r="M207" s="67"/>
      <c r="N207" s="66"/>
      <c r="O207" s="67"/>
      <c r="P207" s="67"/>
      <c r="Q207" s="66"/>
      <c r="R207" s="67"/>
      <c r="S207" s="67"/>
      <c r="T207" s="66"/>
      <c r="U207" s="67"/>
      <c r="V207" s="67"/>
      <c r="W207" s="66"/>
      <c r="X207" s="67"/>
      <c r="Y207" s="67"/>
      <c r="Z207" s="66"/>
      <c r="AA207" s="67"/>
      <c r="AB207" s="67"/>
      <c r="AC207" s="66"/>
      <c r="AD207" s="65"/>
      <c r="AE207" s="65"/>
      <c r="AF207" s="66"/>
      <c r="AG207" s="65"/>
      <c r="AH207" s="65"/>
      <c r="AI207" s="66"/>
      <c r="AJ207" s="65"/>
      <c r="AK207" s="65"/>
      <c r="AL207" s="66"/>
      <c r="AM207" s="65"/>
      <c r="AN207" s="65"/>
      <c r="AO207" s="66"/>
      <c r="AP207" s="65"/>
      <c r="AQ207" s="65"/>
      <c r="AR207" s="66"/>
      <c r="AS207" s="65"/>
      <c r="AT207" s="65"/>
      <c r="AU207" s="66"/>
      <c r="AV207" s="65"/>
      <c r="AW207" s="65"/>
      <c r="AX207" s="66"/>
      <c r="AY207" s="65"/>
      <c r="AZ207" s="65"/>
      <c r="BA207" s="66"/>
      <c r="BB207" s="68"/>
      <c r="BC207" s="65"/>
      <c r="BD207" s="65"/>
      <c r="BE207" s="65"/>
      <c r="BF207" s="65"/>
      <c r="BG207" s="65"/>
      <c r="BH207" s="65"/>
      <c r="BI207" s="65"/>
      <c r="BJ207" s="68"/>
      <c r="BK207" s="65"/>
      <c r="BL207" s="65"/>
      <c r="BM207" s="65"/>
      <c r="BN207" s="65"/>
      <c r="BO207" s="65"/>
      <c r="BP207" s="65"/>
      <c r="BQ207" s="90"/>
      <c r="BR207" s="69"/>
      <c r="BS207" s="67"/>
      <c r="BT207" s="67"/>
      <c r="BU207" s="67"/>
      <c r="BV207" s="67"/>
      <c r="BW207" s="67"/>
      <c r="BX207" s="67"/>
      <c r="BY207" s="67"/>
      <c r="BZ207" s="69"/>
      <c r="CA207" s="67"/>
      <c r="CB207" s="67"/>
      <c r="CC207" s="67"/>
      <c r="CD207" s="67"/>
      <c r="CE207" s="67"/>
      <c r="CF207" s="67"/>
      <c r="CG207" s="116"/>
    </row>
    <row r="208" spans="2:85" x14ac:dyDescent="0.3">
      <c r="B208" s="409"/>
      <c r="C208" s="412"/>
      <c r="D208" s="70"/>
      <c r="E208" s="65"/>
      <c r="F208" s="65"/>
      <c r="G208" s="66"/>
      <c r="H208" s="65"/>
      <c r="I208" s="67"/>
      <c r="J208" s="67"/>
      <c r="K208" s="66"/>
      <c r="L208" s="67"/>
      <c r="M208" s="67"/>
      <c r="N208" s="66"/>
      <c r="O208" s="67"/>
      <c r="P208" s="67"/>
      <c r="Q208" s="66"/>
      <c r="R208" s="67"/>
      <c r="S208" s="67"/>
      <c r="T208" s="66"/>
      <c r="U208" s="67"/>
      <c r="V208" s="67"/>
      <c r="W208" s="66"/>
      <c r="X208" s="67"/>
      <c r="Y208" s="67"/>
      <c r="Z208" s="66"/>
      <c r="AA208" s="67"/>
      <c r="AB208" s="67"/>
      <c r="AC208" s="66"/>
      <c r="AD208" s="65"/>
      <c r="AE208" s="65"/>
      <c r="AF208" s="66"/>
      <c r="AG208" s="65"/>
      <c r="AH208" s="65"/>
      <c r="AI208" s="66"/>
      <c r="AJ208" s="65"/>
      <c r="AK208" s="65"/>
      <c r="AL208" s="66"/>
      <c r="AM208" s="65"/>
      <c r="AN208" s="65"/>
      <c r="AO208" s="66"/>
      <c r="AP208" s="65"/>
      <c r="AQ208" s="65"/>
      <c r="AR208" s="66"/>
      <c r="AS208" s="65"/>
      <c r="AT208" s="65"/>
      <c r="AU208" s="66"/>
      <c r="AV208" s="65"/>
      <c r="AW208" s="65"/>
      <c r="AX208" s="66"/>
      <c r="AY208" s="65"/>
      <c r="AZ208" s="65"/>
      <c r="BA208" s="66"/>
      <c r="BB208" s="68"/>
      <c r="BC208" s="65"/>
      <c r="BD208" s="65"/>
      <c r="BE208" s="65"/>
      <c r="BF208" s="65"/>
      <c r="BG208" s="65"/>
      <c r="BH208" s="65"/>
      <c r="BI208" s="65"/>
      <c r="BJ208" s="68"/>
      <c r="BK208" s="65"/>
      <c r="BL208" s="65"/>
      <c r="BM208" s="65"/>
      <c r="BN208" s="65"/>
      <c r="BO208" s="65"/>
      <c r="BP208" s="65"/>
      <c r="BQ208" s="90"/>
      <c r="BR208" s="69"/>
      <c r="BS208" s="67"/>
      <c r="BT208" s="67"/>
      <c r="BU208" s="67"/>
      <c r="BV208" s="67"/>
      <c r="BW208" s="67"/>
      <c r="BX208" s="67"/>
      <c r="BY208" s="67"/>
      <c r="BZ208" s="69"/>
      <c r="CA208" s="67"/>
      <c r="CB208" s="67"/>
      <c r="CC208" s="67"/>
      <c r="CD208" s="67"/>
      <c r="CE208" s="67"/>
      <c r="CF208" s="67"/>
      <c r="CG208" s="116"/>
    </row>
    <row r="209" spans="2:85" x14ac:dyDescent="0.3">
      <c r="B209" s="410"/>
      <c r="C209" s="413"/>
      <c r="D209" s="70"/>
      <c r="E209" s="71"/>
      <c r="F209" s="71"/>
      <c r="G209" s="72"/>
      <c r="H209" s="71"/>
      <c r="I209" s="73"/>
      <c r="J209" s="73"/>
      <c r="K209" s="72"/>
      <c r="L209" s="73"/>
      <c r="M209" s="73"/>
      <c r="N209" s="72"/>
      <c r="O209" s="73"/>
      <c r="P209" s="73"/>
      <c r="Q209" s="72"/>
      <c r="R209" s="73"/>
      <c r="S209" s="73"/>
      <c r="T209" s="72"/>
      <c r="U209" s="73"/>
      <c r="V209" s="73"/>
      <c r="W209" s="72"/>
      <c r="X209" s="73"/>
      <c r="Y209" s="73"/>
      <c r="Z209" s="72"/>
      <c r="AA209" s="73"/>
      <c r="AB209" s="73"/>
      <c r="AC209" s="72"/>
      <c r="AD209" s="71"/>
      <c r="AE209" s="71"/>
      <c r="AF209" s="72"/>
      <c r="AG209" s="71"/>
      <c r="AH209" s="71"/>
      <c r="AI209" s="72"/>
      <c r="AJ209" s="71"/>
      <c r="AK209" s="71"/>
      <c r="AL209" s="72"/>
      <c r="AM209" s="71"/>
      <c r="AN209" s="71"/>
      <c r="AO209" s="72"/>
      <c r="AP209" s="71"/>
      <c r="AQ209" s="71"/>
      <c r="AR209" s="72"/>
      <c r="AS209" s="71"/>
      <c r="AT209" s="71"/>
      <c r="AU209" s="72"/>
      <c r="AV209" s="71"/>
      <c r="AW209" s="71"/>
      <c r="AX209" s="72"/>
      <c r="AY209" s="71"/>
      <c r="AZ209" s="71"/>
      <c r="BA209" s="72"/>
      <c r="BB209" s="74"/>
      <c r="BC209" s="71"/>
      <c r="BD209" s="71"/>
      <c r="BE209" s="71"/>
      <c r="BF209" s="71"/>
      <c r="BG209" s="71"/>
      <c r="BH209" s="71"/>
      <c r="BI209" s="71"/>
      <c r="BJ209" s="74"/>
      <c r="BK209" s="71"/>
      <c r="BL209" s="71"/>
      <c r="BM209" s="71"/>
      <c r="BN209" s="71"/>
      <c r="BO209" s="71"/>
      <c r="BP209" s="71"/>
      <c r="BQ209" s="91"/>
      <c r="BR209" s="75"/>
      <c r="BS209" s="73"/>
      <c r="BT209" s="73"/>
      <c r="BU209" s="73"/>
      <c r="BV209" s="73"/>
      <c r="BW209" s="73"/>
      <c r="BX209" s="73"/>
      <c r="BY209" s="73"/>
      <c r="BZ209" s="75"/>
      <c r="CA209" s="73"/>
      <c r="CB209" s="73"/>
      <c r="CC209" s="73"/>
      <c r="CD209" s="73"/>
      <c r="CE209" s="73"/>
      <c r="CF209" s="73"/>
      <c r="CG209" s="265"/>
    </row>
    <row r="210" spans="2:85" x14ac:dyDescent="0.3">
      <c r="B210" s="408"/>
      <c r="C210" s="411" t="s">
        <v>658</v>
      </c>
      <c r="D210" s="94" t="s">
        <v>295</v>
      </c>
      <c r="E210" s="77">
        <v>12</v>
      </c>
      <c r="F210" s="77">
        <v>12</v>
      </c>
      <c r="G210" s="78">
        <v>12</v>
      </c>
      <c r="H210" s="77">
        <f t="shared" si="221"/>
        <v>36</v>
      </c>
      <c r="I210" s="79">
        <v>12</v>
      </c>
      <c r="J210" s="79">
        <v>12</v>
      </c>
      <c r="K210" s="78">
        <v>9</v>
      </c>
      <c r="L210" s="79">
        <v>12</v>
      </c>
      <c r="M210" s="79">
        <v>12</v>
      </c>
      <c r="N210" s="78">
        <v>8</v>
      </c>
      <c r="O210" s="79">
        <v>12</v>
      </c>
      <c r="P210" s="79">
        <v>12</v>
      </c>
      <c r="Q210" s="78">
        <v>8</v>
      </c>
      <c r="R210" s="79">
        <v>12</v>
      </c>
      <c r="S210" s="79">
        <v>12</v>
      </c>
      <c r="T210" s="78">
        <v>8</v>
      </c>
      <c r="U210" s="79">
        <v>12</v>
      </c>
      <c r="V210" s="79">
        <v>12</v>
      </c>
      <c r="W210" s="78">
        <v>8</v>
      </c>
      <c r="X210" s="79">
        <v>12</v>
      </c>
      <c r="Y210" s="79">
        <v>12</v>
      </c>
      <c r="Z210" s="78">
        <v>8</v>
      </c>
      <c r="AA210" s="79">
        <v>12</v>
      </c>
      <c r="AB210" s="79">
        <v>12</v>
      </c>
      <c r="AC210" s="78">
        <v>8</v>
      </c>
      <c r="AD210" s="77">
        <f>100/E210*E210</f>
        <v>100</v>
      </c>
      <c r="AE210" s="77">
        <f>100/F210*F210</f>
        <v>100</v>
      </c>
      <c r="AF210" s="78">
        <f>100/G210*G210</f>
        <v>100</v>
      </c>
      <c r="AG210" s="77">
        <f>100/E210*I210</f>
        <v>100</v>
      </c>
      <c r="AH210" s="77">
        <f>100/F210*J210</f>
        <v>100</v>
      </c>
      <c r="AI210" s="78">
        <f>100/G210*K210</f>
        <v>75</v>
      </c>
      <c r="AJ210" s="77">
        <f>100/E210*L210</f>
        <v>100</v>
      </c>
      <c r="AK210" s="77">
        <f>100/F210*M210</f>
        <v>100</v>
      </c>
      <c r="AL210" s="78">
        <f>100/G210*N210</f>
        <v>66.666666666666671</v>
      </c>
      <c r="AM210" s="77">
        <f>100/E210*O210</f>
        <v>100</v>
      </c>
      <c r="AN210" s="77">
        <f>100/F210*P210</f>
        <v>100</v>
      </c>
      <c r="AO210" s="78">
        <f>100/G210*Q210</f>
        <v>66.666666666666671</v>
      </c>
      <c r="AP210" s="77">
        <f>100/E210*R210</f>
        <v>100</v>
      </c>
      <c r="AQ210" s="77">
        <f>100/F210*S210</f>
        <v>100</v>
      </c>
      <c r="AR210" s="78">
        <f>100/G210*T210</f>
        <v>66.666666666666671</v>
      </c>
      <c r="AS210" s="77">
        <f>100/E210*U210</f>
        <v>100</v>
      </c>
      <c r="AT210" s="77">
        <f>100/F210*V210</f>
        <v>100</v>
      </c>
      <c r="AU210" s="78">
        <f>100/G210*W210</f>
        <v>66.666666666666671</v>
      </c>
      <c r="AV210" s="77">
        <f>100/E210*X210</f>
        <v>100</v>
      </c>
      <c r="AW210" s="77">
        <f>100/F210*Y210</f>
        <v>100</v>
      </c>
      <c r="AX210" s="78">
        <f>100/G210*Z210</f>
        <v>66.666666666666671</v>
      </c>
      <c r="AY210" s="77">
        <f>100/E210*AA210</f>
        <v>100</v>
      </c>
      <c r="AZ210" s="77">
        <f>100/F210*AB210</f>
        <v>100</v>
      </c>
      <c r="BA210" s="78">
        <f>100/G210*AC210</f>
        <v>66.666666666666671</v>
      </c>
      <c r="BB210" s="80">
        <f t="shared" si="209"/>
        <v>0</v>
      </c>
      <c r="BC210" s="77">
        <f t="shared" si="210"/>
        <v>14.433756729740665</v>
      </c>
      <c r="BD210" s="77">
        <f t="shared" si="211"/>
        <v>19.245008972987481</v>
      </c>
      <c r="BE210" s="77">
        <f t="shared" si="212"/>
        <v>19.245008972987481</v>
      </c>
      <c r="BF210" s="77">
        <f t="shared" si="213"/>
        <v>19.245008972987481</v>
      </c>
      <c r="BG210" s="77">
        <f t="shared" si="214"/>
        <v>19.245008972987481</v>
      </c>
      <c r="BH210" s="77">
        <f t="shared" si="215"/>
        <v>19.245008972987481</v>
      </c>
      <c r="BI210" s="77">
        <f t="shared" si="216"/>
        <v>19.245008972987481</v>
      </c>
      <c r="BJ210" s="80">
        <f t="shared" si="222"/>
        <v>0</v>
      </c>
      <c r="BK210" s="77">
        <f t="shared" si="223"/>
        <v>2.405626121623444</v>
      </c>
      <c r="BL210" s="77">
        <f t="shared" si="224"/>
        <v>3.2075014954979135</v>
      </c>
      <c r="BM210" s="77">
        <f t="shared" si="225"/>
        <v>3.2075014954979135</v>
      </c>
      <c r="BN210" s="77">
        <f t="shared" si="226"/>
        <v>3.2075014954979135</v>
      </c>
      <c r="BO210" s="77">
        <f t="shared" si="227"/>
        <v>3.2075014954979135</v>
      </c>
      <c r="BP210" s="77">
        <f t="shared" si="228"/>
        <v>3.2075014954979135</v>
      </c>
      <c r="BQ210" s="92">
        <f t="shared" si="229"/>
        <v>3.2075014954979135</v>
      </c>
      <c r="BR210" s="81">
        <f>AVERAGE(AD210:AF210)</f>
        <v>100</v>
      </c>
      <c r="BS210" s="79">
        <f>AVERAGE(AG210:AI210)</f>
        <v>91.666666666666671</v>
      </c>
      <c r="BT210" s="79">
        <f>AVERAGE(AJ210:AL210)</f>
        <v>88.8888888888889</v>
      </c>
      <c r="BU210" s="79">
        <f>AVERAGE(AM210:AO210)</f>
        <v>88.8888888888889</v>
      </c>
      <c r="BV210" s="79">
        <f>AVERAGE(AP210:AR210)</f>
        <v>88.8888888888889</v>
      </c>
      <c r="BW210" s="79">
        <f>AVERAGE(AS210:AU210)</f>
        <v>88.8888888888889</v>
      </c>
      <c r="BX210" s="79">
        <f>AVERAGE(AV210:AX210)</f>
        <v>88.8888888888889</v>
      </c>
      <c r="BY210" s="79">
        <f>AVERAGE(AY210:BA210)</f>
        <v>88.8888888888889</v>
      </c>
      <c r="BZ210" s="81">
        <f t="shared" ref="BZ210:CG210" si="230">100-BR210</f>
        <v>0</v>
      </c>
      <c r="CA210" s="79">
        <f t="shared" si="230"/>
        <v>8.3333333333333286</v>
      </c>
      <c r="CB210" s="79">
        <f t="shared" si="230"/>
        <v>11.1111111111111</v>
      </c>
      <c r="CC210" s="79">
        <f t="shared" si="230"/>
        <v>11.1111111111111</v>
      </c>
      <c r="CD210" s="79">
        <f t="shared" si="230"/>
        <v>11.1111111111111</v>
      </c>
      <c r="CE210" s="79">
        <f t="shared" si="230"/>
        <v>11.1111111111111</v>
      </c>
      <c r="CF210" s="79">
        <f t="shared" si="230"/>
        <v>11.1111111111111</v>
      </c>
      <c r="CG210" s="264">
        <f t="shared" si="230"/>
        <v>11.1111111111111</v>
      </c>
    </row>
    <row r="211" spans="2:85" x14ac:dyDescent="0.3">
      <c r="B211" s="409"/>
      <c r="C211" s="412"/>
      <c r="D211" s="70"/>
      <c r="E211" s="65"/>
      <c r="F211" s="65"/>
      <c r="G211" s="66"/>
      <c r="H211" s="65"/>
      <c r="I211" s="67"/>
      <c r="J211" s="67"/>
      <c r="K211" s="66"/>
      <c r="L211" s="67"/>
      <c r="M211" s="67"/>
      <c r="N211" s="66"/>
      <c r="O211" s="67"/>
      <c r="P211" s="67"/>
      <c r="Q211" s="66"/>
      <c r="R211" s="67"/>
      <c r="S211" s="67"/>
      <c r="T211" s="66"/>
      <c r="U211" s="67"/>
      <c r="V211" s="67"/>
      <c r="W211" s="66"/>
      <c r="X211" s="67"/>
      <c r="Y211" s="67"/>
      <c r="Z211" s="66"/>
      <c r="AA211" s="67"/>
      <c r="AB211" s="67"/>
      <c r="AC211" s="66"/>
      <c r="AD211" s="65"/>
      <c r="AE211" s="65"/>
      <c r="AF211" s="66"/>
      <c r="AG211" s="65"/>
      <c r="AH211" s="65"/>
      <c r="AI211" s="66"/>
      <c r="AJ211" s="65"/>
      <c r="AK211" s="65"/>
      <c r="AL211" s="66"/>
      <c r="AM211" s="65"/>
      <c r="AN211" s="65"/>
      <c r="AO211" s="66"/>
      <c r="AP211" s="65"/>
      <c r="AQ211" s="65"/>
      <c r="AR211" s="66"/>
      <c r="AS211" s="65"/>
      <c r="AT211" s="65"/>
      <c r="AU211" s="66"/>
      <c r="AV211" s="65"/>
      <c r="AW211" s="65"/>
      <c r="AX211" s="66"/>
      <c r="AY211" s="65"/>
      <c r="AZ211" s="65"/>
      <c r="BA211" s="66"/>
      <c r="BB211" s="68"/>
      <c r="BC211" s="65"/>
      <c r="BD211" s="65"/>
      <c r="BE211" s="65"/>
      <c r="BF211" s="65"/>
      <c r="BG211" s="65"/>
      <c r="BH211" s="65"/>
      <c r="BI211" s="65"/>
      <c r="BJ211" s="68"/>
      <c r="BK211" s="65"/>
      <c r="BL211" s="65"/>
      <c r="BM211" s="65"/>
      <c r="BN211" s="65"/>
      <c r="BO211" s="65"/>
      <c r="BP211" s="65"/>
      <c r="BQ211" s="90"/>
      <c r="BR211" s="69"/>
      <c r="BS211" s="67"/>
      <c r="BT211" s="67"/>
      <c r="BU211" s="67"/>
      <c r="BV211" s="67"/>
      <c r="BW211" s="67"/>
      <c r="BX211" s="67"/>
      <c r="BY211" s="67"/>
      <c r="BZ211" s="69"/>
      <c r="CA211" s="67"/>
      <c r="CB211" s="67"/>
      <c r="CC211" s="67"/>
      <c r="CD211" s="67"/>
      <c r="CE211" s="67"/>
      <c r="CF211" s="67"/>
      <c r="CG211" s="116"/>
    </row>
    <row r="212" spans="2:85" x14ac:dyDescent="0.3">
      <c r="B212" s="409"/>
      <c r="C212" s="412"/>
      <c r="D212" s="70"/>
      <c r="E212" s="65"/>
      <c r="F212" s="65"/>
      <c r="G212" s="66"/>
      <c r="H212" s="65"/>
      <c r="I212" s="67"/>
      <c r="J212" s="67"/>
      <c r="K212" s="66"/>
      <c r="L212" s="67"/>
      <c r="M212" s="67"/>
      <c r="N212" s="66"/>
      <c r="O212" s="67"/>
      <c r="P212" s="67"/>
      <c r="Q212" s="66"/>
      <c r="R212" s="67"/>
      <c r="S212" s="67"/>
      <c r="T212" s="66"/>
      <c r="U212" s="67"/>
      <c r="V212" s="67"/>
      <c r="W212" s="66"/>
      <c r="X212" s="67"/>
      <c r="Y212" s="67"/>
      <c r="Z212" s="66"/>
      <c r="AA212" s="67"/>
      <c r="AB212" s="67"/>
      <c r="AC212" s="66"/>
      <c r="AD212" s="65"/>
      <c r="AE212" s="65"/>
      <c r="AF212" s="66"/>
      <c r="AG212" s="65"/>
      <c r="AH212" s="65"/>
      <c r="AI212" s="66"/>
      <c r="AJ212" s="65"/>
      <c r="AK212" s="65"/>
      <c r="AL212" s="66"/>
      <c r="AM212" s="65"/>
      <c r="AN212" s="65"/>
      <c r="AO212" s="66"/>
      <c r="AP212" s="65"/>
      <c r="AQ212" s="65"/>
      <c r="AR212" s="66"/>
      <c r="AS212" s="65"/>
      <c r="AT212" s="65"/>
      <c r="AU212" s="66"/>
      <c r="AV212" s="65"/>
      <c r="AW212" s="65"/>
      <c r="AX212" s="66"/>
      <c r="AY212" s="65"/>
      <c r="AZ212" s="65"/>
      <c r="BA212" s="66"/>
      <c r="BB212" s="68"/>
      <c r="BC212" s="65"/>
      <c r="BD212" s="65"/>
      <c r="BE212" s="65"/>
      <c r="BF212" s="65"/>
      <c r="BG212" s="65"/>
      <c r="BH212" s="65"/>
      <c r="BI212" s="65"/>
      <c r="BJ212" s="68"/>
      <c r="BK212" s="65"/>
      <c r="BL212" s="65"/>
      <c r="BM212" s="65"/>
      <c r="BN212" s="65"/>
      <c r="BO212" s="65"/>
      <c r="BP212" s="65"/>
      <c r="BQ212" s="90"/>
      <c r="BR212" s="69"/>
      <c r="BS212" s="67"/>
      <c r="BT212" s="67"/>
      <c r="BU212" s="67"/>
      <c r="BV212" s="67"/>
      <c r="BW212" s="67"/>
      <c r="BX212" s="67"/>
      <c r="BY212" s="67"/>
      <c r="BZ212" s="69"/>
      <c r="CA212" s="67"/>
      <c r="CB212" s="67"/>
      <c r="CC212" s="67"/>
      <c r="CD212" s="67"/>
      <c r="CE212" s="67"/>
      <c r="CF212" s="67"/>
      <c r="CG212" s="116"/>
    </row>
    <row r="213" spans="2:85" ht="15" thickBot="1" x14ac:dyDescent="0.35">
      <c r="B213" s="421"/>
      <c r="C213" s="422"/>
      <c r="D213" s="82"/>
      <c r="E213" s="83"/>
      <c r="F213" s="83"/>
      <c r="G213" s="84"/>
      <c r="H213" s="83"/>
      <c r="I213" s="85"/>
      <c r="J213" s="85"/>
      <c r="K213" s="84"/>
      <c r="L213" s="85"/>
      <c r="M213" s="85"/>
      <c r="N213" s="84"/>
      <c r="O213" s="85"/>
      <c r="P213" s="85"/>
      <c r="Q213" s="84"/>
      <c r="R213" s="85"/>
      <c r="S213" s="85"/>
      <c r="T213" s="84"/>
      <c r="U213" s="85"/>
      <c r="V213" s="85"/>
      <c r="W213" s="84"/>
      <c r="X213" s="85"/>
      <c r="Y213" s="85"/>
      <c r="Z213" s="84"/>
      <c r="AA213" s="85"/>
      <c r="AB213" s="85"/>
      <c r="AC213" s="84"/>
      <c r="AD213" s="83"/>
      <c r="AE213" s="83"/>
      <c r="AF213" s="84"/>
      <c r="AG213" s="83"/>
      <c r="AH213" s="83"/>
      <c r="AI213" s="84"/>
      <c r="AJ213" s="83"/>
      <c r="AK213" s="83"/>
      <c r="AL213" s="84"/>
      <c r="AM213" s="83"/>
      <c r="AN213" s="83"/>
      <c r="AO213" s="84"/>
      <c r="AP213" s="83"/>
      <c r="AQ213" s="83"/>
      <c r="AR213" s="84"/>
      <c r="AS213" s="83"/>
      <c r="AT213" s="83"/>
      <c r="AU213" s="84"/>
      <c r="AV213" s="83"/>
      <c r="AW213" s="83"/>
      <c r="AX213" s="84"/>
      <c r="AY213" s="83"/>
      <c r="AZ213" s="83"/>
      <c r="BA213" s="84"/>
      <c r="BB213" s="86"/>
      <c r="BC213" s="83"/>
      <c r="BD213" s="83"/>
      <c r="BE213" s="83"/>
      <c r="BF213" s="83"/>
      <c r="BG213" s="83"/>
      <c r="BH213" s="83"/>
      <c r="BI213" s="83"/>
      <c r="BJ213" s="86"/>
      <c r="BK213" s="83"/>
      <c r="BL213" s="83"/>
      <c r="BM213" s="83"/>
      <c r="BN213" s="83"/>
      <c r="BO213" s="83"/>
      <c r="BP213" s="83"/>
      <c r="BQ213" s="93"/>
      <c r="BR213" s="64"/>
      <c r="BS213" s="85"/>
      <c r="BT213" s="85"/>
      <c r="BU213" s="85"/>
      <c r="BV213" s="85"/>
      <c r="BW213" s="85"/>
      <c r="BX213" s="85"/>
      <c r="BY213" s="85"/>
      <c r="BZ213" s="64"/>
      <c r="CA213" s="85"/>
      <c r="CB213" s="85"/>
      <c r="CC213" s="85"/>
      <c r="CD213" s="85"/>
      <c r="CE213" s="85"/>
      <c r="CF213" s="85"/>
      <c r="CG213" s="117"/>
    </row>
  </sheetData>
  <mergeCells count="121">
    <mergeCell ref="B134:B137"/>
    <mergeCell ref="C134:C137"/>
    <mergeCell ref="B186:B189"/>
    <mergeCell ref="C186:C189"/>
    <mergeCell ref="B190:B193"/>
    <mergeCell ref="C190:C193"/>
    <mergeCell ref="B170:B173"/>
    <mergeCell ref="C170:C173"/>
    <mergeCell ref="B174:B177"/>
    <mergeCell ref="C174:C177"/>
    <mergeCell ref="B178:B181"/>
    <mergeCell ref="C178:C181"/>
    <mergeCell ref="B138:B141"/>
    <mergeCell ref="C138:C141"/>
    <mergeCell ref="B142:B145"/>
    <mergeCell ref="C142:C145"/>
    <mergeCell ref="B182:B185"/>
    <mergeCell ref="C182:C185"/>
    <mergeCell ref="C158:C161"/>
    <mergeCell ref="B162:B165"/>
    <mergeCell ref="C162:C165"/>
    <mergeCell ref="B166:B169"/>
    <mergeCell ref="C166:C169"/>
    <mergeCell ref="B146:B149"/>
    <mergeCell ref="C146:C149"/>
    <mergeCell ref="B150:B153"/>
    <mergeCell ref="C150:C153"/>
    <mergeCell ref="B154:B157"/>
    <mergeCell ref="B206:B209"/>
    <mergeCell ref="C206:C209"/>
    <mergeCell ref="B210:B213"/>
    <mergeCell ref="C210:C213"/>
    <mergeCell ref="B194:B197"/>
    <mergeCell ref="C194:C197"/>
    <mergeCell ref="B198:B201"/>
    <mergeCell ref="C198:C201"/>
    <mergeCell ref="B202:B205"/>
    <mergeCell ref="C202:C205"/>
    <mergeCell ref="C154:C157"/>
    <mergeCell ref="B158:B161"/>
    <mergeCell ref="B122:B125"/>
    <mergeCell ref="C122:C125"/>
    <mergeCell ref="B126:B129"/>
    <mergeCell ref="C126:C129"/>
    <mergeCell ref="B130:B133"/>
    <mergeCell ref="C130:C133"/>
    <mergeCell ref="C54:C57"/>
    <mergeCell ref="B58:B61"/>
    <mergeCell ref="C58:C61"/>
    <mergeCell ref="B110:B113"/>
    <mergeCell ref="C110:C113"/>
    <mergeCell ref="B114:B117"/>
    <mergeCell ref="C114:C117"/>
    <mergeCell ref="B118:B121"/>
    <mergeCell ref="C118:C121"/>
    <mergeCell ref="B98:B101"/>
    <mergeCell ref="C98:C101"/>
    <mergeCell ref="B102:B105"/>
    <mergeCell ref="C102:C105"/>
    <mergeCell ref="B106:B109"/>
    <mergeCell ref="C106:C109"/>
    <mergeCell ref="C26:C29"/>
    <mergeCell ref="B30:B33"/>
    <mergeCell ref="C30:C33"/>
    <mergeCell ref="B34:B37"/>
    <mergeCell ref="C34:C37"/>
    <mergeCell ref="B90:B93"/>
    <mergeCell ref="C90:C93"/>
    <mergeCell ref="B94:B97"/>
    <mergeCell ref="C94:C97"/>
    <mergeCell ref="B74:B77"/>
    <mergeCell ref="C74:C77"/>
    <mergeCell ref="B78:B81"/>
    <mergeCell ref="C78:C81"/>
    <mergeCell ref="B82:B85"/>
    <mergeCell ref="C82:C85"/>
    <mergeCell ref="B62:B65"/>
    <mergeCell ref="C62:C65"/>
    <mergeCell ref="B66:B69"/>
    <mergeCell ref="C66:C69"/>
    <mergeCell ref="B70:B73"/>
    <mergeCell ref="C70:C73"/>
    <mergeCell ref="B50:B53"/>
    <mergeCell ref="C50:C53"/>
    <mergeCell ref="B54:B57"/>
    <mergeCell ref="B14:B17"/>
    <mergeCell ref="C14:C17"/>
    <mergeCell ref="B86:B89"/>
    <mergeCell ref="C86:C89"/>
    <mergeCell ref="B4:D5"/>
    <mergeCell ref="E4:G4"/>
    <mergeCell ref="I4:K4"/>
    <mergeCell ref="L4:N4"/>
    <mergeCell ref="O4:Q4"/>
    <mergeCell ref="B18:B21"/>
    <mergeCell ref="C18:C21"/>
    <mergeCell ref="B22:B25"/>
    <mergeCell ref="C22:C25"/>
    <mergeCell ref="B6:B9"/>
    <mergeCell ref="C6:C9"/>
    <mergeCell ref="B10:B13"/>
    <mergeCell ref="C10:C13"/>
    <mergeCell ref="B38:B41"/>
    <mergeCell ref="C38:C41"/>
    <mergeCell ref="B42:B45"/>
    <mergeCell ref="C42:C45"/>
    <mergeCell ref="B46:B49"/>
    <mergeCell ref="C46:C49"/>
    <mergeCell ref="B26:B29"/>
    <mergeCell ref="AV4:AX4"/>
    <mergeCell ref="AY4:BA4"/>
    <mergeCell ref="U4:W4"/>
    <mergeCell ref="X4:Z4"/>
    <mergeCell ref="AA4:AC4"/>
    <mergeCell ref="AD4:AF4"/>
    <mergeCell ref="AG4:AI4"/>
    <mergeCell ref="AJ4:AL4"/>
    <mergeCell ref="R4:T4"/>
    <mergeCell ref="AM4:AO4"/>
    <mergeCell ref="AP4:AR4"/>
    <mergeCell ref="AS4:AU4"/>
  </mergeCells>
  <pageMargins left="0.7" right="0.7" top="0.78740157499999996" bottom="0.78740157499999996" header="0.3" footer="0.3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B47"/>
  <sheetViews>
    <sheetView zoomScale="70" zoomScaleNormal="70" workbookViewId="0">
      <selection activeCell="B2" sqref="B2:AL2"/>
    </sheetView>
  </sheetViews>
  <sheetFormatPr defaultColWidth="11.5546875" defaultRowHeight="14.4" x14ac:dyDescent="0.3"/>
  <cols>
    <col min="1" max="1" width="4.44140625" customWidth="1"/>
    <col min="3" max="3" width="12.33203125" customWidth="1"/>
    <col min="4" max="24" width="4.5546875" style="9" customWidth="1"/>
    <col min="35" max="35" width="13.33203125" bestFit="1" customWidth="1"/>
    <col min="39" max="39" width="3.88671875" customWidth="1"/>
  </cols>
  <sheetData>
    <row r="2" spans="2:54" s="299" customFormat="1" ht="17.399999999999999" x14ac:dyDescent="0.3">
      <c r="B2" s="457" t="s">
        <v>1216</v>
      </c>
      <c r="C2" s="457"/>
      <c r="D2" s="457"/>
      <c r="E2" s="457"/>
      <c r="F2" s="457"/>
      <c r="G2" s="457"/>
      <c r="H2" s="457"/>
      <c r="I2" s="457"/>
      <c r="J2" s="457"/>
      <c r="K2" s="457"/>
      <c r="L2" s="457"/>
      <c r="M2" s="457"/>
      <c r="N2" s="457"/>
      <c r="O2" s="457"/>
      <c r="P2" s="457"/>
      <c r="Q2" s="457"/>
      <c r="R2" s="457"/>
      <c r="S2" s="457"/>
      <c r="T2" s="457"/>
      <c r="U2" s="457"/>
      <c r="V2" s="457"/>
      <c r="W2" s="457"/>
      <c r="X2" s="457"/>
      <c r="Y2" s="457"/>
      <c r="Z2" s="457"/>
      <c r="AA2" s="457"/>
      <c r="AB2" s="457"/>
      <c r="AC2" s="457"/>
      <c r="AD2" s="457"/>
      <c r="AE2" s="457"/>
      <c r="AF2" s="457"/>
      <c r="AG2" s="457"/>
      <c r="AH2" s="457"/>
      <c r="AI2" s="457"/>
      <c r="AJ2" s="457"/>
      <c r="AK2" s="457"/>
      <c r="AL2" s="457"/>
      <c r="AM2" s="300"/>
      <c r="AN2" s="300"/>
      <c r="AO2" s="300"/>
      <c r="AP2" s="300"/>
      <c r="AQ2" s="300"/>
      <c r="AR2" s="300"/>
      <c r="AS2" s="300"/>
      <c r="AT2" s="300"/>
      <c r="AU2" s="300"/>
      <c r="AV2" s="300"/>
      <c r="AW2" s="300"/>
      <c r="AX2" s="300"/>
      <c r="AY2" s="300"/>
      <c r="AZ2" s="300"/>
      <c r="BA2" s="300"/>
      <c r="BB2" s="300"/>
    </row>
    <row r="3" spans="2:54" ht="15" thickBot="1" x14ac:dyDescent="0.35"/>
    <row r="4" spans="2:54" x14ac:dyDescent="0.3">
      <c r="B4" s="468" t="s">
        <v>1077</v>
      </c>
      <c r="C4" s="469"/>
      <c r="D4" s="465" t="s">
        <v>792</v>
      </c>
      <c r="E4" s="465"/>
      <c r="F4" s="465"/>
      <c r="G4" s="466" t="s">
        <v>793</v>
      </c>
      <c r="H4" s="465"/>
      <c r="I4" s="467"/>
      <c r="J4" s="465" t="s">
        <v>794</v>
      </c>
      <c r="K4" s="465"/>
      <c r="L4" s="465"/>
      <c r="M4" s="466" t="s">
        <v>795</v>
      </c>
      <c r="N4" s="465"/>
      <c r="O4" s="467"/>
      <c r="P4" s="465" t="s">
        <v>796</v>
      </c>
      <c r="Q4" s="465"/>
      <c r="R4" s="465"/>
      <c r="S4" s="466" t="s">
        <v>797</v>
      </c>
      <c r="T4" s="465"/>
      <c r="U4" s="467"/>
      <c r="V4" s="465" t="s">
        <v>798</v>
      </c>
      <c r="W4" s="465"/>
      <c r="X4" s="465"/>
      <c r="Y4" s="458" t="s">
        <v>1075</v>
      </c>
      <c r="Z4" s="459"/>
      <c r="AA4" s="459"/>
      <c r="AB4" s="459"/>
      <c r="AC4" s="459"/>
      <c r="AD4" s="459"/>
      <c r="AE4" s="460"/>
      <c r="AF4" s="461" t="s">
        <v>1074</v>
      </c>
      <c r="AG4" s="459"/>
      <c r="AH4" s="459"/>
      <c r="AI4" s="459"/>
      <c r="AJ4" s="459"/>
      <c r="AK4" s="459"/>
      <c r="AL4" s="460"/>
    </row>
    <row r="5" spans="2:54" ht="15" thickBot="1" x14ac:dyDescent="0.35">
      <c r="B5" s="470"/>
      <c r="C5" s="471"/>
      <c r="D5" s="200">
        <v>1</v>
      </c>
      <c r="E5" s="198">
        <v>2</v>
      </c>
      <c r="F5" s="233">
        <v>3</v>
      </c>
      <c r="G5" s="197">
        <v>1</v>
      </c>
      <c r="H5" s="198">
        <v>2</v>
      </c>
      <c r="I5" s="199">
        <v>3</v>
      </c>
      <c r="J5" s="200">
        <v>1</v>
      </c>
      <c r="K5" s="198">
        <v>2</v>
      </c>
      <c r="L5" s="233">
        <v>3</v>
      </c>
      <c r="M5" s="197">
        <v>1</v>
      </c>
      <c r="N5" s="198">
        <v>2</v>
      </c>
      <c r="O5" s="199">
        <v>3</v>
      </c>
      <c r="P5" s="200">
        <v>1</v>
      </c>
      <c r="Q5" s="198">
        <v>2</v>
      </c>
      <c r="R5" s="233">
        <v>3</v>
      </c>
      <c r="S5" s="197">
        <v>1</v>
      </c>
      <c r="T5" s="198">
        <v>2</v>
      </c>
      <c r="U5" s="199">
        <v>3</v>
      </c>
      <c r="V5" s="200">
        <v>1</v>
      </c>
      <c r="W5" s="198">
        <v>2</v>
      </c>
      <c r="X5" s="233">
        <v>3</v>
      </c>
      <c r="Y5" s="197">
        <v>2</v>
      </c>
      <c r="Z5" s="198">
        <v>4</v>
      </c>
      <c r="AA5" s="198">
        <v>6</v>
      </c>
      <c r="AB5" s="198">
        <v>8</v>
      </c>
      <c r="AC5" s="198">
        <v>10</v>
      </c>
      <c r="AD5" s="198">
        <v>12</v>
      </c>
      <c r="AE5" s="199">
        <v>14</v>
      </c>
      <c r="AF5" s="200">
        <v>2</v>
      </c>
      <c r="AG5" s="198">
        <v>4</v>
      </c>
      <c r="AH5" s="198">
        <v>6</v>
      </c>
      <c r="AI5" s="198">
        <v>8</v>
      </c>
      <c r="AJ5" s="198">
        <v>10</v>
      </c>
      <c r="AK5" s="198">
        <v>12</v>
      </c>
      <c r="AL5" s="199">
        <v>14</v>
      </c>
    </row>
    <row r="6" spans="2:54" x14ac:dyDescent="0.3">
      <c r="B6" s="463" t="s">
        <v>205</v>
      </c>
      <c r="C6" s="210" t="s">
        <v>802</v>
      </c>
      <c r="D6" s="241">
        <v>25</v>
      </c>
      <c r="E6" s="2">
        <v>25</v>
      </c>
      <c r="F6" s="242">
        <v>33.333333333333329</v>
      </c>
      <c r="G6" s="241">
        <v>50</v>
      </c>
      <c r="H6" s="2">
        <v>58.333333333333329</v>
      </c>
      <c r="I6" s="3">
        <v>66.666666666666657</v>
      </c>
      <c r="J6" s="243">
        <v>75</v>
      </c>
      <c r="K6" s="2">
        <v>83.333333333333329</v>
      </c>
      <c r="L6" s="242">
        <v>91.666666666666671</v>
      </c>
      <c r="M6" s="241">
        <v>100</v>
      </c>
      <c r="N6" s="2">
        <v>100</v>
      </c>
      <c r="O6" s="3">
        <v>91.666666666666671</v>
      </c>
      <c r="P6" s="243">
        <v>100</v>
      </c>
      <c r="Q6" s="2">
        <v>100</v>
      </c>
      <c r="R6" s="242">
        <v>100</v>
      </c>
      <c r="S6" s="241">
        <v>100</v>
      </c>
      <c r="T6" s="2">
        <v>100</v>
      </c>
      <c r="U6" s="3">
        <v>100</v>
      </c>
      <c r="V6" s="243">
        <v>100</v>
      </c>
      <c r="W6" s="2">
        <v>100</v>
      </c>
      <c r="X6" s="3">
        <v>100</v>
      </c>
      <c r="Y6" s="170">
        <v>9.1260244443985325E-2</v>
      </c>
      <c r="Z6" s="187">
        <v>1.7540467488889166E-2</v>
      </c>
      <c r="AA6" s="220">
        <v>3.9671125775417957E-3</v>
      </c>
      <c r="AB6" s="220">
        <v>1.6751163478193741E-3</v>
      </c>
      <c r="AC6" s="220">
        <v>1.3238969092171551E-3</v>
      </c>
      <c r="AD6" s="220">
        <v>1.3238969092171551E-3</v>
      </c>
      <c r="AE6" s="222">
        <v>1.3238969092171551E-3</v>
      </c>
      <c r="AF6" s="170">
        <v>5.5040608952497891E-2</v>
      </c>
      <c r="AG6" s="220">
        <v>1.3238969092171787E-3</v>
      </c>
      <c r="AH6" s="215">
        <v>1.5725977073555863E-4</v>
      </c>
      <c r="AI6" s="215">
        <v>8.4163618145782628E-6</v>
      </c>
      <c r="AJ6" s="215">
        <v>9.679103704759986E-6</v>
      </c>
      <c r="AK6" s="215">
        <v>9.679103704759986E-6</v>
      </c>
      <c r="AL6" s="228">
        <v>9.679103704759986E-6</v>
      </c>
      <c r="AN6" s="189"/>
      <c r="AO6" s="191" t="s">
        <v>1071</v>
      </c>
    </row>
    <row r="7" spans="2:54" x14ac:dyDescent="0.3">
      <c r="B7" s="463"/>
      <c r="C7" s="211" t="s">
        <v>803</v>
      </c>
      <c r="D7" s="99">
        <v>25</v>
      </c>
      <c r="E7" s="4">
        <v>33.333333333333329</v>
      </c>
      <c r="F7" s="110">
        <v>33.333333333333329</v>
      </c>
      <c r="G7" s="99">
        <v>50</v>
      </c>
      <c r="H7" s="4">
        <v>50</v>
      </c>
      <c r="I7" s="5">
        <v>58.333333333333329</v>
      </c>
      <c r="J7" s="107">
        <v>58.333333333333329</v>
      </c>
      <c r="K7" s="4">
        <v>58.333333333333329</v>
      </c>
      <c r="L7" s="110">
        <v>83.333333333333329</v>
      </c>
      <c r="M7" s="99">
        <v>75</v>
      </c>
      <c r="N7" s="4">
        <v>75</v>
      </c>
      <c r="O7" s="5">
        <v>83.333333333333329</v>
      </c>
      <c r="P7" s="107">
        <v>75</v>
      </c>
      <c r="Q7" s="4">
        <v>75</v>
      </c>
      <c r="R7" s="110">
        <v>91.666666666666671</v>
      </c>
      <c r="S7" s="99">
        <v>91.666666666666671</v>
      </c>
      <c r="T7" s="4">
        <v>91.666666666666671</v>
      </c>
      <c r="U7" s="5">
        <v>100</v>
      </c>
      <c r="V7" s="107">
        <v>100</v>
      </c>
      <c r="W7" s="4">
        <v>91.666666666666671</v>
      </c>
      <c r="X7" s="5">
        <v>100</v>
      </c>
      <c r="Y7" s="171">
        <v>6.4676893956352288E-2</v>
      </c>
      <c r="Z7" s="186">
        <v>2.2002868057878162E-2</v>
      </c>
      <c r="AA7" s="186">
        <v>1.6130089900092438E-2</v>
      </c>
      <c r="AB7" s="176">
        <v>4.3375364656330576E-3</v>
      </c>
      <c r="AC7" s="176">
        <v>5.0239982619529376E-3</v>
      </c>
      <c r="AD7" s="176">
        <v>1.8956685543003863E-3</v>
      </c>
      <c r="AE7" s="223">
        <v>1.6751163478193741E-3</v>
      </c>
      <c r="AF7" s="219">
        <v>3.5168452805355375E-2</v>
      </c>
      <c r="AG7" s="227">
        <v>5.8441061530279705E-4</v>
      </c>
      <c r="AH7" s="176">
        <v>3.8825370469605224E-3</v>
      </c>
      <c r="AI7" s="227">
        <v>2.526399759245652E-5</v>
      </c>
      <c r="AJ7" s="227">
        <v>7.1627610684007526E-4</v>
      </c>
      <c r="AK7" s="227">
        <v>5.1499152873083329E-5</v>
      </c>
      <c r="AL7" s="229">
        <v>4.4346000276003462E-5</v>
      </c>
      <c r="AN7" s="188"/>
      <c r="AO7" s="191" t="s">
        <v>1072</v>
      </c>
    </row>
    <row r="8" spans="2:54" x14ac:dyDescent="0.3">
      <c r="B8" s="463"/>
      <c r="C8" s="211" t="s">
        <v>804</v>
      </c>
      <c r="D8" s="99">
        <v>8.3333333333333286</v>
      </c>
      <c r="E8" s="4">
        <v>0</v>
      </c>
      <c r="F8" s="110">
        <v>16.666666666666657</v>
      </c>
      <c r="G8" s="99">
        <v>16.666666666666657</v>
      </c>
      <c r="H8" s="4">
        <v>8.3333333333333286</v>
      </c>
      <c r="I8" s="5">
        <v>33.333333333333329</v>
      </c>
      <c r="J8" s="107">
        <v>41.666666666666664</v>
      </c>
      <c r="K8" s="4">
        <v>25</v>
      </c>
      <c r="L8" s="110">
        <v>41.666666666666664</v>
      </c>
      <c r="M8" s="99">
        <v>50</v>
      </c>
      <c r="N8" s="4">
        <v>33.333333333333329</v>
      </c>
      <c r="O8" s="5">
        <v>50</v>
      </c>
      <c r="P8" s="107">
        <v>75</v>
      </c>
      <c r="Q8" s="4">
        <v>50</v>
      </c>
      <c r="R8" s="110">
        <v>58.333333333333329</v>
      </c>
      <c r="S8" s="99">
        <v>75</v>
      </c>
      <c r="T8" s="4">
        <v>58.333333333333329</v>
      </c>
      <c r="U8" s="5">
        <v>58.333333333333329</v>
      </c>
      <c r="V8" s="107">
        <v>75</v>
      </c>
      <c r="W8" s="4">
        <v>75</v>
      </c>
      <c r="X8" s="5">
        <v>83.333333333333329</v>
      </c>
      <c r="Y8" s="171">
        <v>1</v>
      </c>
      <c r="Z8" s="161">
        <v>0.56553326645286539</v>
      </c>
      <c r="AA8" s="161">
        <v>0.11447718951146914</v>
      </c>
      <c r="AB8" s="161">
        <v>5.5040608952499057E-2</v>
      </c>
      <c r="AC8" s="186">
        <v>1.9890757326238809E-2</v>
      </c>
      <c r="AD8" s="186">
        <v>1.3173523377604907E-2</v>
      </c>
      <c r="AE8" s="223">
        <v>4.3375364656330576E-3</v>
      </c>
      <c r="AF8" s="171">
        <v>0.72465863649609663</v>
      </c>
      <c r="AG8" s="161">
        <v>0.51851851851851871</v>
      </c>
      <c r="AH8" s="186">
        <v>2.4896163460222404E-2</v>
      </c>
      <c r="AI8" s="176">
        <v>7.4904338812745042E-3</v>
      </c>
      <c r="AJ8" s="176">
        <v>7.7626026898707122E-3</v>
      </c>
      <c r="AK8" s="176">
        <v>2.5702607653999357E-3</v>
      </c>
      <c r="AL8" s="229">
        <v>1.4512817061319857E-4</v>
      </c>
      <c r="AN8" s="190"/>
      <c r="AO8" s="191" t="s">
        <v>1073</v>
      </c>
    </row>
    <row r="9" spans="2:54" ht="15" thickBot="1" x14ac:dyDescent="0.35">
      <c r="B9" s="463"/>
      <c r="C9" s="212" t="s">
        <v>805</v>
      </c>
      <c r="D9" s="244">
        <v>8.3333333333333286</v>
      </c>
      <c r="E9" s="245">
        <v>0</v>
      </c>
      <c r="F9" s="246">
        <v>8.3333333333333286</v>
      </c>
      <c r="G9" s="244">
        <v>33.333333333333329</v>
      </c>
      <c r="H9" s="245">
        <v>16.666666666666657</v>
      </c>
      <c r="I9" s="247">
        <v>16.666666666666657</v>
      </c>
      <c r="J9" s="248">
        <v>66.666666666666657</v>
      </c>
      <c r="K9" s="245">
        <v>50</v>
      </c>
      <c r="L9" s="246">
        <v>41.666666666666664</v>
      </c>
      <c r="M9" s="244">
        <v>66.666666666666657</v>
      </c>
      <c r="N9" s="245">
        <v>58.333333333333329</v>
      </c>
      <c r="O9" s="247">
        <v>50</v>
      </c>
      <c r="P9" s="248">
        <v>75</v>
      </c>
      <c r="Q9" s="245">
        <v>100</v>
      </c>
      <c r="R9" s="246">
        <v>91.666666666666671</v>
      </c>
      <c r="S9" s="244">
        <v>75</v>
      </c>
      <c r="T9" s="245">
        <v>100</v>
      </c>
      <c r="U9" s="247">
        <v>91.666666666666671</v>
      </c>
      <c r="V9" s="248">
        <v>83.333333333333329</v>
      </c>
      <c r="W9" s="245">
        <v>100</v>
      </c>
      <c r="X9" s="247">
        <v>91.666666666666671</v>
      </c>
      <c r="Y9" s="204">
        <v>0.76764391523890274</v>
      </c>
      <c r="Z9" s="203">
        <v>0.42164825517619364</v>
      </c>
      <c r="AA9" s="216">
        <v>3.5262876320844398E-2</v>
      </c>
      <c r="AB9" s="216">
        <v>1.7540467488889166E-2</v>
      </c>
      <c r="AC9" s="221">
        <v>4.2901734725382728E-3</v>
      </c>
      <c r="AD9" s="221">
        <v>4.2901734725382728E-3</v>
      </c>
      <c r="AE9" s="224">
        <v>2.6505190725968834E-3</v>
      </c>
      <c r="AF9" s="204">
        <v>0.42164825517619187</v>
      </c>
      <c r="AG9" s="203">
        <v>0.25081535976844788</v>
      </c>
      <c r="AH9" s="221">
        <v>7.9662024526083505E-3</v>
      </c>
      <c r="AI9" s="230">
        <v>9.7808861913730089E-4</v>
      </c>
      <c r="AJ9" s="221">
        <v>1.0575646158306887E-3</v>
      </c>
      <c r="AK9" s="221">
        <v>1.0575646158306887E-3</v>
      </c>
      <c r="AL9" s="231">
        <v>2.3561604689270108E-4</v>
      </c>
      <c r="AN9" s="306"/>
      <c r="AO9" s="191"/>
    </row>
    <row r="10" spans="2:54" x14ac:dyDescent="0.3">
      <c r="B10" s="462" t="s">
        <v>342</v>
      </c>
      <c r="C10" s="213" t="s">
        <v>802</v>
      </c>
      <c r="D10" s="241">
        <v>33.333333333333329</v>
      </c>
      <c r="E10" s="2">
        <v>33.333333333333329</v>
      </c>
      <c r="F10" s="242">
        <v>16.666666666666657</v>
      </c>
      <c r="G10" s="241">
        <v>83.333333333333329</v>
      </c>
      <c r="H10" s="2">
        <v>58.333333333333329</v>
      </c>
      <c r="I10" s="3">
        <v>66.666666666666657</v>
      </c>
      <c r="J10" s="243">
        <v>100</v>
      </c>
      <c r="K10" s="2">
        <v>100</v>
      </c>
      <c r="L10" s="242">
        <v>100</v>
      </c>
      <c r="M10" s="241">
        <v>100</v>
      </c>
      <c r="N10" s="2">
        <v>100</v>
      </c>
      <c r="O10" s="3">
        <v>100</v>
      </c>
      <c r="P10" s="243">
        <v>100</v>
      </c>
      <c r="Q10" s="2">
        <v>100</v>
      </c>
      <c r="R10" s="242">
        <v>100</v>
      </c>
      <c r="S10" s="241">
        <v>100</v>
      </c>
      <c r="T10" s="2">
        <v>100</v>
      </c>
      <c r="U10" s="3">
        <v>100</v>
      </c>
      <c r="V10" s="243">
        <v>100</v>
      </c>
      <c r="W10" s="2">
        <v>100</v>
      </c>
      <c r="X10" s="3">
        <v>100</v>
      </c>
      <c r="Y10" s="170">
        <v>0.12417023554784117</v>
      </c>
      <c r="Z10" s="187">
        <v>1.1886017467060141E-2</v>
      </c>
      <c r="AA10" s="220">
        <v>1.3238969092171551E-3</v>
      </c>
      <c r="AB10" s="220">
        <v>1.3238969092171551E-3</v>
      </c>
      <c r="AC10" s="220">
        <v>1.3238969092171551E-3</v>
      </c>
      <c r="AD10" s="220">
        <v>1.3238969092171551E-3</v>
      </c>
      <c r="AE10" s="222">
        <v>1.3238969092171551E-3</v>
      </c>
      <c r="AF10" s="170">
        <v>0.10119150721829434</v>
      </c>
      <c r="AG10" s="220">
        <v>2.1106458450912738E-3</v>
      </c>
      <c r="AH10" s="215">
        <v>5.0871619788914764E-33</v>
      </c>
      <c r="AI10" s="215">
        <v>5.0871619788914764E-33</v>
      </c>
      <c r="AJ10" s="215">
        <v>9.679103704759986E-6</v>
      </c>
      <c r="AK10" s="215">
        <v>9.679103704759986E-6</v>
      </c>
      <c r="AL10" s="228">
        <v>9.679103704759986E-6</v>
      </c>
    </row>
    <row r="11" spans="2:54" x14ac:dyDescent="0.3">
      <c r="B11" s="463"/>
      <c r="C11" s="211" t="s">
        <v>803</v>
      </c>
      <c r="D11" s="99">
        <v>25</v>
      </c>
      <c r="E11" s="4">
        <v>25</v>
      </c>
      <c r="F11" s="110">
        <v>25</v>
      </c>
      <c r="G11" s="99">
        <v>58.333333333333329</v>
      </c>
      <c r="H11" s="4">
        <v>66.666666666666657</v>
      </c>
      <c r="I11" s="5">
        <v>41.666666666666664</v>
      </c>
      <c r="J11" s="107">
        <v>83.333333333333329</v>
      </c>
      <c r="K11" s="4">
        <v>75</v>
      </c>
      <c r="L11" s="110">
        <v>75</v>
      </c>
      <c r="M11" s="99">
        <v>83.333333333333329</v>
      </c>
      <c r="N11" s="4">
        <v>83.333333333333329</v>
      </c>
      <c r="O11" s="5">
        <v>83.333333333333329</v>
      </c>
      <c r="P11" s="107">
        <v>100</v>
      </c>
      <c r="Q11" s="4">
        <v>100</v>
      </c>
      <c r="R11" s="110">
        <v>100</v>
      </c>
      <c r="S11" s="99">
        <v>100</v>
      </c>
      <c r="T11" s="4">
        <v>100</v>
      </c>
      <c r="U11" s="5">
        <v>100</v>
      </c>
      <c r="V11" s="107">
        <v>100</v>
      </c>
      <c r="W11" s="4">
        <v>100</v>
      </c>
      <c r="X11" s="5">
        <v>100</v>
      </c>
      <c r="Y11" s="171">
        <v>0.11611652351681545</v>
      </c>
      <c r="Z11" s="186">
        <v>2.8937152353813219E-2</v>
      </c>
      <c r="AA11" s="176">
        <v>4.3375364656330576E-3</v>
      </c>
      <c r="AB11" s="176">
        <v>2.8900071171007089E-3</v>
      </c>
      <c r="AC11" s="176">
        <v>1.3238969092171551E-3</v>
      </c>
      <c r="AD11" s="176">
        <v>1.3238969092171551E-3</v>
      </c>
      <c r="AE11" s="223">
        <v>1.3238969092171551E-3</v>
      </c>
      <c r="AF11" s="171">
        <v>6.6766544811986697E-2</v>
      </c>
      <c r="AG11" s="176">
        <v>6.0736116518899054E-3</v>
      </c>
      <c r="AH11" s="227">
        <v>2.526399759245652E-5</v>
      </c>
      <c r="AI11" s="227">
        <v>1.5717567588773901E-32</v>
      </c>
      <c r="AJ11" s="227">
        <v>9.679103704759986E-6</v>
      </c>
      <c r="AK11" s="227">
        <v>9.679103704759986E-6</v>
      </c>
      <c r="AL11" s="229">
        <v>9.679103704759986E-6</v>
      </c>
    </row>
    <row r="12" spans="2:54" x14ac:dyDescent="0.3">
      <c r="B12" s="463"/>
      <c r="C12" s="211" t="s">
        <v>804</v>
      </c>
      <c r="D12" s="99">
        <v>25</v>
      </c>
      <c r="E12" s="4">
        <v>25</v>
      </c>
      <c r="F12" s="110">
        <v>16.666666666666657</v>
      </c>
      <c r="G12" s="99">
        <v>58.333333333333329</v>
      </c>
      <c r="H12" s="4">
        <v>50</v>
      </c>
      <c r="I12" s="5">
        <v>41.666666666666664</v>
      </c>
      <c r="J12" s="107">
        <v>58.333333333333329</v>
      </c>
      <c r="K12" s="4">
        <v>58.333333333333329</v>
      </c>
      <c r="L12" s="110">
        <v>50</v>
      </c>
      <c r="M12" s="99">
        <v>58.333333333333329</v>
      </c>
      <c r="N12" s="4">
        <v>58.333333333333329</v>
      </c>
      <c r="O12" s="5">
        <v>50</v>
      </c>
      <c r="P12" s="107">
        <v>75</v>
      </c>
      <c r="Q12" s="4">
        <v>58.333333333333329</v>
      </c>
      <c r="R12" s="110">
        <v>50</v>
      </c>
      <c r="S12" s="99">
        <v>66.666666666666657</v>
      </c>
      <c r="T12" s="4">
        <v>66.666666666666657</v>
      </c>
      <c r="U12" s="5">
        <v>50</v>
      </c>
      <c r="V12" s="107">
        <v>66.666666666666657</v>
      </c>
      <c r="W12" s="4">
        <v>66.666666666666657</v>
      </c>
      <c r="X12" s="5">
        <v>50</v>
      </c>
      <c r="Y12" s="171">
        <v>0.18900365845517578</v>
      </c>
      <c r="Z12" s="186">
        <v>3.2532525130803895E-2</v>
      </c>
      <c r="AA12" s="186">
        <v>1.7832647462276936E-2</v>
      </c>
      <c r="AB12" s="186">
        <v>1.7832647462276936E-2</v>
      </c>
      <c r="AC12" s="186">
        <v>1.9890757326238809E-2</v>
      </c>
      <c r="AD12" s="186">
        <v>1.5799848495268071E-2</v>
      </c>
      <c r="AE12" s="217">
        <v>1.5799848495268071E-2</v>
      </c>
      <c r="AF12" s="171">
        <v>0.14814814814814642</v>
      </c>
      <c r="AG12" s="176">
        <v>2.8900071171007397E-3</v>
      </c>
      <c r="AH12" s="227">
        <v>1.5101140222180393E-4</v>
      </c>
      <c r="AI12" s="227">
        <v>1.5101140222180393E-4</v>
      </c>
      <c r="AJ12" s="176">
        <v>7.7626026898707122E-3</v>
      </c>
      <c r="AK12" s="176">
        <v>3.3197600095196357E-3</v>
      </c>
      <c r="AL12" s="223">
        <v>3.3197600095196357E-3</v>
      </c>
    </row>
    <row r="13" spans="2:54" ht="15" thickBot="1" x14ac:dyDescent="0.35">
      <c r="B13" s="464"/>
      <c r="C13" s="214" t="s">
        <v>805</v>
      </c>
      <c r="D13" s="100">
        <v>16.666666666666657</v>
      </c>
      <c r="E13" s="6">
        <v>25</v>
      </c>
      <c r="F13" s="111">
        <v>16.666666666666657</v>
      </c>
      <c r="G13" s="100">
        <v>25</v>
      </c>
      <c r="H13" s="6">
        <v>58.333333333333329</v>
      </c>
      <c r="I13" s="7">
        <v>25</v>
      </c>
      <c r="J13" s="108">
        <v>25</v>
      </c>
      <c r="K13" s="6">
        <v>58.333333333333329</v>
      </c>
      <c r="L13" s="111">
        <v>25</v>
      </c>
      <c r="M13" s="100">
        <v>33.333333333333329</v>
      </c>
      <c r="N13" s="6">
        <v>58.333333333333329</v>
      </c>
      <c r="O13" s="7">
        <v>25</v>
      </c>
      <c r="P13" s="108">
        <v>33.333333333333329</v>
      </c>
      <c r="Q13" s="6">
        <v>58.333333333333329</v>
      </c>
      <c r="R13" s="111">
        <v>25</v>
      </c>
      <c r="S13" s="100">
        <v>58.333333333333329</v>
      </c>
      <c r="T13" s="6">
        <v>58.333333333333329</v>
      </c>
      <c r="U13" s="7">
        <v>50</v>
      </c>
      <c r="V13" s="108">
        <v>58.333333333333329</v>
      </c>
      <c r="W13" s="6">
        <v>58.333333333333329</v>
      </c>
      <c r="X13" s="7">
        <v>50</v>
      </c>
      <c r="Y13" s="202">
        <v>0.27457662909484704</v>
      </c>
      <c r="Z13" s="194">
        <v>0.18682180013447502</v>
      </c>
      <c r="AA13" s="194">
        <v>0.18682180013447502</v>
      </c>
      <c r="AB13" s="194">
        <v>0.1368824723217705</v>
      </c>
      <c r="AC13" s="194">
        <v>0.1368824723217705</v>
      </c>
      <c r="AD13" s="208">
        <v>1.7832647462276936E-2</v>
      </c>
      <c r="AE13" s="218">
        <v>1.7832647462276936E-2</v>
      </c>
      <c r="AF13" s="202">
        <v>0.25081535976844155</v>
      </c>
      <c r="AG13" s="194">
        <v>0.12433663973800443</v>
      </c>
      <c r="AH13" s="194">
        <v>0.15501621114216677</v>
      </c>
      <c r="AI13" s="194">
        <v>9.0733171684780511E-2</v>
      </c>
      <c r="AJ13" s="194">
        <v>0.18407403195057681</v>
      </c>
      <c r="AK13" s="225">
        <v>1.0575646158306829E-3</v>
      </c>
      <c r="AL13" s="226">
        <v>1.0575646158306829E-3</v>
      </c>
    </row>
    <row r="14" spans="2:54" x14ac:dyDescent="0.3">
      <c r="B14" s="463" t="s">
        <v>444</v>
      </c>
      <c r="C14" s="210" t="s">
        <v>802</v>
      </c>
      <c r="D14" s="102">
        <v>9.0909090909090793</v>
      </c>
      <c r="E14" s="103">
        <v>6.6666666666666572</v>
      </c>
      <c r="F14" s="109">
        <v>21.428571428571431</v>
      </c>
      <c r="G14" s="102">
        <v>90.909090909090907</v>
      </c>
      <c r="H14" s="103">
        <v>73.333333333333329</v>
      </c>
      <c r="I14" s="105">
        <v>71.428571428571431</v>
      </c>
      <c r="J14" s="106">
        <v>100</v>
      </c>
      <c r="K14" s="103">
        <v>100</v>
      </c>
      <c r="L14" s="109">
        <v>100</v>
      </c>
      <c r="M14" s="102">
        <v>100</v>
      </c>
      <c r="N14" s="103">
        <v>100</v>
      </c>
      <c r="O14" s="105">
        <v>100</v>
      </c>
      <c r="P14" s="106">
        <v>100</v>
      </c>
      <c r="Q14" s="103">
        <v>100</v>
      </c>
      <c r="R14" s="109">
        <v>100</v>
      </c>
      <c r="S14" s="102">
        <v>100</v>
      </c>
      <c r="T14" s="103">
        <v>100</v>
      </c>
      <c r="U14" s="105">
        <v>100</v>
      </c>
      <c r="V14" s="106">
        <v>100</v>
      </c>
      <c r="W14" s="103">
        <v>100</v>
      </c>
      <c r="X14" s="105">
        <v>100</v>
      </c>
      <c r="Y14" s="171">
        <v>0.69110090916587985</v>
      </c>
      <c r="Z14" s="186">
        <v>6.0845339008482324E-3</v>
      </c>
      <c r="AA14" s="176">
        <v>1.3238969092171551E-3</v>
      </c>
      <c r="AB14" s="176">
        <v>1.3238969092171551E-3</v>
      </c>
      <c r="AC14" s="176">
        <v>1.3238969092171551E-3</v>
      </c>
      <c r="AD14" s="176">
        <v>1.3238969092171551E-3</v>
      </c>
      <c r="AE14" s="223">
        <v>1.3238969092171551E-3</v>
      </c>
      <c r="AF14" s="171">
        <v>0.86699166176173548</v>
      </c>
      <c r="AG14" s="227">
        <v>6.8023136411045663E-4</v>
      </c>
      <c r="AH14" s="227">
        <v>5.0871619788914764E-33</v>
      </c>
      <c r="AI14" s="227">
        <v>5.0871619788914764E-33</v>
      </c>
      <c r="AJ14" s="227">
        <v>9.679103704759986E-6</v>
      </c>
      <c r="AK14" s="227">
        <v>9.679103704759986E-6</v>
      </c>
      <c r="AL14" s="229">
        <v>9.679103704759986E-6</v>
      </c>
    </row>
    <row r="15" spans="2:54" x14ac:dyDescent="0.3">
      <c r="B15" s="463"/>
      <c r="C15" s="211" t="s">
        <v>803</v>
      </c>
      <c r="D15" s="99">
        <v>21.428571428571431</v>
      </c>
      <c r="E15" s="4">
        <v>0</v>
      </c>
      <c r="F15" s="110">
        <v>15.384615384615387</v>
      </c>
      <c r="G15" s="99">
        <v>42.857142857142854</v>
      </c>
      <c r="H15" s="4">
        <v>21.428571428571431</v>
      </c>
      <c r="I15" s="5">
        <v>38.46153846153846</v>
      </c>
      <c r="J15" s="107">
        <v>71.428571428571431</v>
      </c>
      <c r="K15" s="4">
        <v>64.285714285714278</v>
      </c>
      <c r="L15" s="110">
        <v>69.230769230769226</v>
      </c>
      <c r="M15" s="99">
        <v>85.714285714285708</v>
      </c>
      <c r="N15" s="4">
        <v>100</v>
      </c>
      <c r="O15" s="5">
        <v>92.307692307692307</v>
      </c>
      <c r="P15" s="107">
        <v>92.857142857142861</v>
      </c>
      <c r="Q15" s="4">
        <v>100</v>
      </c>
      <c r="R15" s="110">
        <v>100</v>
      </c>
      <c r="S15" s="99">
        <v>100</v>
      </c>
      <c r="T15" s="4">
        <v>100</v>
      </c>
      <c r="U15" s="5">
        <v>100</v>
      </c>
      <c r="V15" s="107">
        <v>100</v>
      </c>
      <c r="W15" s="4">
        <v>100</v>
      </c>
      <c r="X15" s="5">
        <v>100</v>
      </c>
      <c r="Y15" s="171">
        <v>0.7265449878125203</v>
      </c>
      <c r="Z15" s="161">
        <v>0.14709194818539764</v>
      </c>
      <c r="AA15" s="176">
        <v>7.1917404359277742E-3</v>
      </c>
      <c r="AB15" s="176">
        <v>2.3373047969622307E-3</v>
      </c>
      <c r="AC15" s="176">
        <v>1.5980023603038365E-3</v>
      </c>
      <c r="AD15" s="176">
        <v>1.3238969092171551E-3</v>
      </c>
      <c r="AE15" s="223">
        <v>1.3238969092171551E-3</v>
      </c>
      <c r="AF15" s="171">
        <v>0.89755504744567638</v>
      </c>
      <c r="AG15" s="186">
        <v>4.5587068416366928E-2</v>
      </c>
      <c r="AH15" s="227">
        <v>1.6597065638887023E-5</v>
      </c>
      <c r="AI15" s="227">
        <v>5.1191062827172743E-5</v>
      </c>
      <c r="AJ15" s="227">
        <v>3.2748249838261196E-5</v>
      </c>
      <c r="AK15" s="227">
        <v>9.679103704759986E-6</v>
      </c>
      <c r="AL15" s="229">
        <v>9.679103704759986E-6</v>
      </c>
    </row>
    <row r="16" spans="2:54" x14ac:dyDescent="0.3">
      <c r="B16" s="463"/>
      <c r="C16" s="211" t="s">
        <v>804</v>
      </c>
      <c r="D16" s="99">
        <v>15.384615384615387</v>
      </c>
      <c r="E16" s="4">
        <v>14.285714285714278</v>
      </c>
      <c r="F16" s="110">
        <v>7.6923076923076934</v>
      </c>
      <c r="G16" s="99">
        <v>30.769230769230774</v>
      </c>
      <c r="H16" s="4">
        <v>21.428571428571431</v>
      </c>
      <c r="I16" s="5">
        <v>15.384615384615387</v>
      </c>
      <c r="J16" s="107">
        <v>46.153846153846153</v>
      </c>
      <c r="K16" s="4">
        <v>42.857142857142854</v>
      </c>
      <c r="L16" s="110">
        <v>53.846153846153847</v>
      </c>
      <c r="M16" s="99">
        <v>61.53846153846154</v>
      </c>
      <c r="N16" s="4">
        <v>57.142857142857139</v>
      </c>
      <c r="O16" s="5">
        <v>84.615384615384613</v>
      </c>
      <c r="P16" s="107">
        <v>84.615384615384613</v>
      </c>
      <c r="Q16" s="4">
        <v>64.285714285714278</v>
      </c>
      <c r="R16" s="110">
        <v>92.307692307692307</v>
      </c>
      <c r="S16" s="99">
        <v>84.615384615384613</v>
      </c>
      <c r="T16" s="4">
        <v>71.428571428571431</v>
      </c>
      <c r="U16" s="5">
        <v>92.307692307692307</v>
      </c>
      <c r="V16" s="107">
        <v>84.615384615384613</v>
      </c>
      <c r="W16" s="4">
        <v>85.714285714285708</v>
      </c>
      <c r="X16" s="5">
        <v>100</v>
      </c>
      <c r="Y16" s="171">
        <v>0.65945528661919095</v>
      </c>
      <c r="Z16" s="161">
        <v>0.39452145810474731</v>
      </c>
      <c r="AA16" s="186">
        <v>3.4410061549242019E-2</v>
      </c>
      <c r="AB16" s="186">
        <v>1.5523394121936559E-2</v>
      </c>
      <c r="AC16" s="176">
        <v>7.5785534177483394E-3</v>
      </c>
      <c r="AD16" s="176">
        <v>4.8177210797259009E-3</v>
      </c>
      <c r="AE16" s="223">
        <v>2.9008903851538291E-3</v>
      </c>
      <c r="AF16" s="171">
        <v>0.83525646927967445</v>
      </c>
      <c r="AG16" s="161">
        <v>0.17632416345012183</v>
      </c>
      <c r="AH16" s="227">
        <v>6.2604232192727379E-5</v>
      </c>
      <c r="AI16" s="176">
        <v>3.8882973645870313E-3</v>
      </c>
      <c r="AJ16" s="176">
        <v>2.7227916745753708E-3</v>
      </c>
      <c r="AK16" s="227">
        <v>8.2964952946748419E-4</v>
      </c>
      <c r="AL16" s="229">
        <v>2.809226379484256E-4</v>
      </c>
    </row>
    <row r="17" spans="2:41" ht="15" thickBot="1" x14ac:dyDescent="0.35">
      <c r="B17" s="463"/>
      <c r="C17" s="212" t="s">
        <v>805</v>
      </c>
      <c r="D17" s="244">
        <v>13.333333333333329</v>
      </c>
      <c r="E17" s="245">
        <v>13.333333333333329</v>
      </c>
      <c r="F17" s="246">
        <v>26.666666666666657</v>
      </c>
      <c r="G17" s="244">
        <v>26.666666666666657</v>
      </c>
      <c r="H17" s="245">
        <v>40</v>
      </c>
      <c r="I17" s="247">
        <v>26.666666666666657</v>
      </c>
      <c r="J17" s="248">
        <v>60</v>
      </c>
      <c r="K17" s="245">
        <v>53.333333333333329</v>
      </c>
      <c r="L17" s="246">
        <v>53.333333333333329</v>
      </c>
      <c r="M17" s="244">
        <v>80</v>
      </c>
      <c r="N17" s="245">
        <v>73.333333333333329</v>
      </c>
      <c r="O17" s="247">
        <v>73.333333333333329</v>
      </c>
      <c r="P17" s="248">
        <v>80</v>
      </c>
      <c r="Q17" s="245">
        <v>86.666666666666671</v>
      </c>
      <c r="R17" s="246">
        <v>86.666666666666671</v>
      </c>
      <c r="S17" s="244">
        <v>80</v>
      </c>
      <c r="T17" s="245">
        <v>86.666666666666671</v>
      </c>
      <c r="U17" s="247">
        <v>86.666666666666671</v>
      </c>
      <c r="V17" s="248">
        <v>86.666666666666671</v>
      </c>
      <c r="W17" s="245">
        <v>86.666666666666671</v>
      </c>
      <c r="X17" s="247">
        <v>86.666666666666671</v>
      </c>
      <c r="Y17" s="204">
        <v>0.37390096630005903</v>
      </c>
      <c r="Z17" s="203">
        <v>0.16998995064846323</v>
      </c>
      <c r="AA17" s="216">
        <v>1.7213951697698553E-2</v>
      </c>
      <c r="AB17" s="221">
        <v>4.7196187244817958E-3</v>
      </c>
      <c r="AC17" s="221">
        <v>2.9369415059180694E-3</v>
      </c>
      <c r="AD17" s="221">
        <v>2.9369415059180694E-3</v>
      </c>
      <c r="AE17" s="224">
        <v>2.4431966145864767E-3</v>
      </c>
      <c r="AF17" s="204">
        <v>0.40178766311617942</v>
      </c>
      <c r="AG17" s="216">
        <v>3.0329409229788707E-2</v>
      </c>
      <c r="AH17" s="230">
        <v>6.8329020096515101E-4</v>
      </c>
      <c r="AI17" s="230">
        <v>1.2051915548674133E-5</v>
      </c>
      <c r="AJ17" s="230">
        <v>6.2725248816550771E-5</v>
      </c>
      <c r="AK17" s="230">
        <v>6.2725248816550771E-5</v>
      </c>
      <c r="AL17" s="231">
        <v>2.0456869797587676E-5</v>
      </c>
    </row>
    <row r="18" spans="2:41" x14ac:dyDescent="0.3">
      <c r="B18" s="462" t="s">
        <v>806</v>
      </c>
      <c r="C18" s="213" t="s">
        <v>802</v>
      </c>
      <c r="D18" s="241">
        <v>8.3333333333333286</v>
      </c>
      <c r="E18" s="2">
        <v>25</v>
      </c>
      <c r="F18" s="242">
        <v>25</v>
      </c>
      <c r="G18" s="241">
        <v>58.333333333333329</v>
      </c>
      <c r="H18" s="2">
        <v>41.666666666666664</v>
      </c>
      <c r="I18" s="3">
        <v>75</v>
      </c>
      <c r="J18" s="243">
        <v>66.666666666666657</v>
      </c>
      <c r="K18" s="2">
        <v>75</v>
      </c>
      <c r="L18" s="242">
        <v>83.333333333333329</v>
      </c>
      <c r="M18" s="241">
        <v>75</v>
      </c>
      <c r="N18" s="2">
        <v>75</v>
      </c>
      <c r="O18" s="3">
        <v>91.666666666666671</v>
      </c>
      <c r="P18" s="243">
        <v>83.333333333333329</v>
      </c>
      <c r="Q18" s="2">
        <v>75</v>
      </c>
      <c r="R18" s="242">
        <v>91.666666666666671</v>
      </c>
      <c r="S18" s="241">
        <v>91.666666666666671</v>
      </c>
      <c r="T18" s="2">
        <v>83.333333333333329</v>
      </c>
      <c r="U18" s="3">
        <v>91.666666666666671</v>
      </c>
      <c r="V18" s="243">
        <v>100</v>
      </c>
      <c r="W18" s="2">
        <v>100</v>
      </c>
      <c r="X18" s="3">
        <v>100</v>
      </c>
      <c r="Y18" s="170">
        <v>0.32946033078190279</v>
      </c>
      <c r="Z18" s="187">
        <v>3.250537147855654E-2</v>
      </c>
      <c r="AA18" s="220">
        <v>6.1845433735720117E-3</v>
      </c>
      <c r="AB18" s="220">
        <v>5.0239982619529376E-3</v>
      </c>
      <c r="AC18" s="220">
        <v>3.9671125775417957E-3</v>
      </c>
      <c r="AD18" s="220">
        <v>2.4553102463963855E-3</v>
      </c>
      <c r="AE18" s="222">
        <v>1.3238969092171551E-3</v>
      </c>
      <c r="AF18" s="170">
        <v>0.34864113944020186</v>
      </c>
      <c r="AG18" s="187">
        <v>1.1354999025478594E-2</v>
      </c>
      <c r="AH18" s="215">
        <v>2.6550518784050419E-4</v>
      </c>
      <c r="AI18" s="215">
        <v>3.264212563669971E-4</v>
      </c>
      <c r="AJ18" s="215">
        <v>3.8817133849401492E-4</v>
      </c>
      <c r="AK18" s="215">
        <v>7.0693496865025722E-5</v>
      </c>
      <c r="AL18" s="209"/>
    </row>
    <row r="19" spans="2:41" x14ac:dyDescent="0.3">
      <c r="B19" s="463"/>
      <c r="C19" s="211" t="s">
        <v>803</v>
      </c>
      <c r="D19" s="99">
        <v>16.666666666666657</v>
      </c>
      <c r="E19" s="4">
        <v>8.3333333333333286</v>
      </c>
      <c r="F19" s="110">
        <v>8.3333333333333286</v>
      </c>
      <c r="G19" s="99">
        <v>33.333333333333329</v>
      </c>
      <c r="H19" s="4">
        <v>16.666666666666657</v>
      </c>
      <c r="I19" s="5">
        <v>25</v>
      </c>
      <c r="J19" s="107">
        <v>41.666666666666664</v>
      </c>
      <c r="K19" s="4">
        <v>25</v>
      </c>
      <c r="L19" s="110">
        <v>25</v>
      </c>
      <c r="M19" s="99">
        <v>41.666666666666664</v>
      </c>
      <c r="N19" s="4">
        <v>33.333333333333329</v>
      </c>
      <c r="O19" s="5">
        <v>33.333333333333329</v>
      </c>
      <c r="P19" s="107">
        <v>41.666666666666664</v>
      </c>
      <c r="Q19" s="4">
        <v>41.666666666666664</v>
      </c>
      <c r="R19" s="110">
        <v>41.666666666666664</v>
      </c>
      <c r="S19" s="99">
        <v>41.666666666666664</v>
      </c>
      <c r="T19" s="4">
        <v>41.666666666666664</v>
      </c>
      <c r="U19" s="5">
        <v>41.666666666666664</v>
      </c>
      <c r="V19" s="107">
        <v>41.666666666666664</v>
      </c>
      <c r="W19" s="4">
        <v>41.666666666666664</v>
      </c>
      <c r="X19" s="5">
        <v>41.666666666666664</v>
      </c>
      <c r="Y19" s="171">
        <v>0.76764391523890441</v>
      </c>
      <c r="Z19" s="161">
        <v>0.31529619089510552</v>
      </c>
      <c r="AA19" s="161">
        <v>0.19257874249363208</v>
      </c>
      <c r="AB19" s="161">
        <v>9.4446326781972734E-2</v>
      </c>
      <c r="AC19" s="161">
        <v>5.1374430844367706E-2</v>
      </c>
      <c r="AD19" s="161">
        <v>5.1374430844367706E-2</v>
      </c>
      <c r="AE19" s="201">
        <v>5.1374430844367706E-2</v>
      </c>
      <c r="AF19" s="171">
        <v>1</v>
      </c>
      <c r="AG19" s="161">
        <v>0.1161165235168167</v>
      </c>
      <c r="AH19" s="161">
        <v>6.6766544811987877E-2</v>
      </c>
      <c r="AI19" s="176">
        <v>2.1921298066929842E-3</v>
      </c>
      <c r="AJ19" s="176">
        <v>2.192129806693038E-3</v>
      </c>
      <c r="AK19" s="176">
        <v>2.192129806693038E-3</v>
      </c>
      <c r="AL19" s="223">
        <v>2.192129806693038E-3</v>
      </c>
    </row>
    <row r="20" spans="2:41" x14ac:dyDescent="0.3">
      <c r="B20" s="463"/>
      <c r="C20" s="211" t="s">
        <v>804</v>
      </c>
      <c r="D20" s="99">
        <v>16.666666666666657</v>
      </c>
      <c r="E20" s="4">
        <v>33.333333333333329</v>
      </c>
      <c r="F20" s="110">
        <v>50</v>
      </c>
      <c r="G20" s="99">
        <v>16.666666666666657</v>
      </c>
      <c r="H20" s="4">
        <v>33.333333333333329</v>
      </c>
      <c r="I20" s="5">
        <v>58.333333333333329</v>
      </c>
      <c r="J20" s="107">
        <v>16.666666666666657</v>
      </c>
      <c r="K20" s="4">
        <v>33.333333333333329</v>
      </c>
      <c r="L20" s="110">
        <v>58.333333333333329</v>
      </c>
      <c r="M20" s="99">
        <v>16.666666666666657</v>
      </c>
      <c r="N20" s="4">
        <v>33.333333333333329</v>
      </c>
      <c r="O20" s="5">
        <v>58.333333333333329</v>
      </c>
      <c r="P20" s="107">
        <v>16.666666666666657</v>
      </c>
      <c r="Q20" s="4">
        <v>41.666666666666664</v>
      </c>
      <c r="R20" s="110">
        <v>58.333333333333329</v>
      </c>
      <c r="S20" s="99">
        <v>16.666666666666657</v>
      </c>
      <c r="T20" s="4">
        <v>50</v>
      </c>
      <c r="U20" s="5">
        <v>58.333333333333329</v>
      </c>
      <c r="V20" s="107">
        <v>33.333333333333329</v>
      </c>
      <c r="W20" s="4">
        <v>50</v>
      </c>
      <c r="X20" s="5">
        <v>58.333333333333329</v>
      </c>
      <c r="Y20" s="171">
        <v>0.12100391941035335</v>
      </c>
      <c r="Z20" s="161">
        <v>0.20283708258988997</v>
      </c>
      <c r="AA20" s="161">
        <v>0.20283708258988997</v>
      </c>
      <c r="AB20" s="161">
        <v>0.20283708258988997</v>
      </c>
      <c r="AC20" s="161">
        <v>0.16623275185812494</v>
      </c>
      <c r="AD20" s="161">
        <v>0.14481832688256857</v>
      </c>
      <c r="AE20" s="201">
        <v>5.3499240530505456E-2</v>
      </c>
      <c r="AF20" s="171">
        <v>0.11611652351681524</v>
      </c>
      <c r="AG20" s="161">
        <v>0.14814814814814783</v>
      </c>
      <c r="AH20" s="161">
        <v>0.18356686005527678</v>
      </c>
      <c r="AI20" s="161">
        <v>0.18356686005527678</v>
      </c>
      <c r="AJ20" s="161">
        <v>0.25081535976844571</v>
      </c>
      <c r="AK20" s="161">
        <v>0.20987507129406141</v>
      </c>
      <c r="AL20" s="217">
        <v>3.3471744961631446E-2</v>
      </c>
    </row>
    <row r="21" spans="2:41" ht="15" thickBot="1" x14ac:dyDescent="0.35">
      <c r="B21" s="464"/>
      <c r="C21" s="214" t="s">
        <v>805</v>
      </c>
      <c r="D21" s="100">
        <v>50</v>
      </c>
      <c r="E21" s="6">
        <v>25</v>
      </c>
      <c r="F21" s="111">
        <v>25</v>
      </c>
      <c r="G21" s="100">
        <v>58.333333333333329</v>
      </c>
      <c r="H21" s="6">
        <v>33.333333333333329</v>
      </c>
      <c r="I21" s="7">
        <v>25</v>
      </c>
      <c r="J21" s="108">
        <v>58.333333333333329</v>
      </c>
      <c r="K21" s="6">
        <v>50</v>
      </c>
      <c r="L21" s="111">
        <v>25</v>
      </c>
      <c r="M21" s="100">
        <v>58.333333333333329</v>
      </c>
      <c r="N21" s="6">
        <v>50</v>
      </c>
      <c r="O21" s="7">
        <v>25</v>
      </c>
      <c r="P21" s="108">
        <v>58.333333333333329</v>
      </c>
      <c r="Q21" s="6">
        <v>50</v>
      </c>
      <c r="R21" s="111">
        <v>33.333333333333329</v>
      </c>
      <c r="S21" s="100">
        <v>58.333333333333329</v>
      </c>
      <c r="T21" s="6">
        <v>50</v>
      </c>
      <c r="U21" s="7">
        <v>41.666666666666664</v>
      </c>
      <c r="V21" s="108">
        <v>58.333333333333329</v>
      </c>
      <c r="W21" s="6">
        <v>50</v>
      </c>
      <c r="X21" s="7">
        <v>41.666666666666664</v>
      </c>
      <c r="Y21" s="202">
        <v>0.10119150721829538</v>
      </c>
      <c r="Z21" s="194">
        <v>0.1368824723217705</v>
      </c>
      <c r="AA21" s="194">
        <v>8.977587078380822E-2</v>
      </c>
      <c r="AB21" s="194">
        <v>8.977587078380822E-2</v>
      </c>
      <c r="AC21" s="194">
        <v>5.3499240530505456E-2</v>
      </c>
      <c r="AD21" s="208">
        <v>3.2532525130803895E-2</v>
      </c>
      <c r="AE21" s="218">
        <v>3.2532525130803895E-2</v>
      </c>
      <c r="AF21" s="202">
        <v>9.0733171684779929E-2</v>
      </c>
      <c r="AG21" s="194">
        <v>7.3926188533291803E-2</v>
      </c>
      <c r="AH21" s="194">
        <v>5.0150889431719248E-2</v>
      </c>
      <c r="AI21" s="194">
        <v>5.0150889431719248E-2</v>
      </c>
      <c r="AJ21" s="208">
        <v>3.3471744961631446E-2</v>
      </c>
      <c r="AK21" s="225">
        <v>7.4904338812745415E-3</v>
      </c>
      <c r="AL21" s="226">
        <v>7.4904338812745415E-3</v>
      </c>
    </row>
    <row r="22" spans="2:41" x14ac:dyDescent="0.3">
      <c r="B22" s="250"/>
      <c r="C22" s="249" t="s">
        <v>665</v>
      </c>
      <c r="D22" s="102">
        <v>16.666666666666657</v>
      </c>
      <c r="E22" s="103">
        <v>16.666666666666657</v>
      </c>
      <c r="F22" s="109">
        <v>0</v>
      </c>
      <c r="G22" s="102">
        <v>16.666666666666657</v>
      </c>
      <c r="H22" s="103">
        <v>16.666666666666657</v>
      </c>
      <c r="I22" s="105">
        <v>8.3333333333333286</v>
      </c>
      <c r="J22" s="106">
        <v>16.666666666666657</v>
      </c>
      <c r="K22" s="103">
        <v>16.666666666666657</v>
      </c>
      <c r="L22" s="109">
        <v>16.666666666666657</v>
      </c>
      <c r="M22" s="102">
        <v>16.666666666666657</v>
      </c>
      <c r="N22" s="103">
        <v>16.666666666666657</v>
      </c>
      <c r="O22" s="105">
        <v>16.666666666666657</v>
      </c>
      <c r="P22" s="106">
        <v>16.666666666666657</v>
      </c>
      <c r="Q22" s="103">
        <v>25</v>
      </c>
      <c r="R22" s="109">
        <v>25</v>
      </c>
      <c r="S22" s="102">
        <v>16.666666666666657</v>
      </c>
      <c r="T22" s="103">
        <v>25</v>
      </c>
      <c r="U22" s="105">
        <v>25</v>
      </c>
      <c r="V22" s="106">
        <v>16.666666666666657</v>
      </c>
      <c r="W22" s="103">
        <v>25</v>
      </c>
      <c r="X22" s="105">
        <v>25</v>
      </c>
      <c r="Y22" s="172"/>
      <c r="Z22" s="163"/>
      <c r="AA22" s="163"/>
      <c r="AB22" s="164"/>
      <c r="AC22" s="164"/>
      <c r="AD22" s="164"/>
      <c r="AE22" s="165"/>
      <c r="AF22" s="162"/>
      <c r="AG22" s="163"/>
      <c r="AH22" s="163"/>
      <c r="AI22" s="164"/>
      <c r="AJ22" s="164"/>
      <c r="AK22" s="164"/>
      <c r="AL22" s="165"/>
    </row>
    <row r="23" spans="2:41" ht="15" thickBot="1" x14ac:dyDescent="0.35">
      <c r="B23" s="251"/>
      <c r="C23" s="232" t="s">
        <v>658</v>
      </c>
      <c r="D23" s="100">
        <v>0</v>
      </c>
      <c r="E23" s="6">
        <v>0</v>
      </c>
      <c r="F23" s="111">
        <v>25</v>
      </c>
      <c r="G23" s="100">
        <v>0</v>
      </c>
      <c r="H23" s="6">
        <v>0</v>
      </c>
      <c r="I23" s="7">
        <v>33.333333333333329</v>
      </c>
      <c r="J23" s="108">
        <v>0</v>
      </c>
      <c r="K23" s="6">
        <v>0</v>
      </c>
      <c r="L23" s="111">
        <v>33.333333333333329</v>
      </c>
      <c r="M23" s="100">
        <v>0</v>
      </c>
      <c r="N23" s="6">
        <v>0</v>
      </c>
      <c r="O23" s="7">
        <v>33.333333333333329</v>
      </c>
      <c r="P23" s="108">
        <v>0</v>
      </c>
      <c r="Q23" s="6">
        <v>0</v>
      </c>
      <c r="R23" s="111">
        <v>33.333333333333329</v>
      </c>
      <c r="S23" s="100">
        <v>0</v>
      </c>
      <c r="T23" s="6">
        <v>0</v>
      </c>
      <c r="U23" s="7">
        <v>33.333333333333329</v>
      </c>
      <c r="V23" s="108">
        <v>0</v>
      </c>
      <c r="W23" s="6">
        <v>0</v>
      </c>
      <c r="X23" s="7">
        <v>33.333333333333329</v>
      </c>
      <c r="Y23" s="173"/>
      <c r="Z23" s="167"/>
      <c r="AA23" s="167"/>
      <c r="AB23" s="168"/>
      <c r="AC23" s="168"/>
      <c r="AD23" s="168"/>
      <c r="AE23" s="169"/>
      <c r="AF23" s="166"/>
      <c r="AG23" s="167"/>
      <c r="AH23" s="167"/>
      <c r="AI23" s="168"/>
      <c r="AJ23" s="168"/>
      <c r="AK23" s="168"/>
      <c r="AL23" s="169"/>
    </row>
    <row r="24" spans="2:41" ht="15" thickBot="1" x14ac:dyDescent="0.35"/>
    <row r="25" spans="2:41" x14ac:dyDescent="0.3">
      <c r="B25" s="433" t="s">
        <v>1056</v>
      </c>
      <c r="C25" s="443"/>
      <c r="D25" s="465" t="s">
        <v>792</v>
      </c>
      <c r="E25" s="465"/>
      <c r="F25" s="465"/>
      <c r="G25" s="466" t="s">
        <v>793</v>
      </c>
      <c r="H25" s="465"/>
      <c r="I25" s="467"/>
      <c r="J25" s="465" t="s">
        <v>794</v>
      </c>
      <c r="K25" s="465"/>
      <c r="L25" s="465"/>
      <c r="M25" s="466" t="s">
        <v>795</v>
      </c>
      <c r="N25" s="465"/>
      <c r="O25" s="467"/>
      <c r="P25" s="465" t="s">
        <v>796</v>
      </c>
      <c r="Q25" s="465"/>
      <c r="R25" s="465"/>
      <c r="S25" s="466" t="s">
        <v>797</v>
      </c>
      <c r="T25" s="465"/>
      <c r="U25" s="467"/>
      <c r="V25" s="465" t="s">
        <v>798</v>
      </c>
      <c r="W25" s="465"/>
      <c r="X25" s="465"/>
      <c r="Y25" s="458" t="s">
        <v>1075</v>
      </c>
      <c r="Z25" s="459"/>
      <c r="AA25" s="459"/>
      <c r="AB25" s="459"/>
      <c r="AC25" s="459"/>
      <c r="AD25" s="459"/>
      <c r="AE25" s="460"/>
      <c r="AF25" s="461" t="s">
        <v>1074</v>
      </c>
      <c r="AG25" s="459"/>
      <c r="AH25" s="459"/>
      <c r="AI25" s="459"/>
      <c r="AJ25" s="459"/>
      <c r="AK25" s="459"/>
      <c r="AL25" s="460"/>
      <c r="AM25" s="9"/>
      <c r="AN25" s="9"/>
      <c r="AO25" s="9"/>
    </row>
    <row r="26" spans="2:41" ht="15" thickBot="1" x14ac:dyDescent="0.35">
      <c r="B26" s="439"/>
      <c r="C26" s="445"/>
      <c r="D26" s="13">
        <v>1</v>
      </c>
      <c r="E26" s="11">
        <v>2</v>
      </c>
      <c r="F26" s="14">
        <v>3</v>
      </c>
      <c r="G26" s="10">
        <v>1</v>
      </c>
      <c r="H26" s="11">
        <v>2</v>
      </c>
      <c r="I26" s="12">
        <v>3</v>
      </c>
      <c r="J26" s="13">
        <v>1</v>
      </c>
      <c r="K26" s="11">
        <v>2</v>
      </c>
      <c r="L26" s="14">
        <v>3</v>
      </c>
      <c r="M26" s="10">
        <v>1</v>
      </c>
      <c r="N26" s="11">
        <v>2</v>
      </c>
      <c r="O26" s="12">
        <v>3</v>
      </c>
      <c r="P26" s="13">
        <v>1</v>
      </c>
      <c r="Q26" s="11">
        <v>2</v>
      </c>
      <c r="R26" s="14">
        <v>3</v>
      </c>
      <c r="S26" s="10">
        <v>1</v>
      </c>
      <c r="T26" s="11">
        <v>2</v>
      </c>
      <c r="U26" s="12">
        <v>3</v>
      </c>
      <c r="V26" s="13">
        <v>1</v>
      </c>
      <c r="W26" s="11">
        <v>2</v>
      </c>
      <c r="X26" s="14">
        <v>3</v>
      </c>
      <c r="Y26" s="10">
        <v>2</v>
      </c>
      <c r="Z26" s="11">
        <v>4</v>
      </c>
      <c r="AA26" s="11">
        <v>6</v>
      </c>
      <c r="AB26" s="11">
        <v>8</v>
      </c>
      <c r="AC26" s="11">
        <v>10</v>
      </c>
      <c r="AD26" s="11">
        <v>12</v>
      </c>
      <c r="AE26" s="12">
        <v>14</v>
      </c>
      <c r="AF26" s="13">
        <v>2</v>
      </c>
      <c r="AG26" s="11">
        <v>4</v>
      </c>
      <c r="AH26" s="11">
        <v>6</v>
      </c>
      <c r="AI26" s="11">
        <v>8</v>
      </c>
      <c r="AJ26" s="11">
        <v>10</v>
      </c>
      <c r="AK26" s="11">
        <v>12</v>
      </c>
      <c r="AL26" s="12">
        <v>14</v>
      </c>
      <c r="AM26" s="9"/>
      <c r="AN26" s="9"/>
      <c r="AO26" s="9"/>
    </row>
    <row r="27" spans="2:41" ht="15" customHeight="1" x14ac:dyDescent="0.3">
      <c r="B27" s="472" t="s">
        <v>984</v>
      </c>
      <c r="C27" s="195" t="s">
        <v>985</v>
      </c>
      <c r="D27" s="19">
        <v>100</v>
      </c>
      <c r="E27" s="17">
        <v>100</v>
      </c>
      <c r="F27" s="20">
        <v>100</v>
      </c>
      <c r="G27" s="16">
        <v>100</v>
      </c>
      <c r="H27" s="17">
        <v>100</v>
      </c>
      <c r="I27" s="18">
        <v>100</v>
      </c>
      <c r="J27" s="19">
        <v>100</v>
      </c>
      <c r="K27" s="17">
        <v>100</v>
      </c>
      <c r="L27" s="20">
        <v>90</v>
      </c>
      <c r="M27" s="16">
        <v>50</v>
      </c>
      <c r="N27" s="17">
        <v>70</v>
      </c>
      <c r="O27" s="18">
        <v>70</v>
      </c>
      <c r="P27" s="19">
        <v>20</v>
      </c>
      <c r="Q27" s="17">
        <v>30</v>
      </c>
      <c r="R27" s="20">
        <v>10</v>
      </c>
      <c r="S27" s="16">
        <v>10</v>
      </c>
      <c r="T27" s="17">
        <v>10</v>
      </c>
      <c r="U27" s="18">
        <v>0</v>
      </c>
      <c r="V27" s="19">
        <v>10</v>
      </c>
      <c r="W27" s="17">
        <v>10</v>
      </c>
      <c r="X27" s="18">
        <v>0</v>
      </c>
      <c r="Y27" s="192" t="s">
        <v>1070</v>
      </c>
      <c r="Z27" s="160">
        <v>0.37390096630005926</v>
      </c>
      <c r="AA27" s="160">
        <v>1</v>
      </c>
      <c r="AB27" s="185">
        <v>1.1056493393450075E-2</v>
      </c>
      <c r="AC27" s="179">
        <v>3.2642125636699325E-4</v>
      </c>
      <c r="AD27" s="179">
        <v>4.4346000276002906E-5</v>
      </c>
      <c r="AE27" s="180">
        <v>4.4346000276002906E-5</v>
      </c>
      <c r="AF27" s="174" t="s">
        <v>1070</v>
      </c>
      <c r="AG27" s="160">
        <v>0</v>
      </c>
      <c r="AH27" s="160">
        <v>0.37390096630005926</v>
      </c>
      <c r="AI27" s="185">
        <v>1.5799848495268169E-2</v>
      </c>
      <c r="AJ27" s="179">
        <v>2.6550518784049904E-4</v>
      </c>
      <c r="AK27" s="179">
        <v>1.5197525763315731E-5</v>
      </c>
      <c r="AL27" s="180">
        <v>1.5197525763315731E-5</v>
      </c>
      <c r="AM27" s="9"/>
      <c r="AN27" s="9"/>
      <c r="AO27" s="9"/>
    </row>
    <row r="28" spans="2:41" x14ac:dyDescent="0.3">
      <c r="B28" s="473"/>
      <c r="C28" s="196" t="s">
        <v>986</v>
      </c>
      <c r="D28" s="35">
        <v>90</v>
      </c>
      <c r="E28" s="33">
        <v>90</v>
      </c>
      <c r="F28" s="36">
        <v>90</v>
      </c>
      <c r="G28" s="32">
        <v>70</v>
      </c>
      <c r="H28" s="33">
        <v>80</v>
      </c>
      <c r="I28" s="34">
        <v>90</v>
      </c>
      <c r="J28" s="35">
        <v>60</v>
      </c>
      <c r="K28" s="33">
        <v>20</v>
      </c>
      <c r="L28" s="36">
        <v>30</v>
      </c>
      <c r="M28" s="32">
        <v>10</v>
      </c>
      <c r="N28" s="33">
        <v>10</v>
      </c>
      <c r="O28" s="34">
        <v>0</v>
      </c>
      <c r="P28" s="35">
        <v>0</v>
      </c>
      <c r="Q28" s="33">
        <v>10</v>
      </c>
      <c r="R28" s="36">
        <v>0</v>
      </c>
      <c r="S28" s="32">
        <v>0</v>
      </c>
      <c r="T28" s="33">
        <v>0</v>
      </c>
      <c r="U28" s="34">
        <v>0</v>
      </c>
      <c r="V28" s="35">
        <v>0</v>
      </c>
      <c r="W28" s="33">
        <v>0</v>
      </c>
      <c r="X28" s="34">
        <v>0</v>
      </c>
      <c r="Y28" s="193" t="s">
        <v>1070</v>
      </c>
      <c r="Z28" s="161">
        <v>6.6766544811988085E-2</v>
      </c>
      <c r="AA28" s="176">
        <v>8.5809187219247716E-3</v>
      </c>
      <c r="AB28" s="181">
        <v>4.4346000276002906E-5</v>
      </c>
      <c r="AC28" s="177">
        <v>3.839096509988225E-5</v>
      </c>
      <c r="AD28" s="177">
        <v>8.4163618145778274E-6</v>
      </c>
      <c r="AE28" s="178">
        <v>8.4163618145778274E-6</v>
      </c>
      <c r="AF28" s="175" t="s">
        <v>1070</v>
      </c>
      <c r="AG28" s="186">
        <v>2.5721420742506534E-2</v>
      </c>
      <c r="AH28" s="176">
        <v>6.2136123690000001E-3</v>
      </c>
      <c r="AI28" s="181">
        <v>5.1499152873082685E-5</v>
      </c>
      <c r="AJ28" s="177">
        <v>1.3001305766721387E-5</v>
      </c>
      <c r="AK28" s="164"/>
      <c r="AL28" s="165"/>
      <c r="AM28" s="9"/>
    </row>
    <row r="29" spans="2:41" x14ac:dyDescent="0.3">
      <c r="B29" s="473"/>
      <c r="C29" s="196" t="s">
        <v>987</v>
      </c>
      <c r="D29" s="35">
        <v>100</v>
      </c>
      <c r="E29" s="33">
        <v>100</v>
      </c>
      <c r="F29" s="36">
        <v>100</v>
      </c>
      <c r="G29" s="32">
        <v>90</v>
      </c>
      <c r="H29" s="33">
        <v>100</v>
      </c>
      <c r="I29" s="34">
        <v>60</v>
      </c>
      <c r="J29" s="35">
        <v>80</v>
      </c>
      <c r="K29" s="33">
        <v>90</v>
      </c>
      <c r="L29" s="36">
        <v>60</v>
      </c>
      <c r="M29" s="32">
        <v>60</v>
      </c>
      <c r="N29" s="33">
        <v>50</v>
      </c>
      <c r="O29" s="34">
        <v>50</v>
      </c>
      <c r="P29" s="35">
        <v>30</v>
      </c>
      <c r="Q29" s="33">
        <v>30</v>
      </c>
      <c r="R29" s="36">
        <v>40</v>
      </c>
      <c r="S29" s="32">
        <v>10</v>
      </c>
      <c r="T29" s="33">
        <v>0</v>
      </c>
      <c r="U29" s="34">
        <v>20</v>
      </c>
      <c r="V29" s="35">
        <v>10</v>
      </c>
      <c r="W29" s="33">
        <v>0</v>
      </c>
      <c r="X29" s="34">
        <v>10</v>
      </c>
      <c r="Y29" s="193" t="s">
        <v>1070</v>
      </c>
      <c r="Z29" s="161">
        <v>0.34527149890134473</v>
      </c>
      <c r="AA29" s="161">
        <v>0.10119150721829538</v>
      </c>
      <c r="AB29" s="177">
        <v>7.7790740640887334E-4</v>
      </c>
      <c r="AC29" s="177">
        <v>1.7755148640362565E-4</v>
      </c>
      <c r="AD29" s="177">
        <v>2.0203994879765849E-4</v>
      </c>
      <c r="AE29" s="178">
        <v>4.4346000276002906E-5</v>
      </c>
      <c r="AF29" s="175" t="s">
        <v>1070</v>
      </c>
      <c r="AG29" s="161">
        <v>0.23779614445826552</v>
      </c>
      <c r="AH29" s="161">
        <v>5.7235231106631534E-2</v>
      </c>
      <c r="AI29" s="182">
        <v>1.0575646158306879E-3</v>
      </c>
      <c r="AJ29" s="177">
        <v>7.0210664680961184E-5</v>
      </c>
      <c r="AK29" s="177">
        <v>1.5725977073555649E-4</v>
      </c>
      <c r="AL29" s="178">
        <v>1.5197525763315731E-5</v>
      </c>
      <c r="AM29" s="9"/>
    </row>
    <row r="30" spans="2:41" x14ac:dyDescent="0.3">
      <c r="B30" s="473"/>
      <c r="C30" s="196" t="s">
        <v>988</v>
      </c>
      <c r="D30" s="35">
        <v>90</v>
      </c>
      <c r="E30" s="33">
        <v>100</v>
      </c>
      <c r="F30" s="36">
        <v>80</v>
      </c>
      <c r="G30" s="32">
        <v>60</v>
      </c>
      <c r="H30" s="33">
        <v>100</v>
      </c>
      <c r="I30" s="34">
        <v>80</v>
      </c>
      <c r="J30" s="35">
        <v>40</v>
      </c>
      <c r="K30" s="33">
        <v>80</v>
      </c>
      <c r="L30" s="36">
        <v>80</v>
      </c>
      <c r="M30" s="32">
        <v>30</v>
      </c>
      <c r="N30" s="33">
        <v>40</v>
      </c>
      <c r="O30" s="34">
        <v>70</v>
      </c>
      <c r="P30" s="35">
        <v>30</v>
      </c>
      <c r="Q30" s="33">
        <v>20</v>
      </c>
      <c r="R30" s="36">
        <v>30</v>
      </c>
      <c r="S30" s="32">
        <v>0</v>
      </c>
      <c r="T30" s="33">
        <v>10</v>
      </c>
      <c r="U30" s="34">
        <v>20</v>
      </c>
      <c r="V30" s="35">
        <v>0</v>
      </c>
      <c r="W30" s="33">
        <v>0</v>
      </c>
      <c r="X30" s="34">
        <v>20</v>
      </c>
      <c r="Y30" s="193" t="s">
        <v>1070</v>
      </c>
      <c r="Z30" s="161">
        <v>0.23779614445826552</v>
      </c>
      <c r="AA30" s="161">
        <v>9.4446326781973372E-2</v>
      </c>
      <c r="AB30" s="184">
        <v>1.6010965704545611E-2</v>
      </c>
      <c r="AC30" s="177">
        <v>1.1976123497510179E-4</v>
      </c>
      <c r="AD30" s="177">
        <v>2.0203994879765849E-4</v>
      </c>
      <c r="AE30" s="178">
        <v>2.6979547452375419E-4</v>
      </c>
      <c r="AF30" s="175" t="s">
        <v>1070</v>
      </c>
      <c r="AG30" s="161">
        <v>0.158302423375458</v>
      </c>
      <c r="AH30" s="161">
        <v>6.6766544811988141E-2</v>
      </c>
      <c r="AI30" s="184">
        <v>2.0092107013114591E-2</v>
      </c>
      <c r="AJ30" s="177">
        <v>4.5202131079409674E-5</v>
      </c>
      <c r="AK30" s="177">
        <v>1.5725977073555649E-4</v>
      </c>
      <c r="AL30" s="178">
        <v>2.3561604689269984E-4</v>
      </c>
      <c r="AM30" s="9"/>
    </row>
    <row r="31" spans="2:41" x14ac:dyDescent="0.3">
      <c r="B31" s="473"/>
      <c r="C31" s="196" t="s">
        <v>665</v>
      </c>
      <c r="D31" s="35">
        <v>100</v>
      </c>
      <c r="E31" s="33">
        <v>100</v>
      </c>
      <c r="F31" s="36">
        <v>100</v>
      </c>
      <c r="G31" s="32">
        <v>100</v>
      </c>
      <c r="H31" s="33">
        <v>100</v>
      </c>
      <c r="I31" s="34">
        <v>100</v>
      </c>
      <c r="J31" s="35">
        <v>100</v>
      </c>
      <c r="K31" s="33">
        <v>100</v>
      </c>
      <c r="L31" s="36">
        <v>100</v>
      </c>
      <c r="M31" s="32">
        <v>90</v>
      </c>
      <c r="N31" s="33">
        <v>100</v>
      </c>
      <c r="O31" s="34">
        <v>90</v>
      </c>
      <c r="P31" s="35">
        <v>90</v>
      </c>
      <c r="Q31" s="33">
        <v>90</v>
      </c>
      <c r="R31" s="36">
        <v>90</v>
      </c>
      <c r="S31" s="32">
        <v>90</v>
      </c>
      <c r="T31" s="33">
        <v>90</v>
      </c>
      <c r="U31" s="34">
        <v>90</v>
      </c>
      <c r="V31" s="35">
        <v>90</v>
      </c>
      <c r="W31" s="33">
        <v>90</v>
      </c>
      <c r="X31" s="34">
        <v>90</v>
      </c>
      <c r="Y31" s="234"/>
      <c r="Z31" s="163"/>
      <c r="AA31" s="163"/>
      <c r="AB31" s="164"/>
      <c r="AC31" s="164"/>
      <c r="AD31" s="164"/>
      <c r="AE31" s="165"/>
      <c r="AF31" s="162"/>
      <c r="AG31" s="163"/>
      <c r="AH31" s="163"/>
      <c r="AI31" s="164"/>
      <c r="AJ31" s="164"/>
      <c r="AK31" s="164"/>
      <c r="AL31" s="165"/>
      <c r="AM31" s="9"/>
    </row>
    <row r="32" spans="2:41" ht="15" thickBot="1" x14ac:dyDescent="0.35">
      <c r="B32" s="474"/>
      <c r="C32" s="240" t="s">
        <v>658</v>
      </c>
      <c r="D32" s="50">
        <v>100</v>
      </c>
      <c r="E32" s="48">
        <v>100</v>
      </c>
      <c r="F32" s="51">
        <v>100</v>
      </c>
      <c r="G32" s="47">
        <v>100</v>
      </c>
      <c r="H32" s="48">
        <v>100</v>
      </c>
      <c r="I32" s="49">
        <v>90</v>
      </c>
      <c r="J32" s="50">
        <v>100</v>
      </c>
      <c r="K32" s="48">
        <v>100</v>
      </c>
      <c r="L32" s="51">
        <v>90</v>
      </c>
      <c r="M32" s="47">
        <v>100</v>
      </c>
      <c r="N32" s="48">
        <v>100</v>
      </c>
      <c r="O32" s="49">
        <v>90</v>
      </c>
      <c r="P32" s="50">
        <v>100</v>
      </c>
      <c r="Q32" s="48">
        <v>100</v>
      </c>
      <c r="R32" s="51">
        <v>90</v>
      </c>
      <c r="S32" s="47">
        <v>100</v>
      </c>
      <c r="T32" s="48">
        <v>100</v>
      </c>
      <c r="U32" s="49">
        <v>90</v>
      </c>
      <c r="V32" s="50">
        <v>100</v>
      </c>
      <c r="W32" s="48">
        <v>100</v>
      </c>
      <c r="X32" s="49">
        <v>90</v>
      </c>
      <c r="Y32" s="235"/>
      <c r="Z32" s="167"/>
      <c r="AA32" s="167"/>
      <c r="AB32" s="168"/>
      <c r="AC32" s="168"/>
      <c r="AD32" s="168"/>
      <c r="AE32" s="169"/>
      <c r="AF32" s="166"/>
      <c r="AG32" s="167"/>
      <c r="AH32" s="167"/>
      <c r="AI32" s="168"/>
      <c r="AJ32" s="168"/>
      <c r="AK32" s="168"/>
      <c r="AL32" s="169"/>
    </row>
    <row r="33" spans="2:41" x14ac:dyDescent="0.3">
      <c r="B33" s="475" t="s">
        <v>989</v>
      </c>
      <c r="C33" s="195" t="s">
        <v>985</v>
      </c>
      <c r="D33" s="35">
        <v>90</v>
      </c>
      <c r="E33" s="33">
        <v>90</v>
      </c>
      <c r="F33" s="36">
        <v>90</v>
      </c>
      <c r="G33" s="32">
        <v>80</v>
      </c>
      <c r="H33" s="33">
        <v>70</v>
      </c>
      <c r="I33" s="34">
        <v>90</v>
      </c>
      <c r="J33" s="35">
        <v>70</v>
      </c>
      <c r="K33" s="33">
        <v>50</v>
      </c>
      <c r="L33" s="36">
        <v>70</v>
      </c>
      <c r="M33" s="32">
        <v>70</v>
      </c>
      <c r="N33" s="33">
        <v>50</v>
      </c>
      <c r="O33" s="34">
        <v>60</v>
      </c>
      <c r="P33" s="35">
        <v>60</v>
      </c>
      <c r="Q33" s="33">
        <v>40</v>
      </c>
      <c r="R33" s="36">
        <v>60</v>
      </c>
      <c r="S33" s="32">
        <v>30</v>
      </c>
      <c r="T33" s="33">
        <v>20</v>
      </c>
      <c r="U33" s="34">
        <v>50</v>
      </c>
      <c r="V33" s="35">
        <v>10</v>
      </c>
      <c r="W33" s="33">
        <v>0</v>
      </c>
      <c r="X33" s="36">
        <v>20</v>
      </c>
      <c r="Y33" s="206">
        <v>0</v>
      </c>
      <c r="Z33" s="160">
        <v>0.46995663279800914</v>
      </c>
      <c r="AA33" s="160">
        <v>0.14092329108135376</v>
      </c>
      <c r="AB33" s="160">
        <v>8.3889968415243918E-2</v>
      </c>
      <c r="AC33" s="187">
        <v>4.7776566398478347E-2</v>
      </c>
      <c r="AD33" s="182">
        <v>1.4057703993432728E-2</v>
      </c>
      <c r="AE33" s="178">
        <v>1.5457674646736656E-3</v>
      </c>
      <c r="AF33" s="170">
        <v>1</v>
      </c>
      <c r="AG33" s="160">
        <v>0.2878641347266907</v>
      </c>
      <c r="AH33" s="187">
        <v>3.9020526519568485E-2</v>
      </c>
      <c r="AI33" s="160">
        <v>9.1260244443985922E-2</v>
      </c>
      <c r="AJ33" s="160">
        <v>0.13177756749413547</v>
      </c>
      <c r="AK33" s="184">
        <v>3.9351851851851818E-2</v>
      </c>
      <c r="AL33" s="183">
        <v>1.3238969092171679E-3</v>
      </c>
      <c r="AM33" s="9"/>
      <c r="AN33" s="9"/>
      <c r="AO33" s="9"/>
    </row>
    <row r="34" spans="2:41" x14ac:dyDescent="0.3">
      <c r="B34" s="476"/>
      <c r="C34" s="196" t="s">
        <v>986</v>
      </c>
      <c r="D34" s="35">
        <v>70</v>
      </c>
      <c r="E34" s="33">
        <v>90</v>
      </c>
      <c r="F34" s="36">
        <v>60</v>
      </c>
      <c r="G34" s="32">
        <v>60</v>
      </c>
      <c r="H34" s="33">
        <v>80</v>
      </c>
      <c r="I34" s="34">
        <v>60</v>
      </c>
      <c r="J34" s="35">
        <v>50</v>
      </c>
      <c r="K34" s="33">
        <v>40</v>
      </c>
      <c r="L34" s="36">
        <v>20</v>
      </c>
      <c r="M34" s="32">
        <v>40</v>
      </c>
      <c r="N34" s="33">
        <v>40</v>
      </c>
      <c r="O34" s="34">
        <v>20</v>
      </c>
      <c r="P34" s="35">
        <v>10</v>
      </c>
      <c r="Q34" s="33">
        <v>30</v>
      </c>
      <c r="R34" s="36">
        <v>10</v>
      </c>
      <c r="S34" s="32">
        <v>0</v>
      </c>
      <c r="T34" s="33">
        <v>20</v>
      </c>
      <c r="U34" s="34">
        <v>10</v>
      </c>
      <c r="V34" s="35">
        <v>0</v>
      </c>
      <c r="W34" s="33">
        <v>10</v>
      </c>
      <c r="X34" s="36">
        <v>10</v>
      </c>
      <c r="Y34" s="207">
        <v>3.9020526519568451E-2</v>
      </c>
      <c r="Z34" s="161">
        <v>7.0805628361041706E-2</v>
      </c>
      <c r="AA34" s="186">
        <v>1.7821042942765847E-2</v>
      </c>
      <c r="AB34" s="176">
        <v>8.6515114577535544E-3</v>
      </c>
      <c r="AC34" s="177">
        <v>2.9771456199691919E-3</v>
      </c>
      <c r="AD34" s="177">
        <v>1.6666761330699834E-3</v>
      </c>
      <c r="AE34" s="178">
        <v>6.8289245695205957E-4</v>
      </c>
      <c r="AF34" s="171">
        <v>0.18900365845517544</v>
      </c>
      <c r="AG34" s="161">
        <v>5.7235231106631534E-2</v>
      </c>
      <c r="AH34" s="176">
        <v>7.1823285663002003E-3</v>
      </c>
      <c r="AI34" s="186">
        <v>1.0636627840554925E-2</v>
      </c>
      <c r="AJ34" s="176">
        <v>3.7720165020611509E-3</v>
      </c>
      <c r="AK34" s="182">
        <v>3.016382930650693E-3</v>
      </c>
      <c r="AL34" s="178">
        <v>2.7456169999344785E-4</v>
      </c>
      <c r="AM34" s="9"/>
      <c r="AN34" s="9"/>
      <c r="AO34" s="9"/>
    </row>
    <row r="35" spans="2:41" x14ac:dyDescent="0.3">
      <c r="B35" s="476"/>
      <c r="C35" s="196" t="s">
        <v>987</v>
      </c>
      <c r="D35" s="35">
        <v>100</v>
      </c>
      <c r="E35" s="33">
        <v>100</v>
      </c>
      <c r="F35" s="36">
        <v>90</v>
      </c>
      <c r="G35" s="32">
        <v>80</v>
      </c>
      <c r="H35" s="33">
        <v>90</v>
      </c>
      <c r="I35" s="34">
        <v>90</v>
      </c>
      <c r="J35" s="35">
        <v>60</v>
      </c>
      <c r="K35" s="33">
        <v>70</v>
      </c>
      <c r="L35" s="36">
        <v>70</v>
      </c>
      <c r="M35" s="32">
        <v>40</v>
      </c>
      <c r="N35" s="33">
        <v>30</v>
      </c>
      <c r="O35" s="34">
        <v>60</v>
      </c>
      <c r="P35" s="35">
        <v>40</v>
      </c>
      <c r="Q35" s="33">
        <v>0</v>
      </c>
      <c r="R35" s="36">
        <v>20</v>
      </c>
      <c r="S35" s="32">
        <v>20</v>
      </c>
      <c r="T35" s="33">
        <v>0</v>
      </c>
      <c r="U35" s="34">
        <v>10</v>
      </c>
      <c r="V35" s="35">
        <v>10</v>
      </c>
      <c r="W35" s="33">
        <v>0</v>
      </c>
      <c r="X35" s="36">
        <v>10</v>
      </c>
      <c r="Y35" s="207">
        <v>0.37390096630005926</v>
      </c>
      <c r="Z35" s="161">
        <v>0.8391867065886166</v>
      </c>
      <c r="AA35" s="161">
        <v>0.14124074988222826</v>
      </c>
      <c r="AB35" s="186">
        <v>2.9691068246342687E-2</v>
      </c>
      <c r="AC35" s="186">
        <v>1.1036723632694227E-2</v>
      </c>
      <c r="AD35" s="177">
        <v>1.6666761330699834E-3</v>
      </c>
      <c r="AE35" s="178">
        <v>6.8289245695205957E-4</v>
      </c>
      <c r="AF35" s="171">
        <v>0.37390096630005837</v>
      </c>
      <c r="AG35" s="161">
        <v>0.64332996318186375</v>
      </c>
      <c r="AH35" s="186">
        <v>2.4896163460222772E-2</v>
      </c>
      <c r="AI35" s="186">
        <v>3.2677923336803007E-2</v>
      </c>
      <c r="AJ35" s="186">
        <v>1.7947913188873198E-2</v>
      </c>
      <c r="AK35" s="182">
        <v>3.016382930650693E-3</v>
      </c>
      <c r="AL35" s="178">
        <v>2.7456169999344785E-4</v>
      </c>
      <c r="AM35" s="9"/>
      <c r="AN35" s="9"/>
      <c r="AO35" s="9"/>
    </row>
    <row r="36" spans="2:41" x14ac:dyDescent="0.3">
      <c r="B36" s="476"/>
      <c r="C36" s="196" t="s">
        <v>988</v>
      </c>
      <c r="D36" s="35">
        <v>100</v>
      </c>
      <c r="E36" s="33">
        <v>100</v>
      </c>
      <c r="F36" s="36">
        <v>70</v>
      </c>
      <c r="G36" s="32">
        <v>90</v>
      </c>
      <c r="H36" s="33">
        <v>90</v>
      </c>
      <c r="I36" s="34">
        <v>70</v>
      </c>
      <c r="J36" s="35">
        <v>80</v>
      </c>
      <c r="K36" s="33">
        <v>60</v>
      </c>
      <c r="L36" s="36">
        <v>60</v>
      </c>
      <c r="M36" s="32">
        <v>50</v>
      </c>
      <c r="N36" s="33">
        <v>20</v>
      </c>
      <c r="O36" s="34">
        <v>40</v>
      </c>
      <c r="P36" s="35">
        <v>20</v>
      </c>
      <c r="Q36" s="33">
        <v>0</v>
      </c>
      <c r="R36" s="36">
        <v>40</v>
      </c>
      <c r="S36" s="32">
        <v>20</v>
      </c>
      <c r="T36" s="33">
        <v>0</v>
      </c>
      <c r="U36" s="34">
        <v>30</v>
      </c>
      <c r="V36" s="35">
        <v>20</v>
      </c>
      <c r="W36" s="33">
        <v>0</v>
      </c>
      <c r="X36" s="36">
        <v>10</v>
      </c>
      <c r="Y36" s="207">
        <v>0.37390096630005915</v>
      </c>
      <c r="Z36" s="161">
        <v>0.78788242763842298</v>
      </c>
      <c r="AA36" s="161">
        <v>0.20747872538141643</v>
      </c>
      <c r="AB36" s="186">
        <v>1.7821042942765847E-2</v>
      </c>
      <c r="AC36" s="186">
        <v>1.1036723632694227E-2</v>
      </c>
      <c r="AD36" s="182">
        <v>4.9943842889617245E-3</v>
      </c>
      <c r="AE36" s="178">
        <v>1.5457674646736656E-3</v>
      </c>
      <c r="AF36" s="171">
        <v>1</v>
      </c>
      <c r="AG36" s="161">
        <v>0.49176700102216903</v>
      </c>
      <c r="AH36" s="161">
        <v>5.7235231106631534E-2</v>
      </c>
      <c r="AI36" s="186">
        <v>2.0092107013114601E-2</v>
      </c>
      <c r="AJ36" s="186">
        <v>1.7947913188873198E-2</v>
      </c>
      <c r="AK36" s="184">
        <v>1.0636627840554922E-2</v>
      </c>
      <c r="AL36" s="183">
        <v>1.3238969092171679E-3</v>
      </c>
      <c r="AM36" s="9"/>
      <c r="AN36" s="9"/>
      <c r="AO36" s="9"/>
    </row>
    <row r="37" spans="2:41" x14ac:dyDescent="0.3">
      <c r="B37" s="476"/>
      <c r="C37" s="238" t="s">
        <v>665</v>
      </c>
      <c r="D37" s="35">
        <v>100</v>
      </c>
      <c r="E37" s="33">
        <v>90</v>
      </c>
      <c r="F37" s="36">
        <v>80</v>
      </c>
      <c r="G37" s="32">
        <v>100</v>
      </c>
      <c r="H37" s="33">
        <v>90</v>
      </c>
      <c r="I37" s="34">
        <v>80</v>
      </c>
      <c r="J37" s="35">
        <v>100</v>
      </c>
      <c r="K37" s="33">
        <v>90</v>
      </c>
      <c r="L37" s="36">
        <v>80</v>
      </c>
      <c r="M37" s="32">
        <v>100</v>
      </c>
      <c r="N37" s="33">
        <v>70</v>
      </c>
      <c r="O37" s="34">
        <v>80</v>
      </c>
      <c r="P37" s="35">
        <v>70</v>
      </c>
      <c r="Q37" s="33">
        <v>60</v>
      </c>
      <c r="R37" s="36">
        <v>80</v>
      </c>
      <c r="S37" s="32">
        <v>60</v>
      </c>
      <c r="T37" s="33">
        <v>60</v>
      </c>
      <c r="U37" s="34">
        <v>80</v>
      </c>
      <c r="V37" s="35">
        <v>60</v>
      </c>
      <c r="W37" s="33">
        <v>60</v>
      </c>
      <c r="X37" s="36">
        <v>70</v>
      </c>
      <c r="Y37" s="236"/>
      <c r="Z37" s="163"/>
      <c r="AA37" s="163"/>
      <c r="AB37" s="164"/>
      <c r="AC37" s="164"/>
      <c r="AD37" s="164"/>
      <c r="AE37" s="165"/>
      <c r="AF37" s="162"/>
      <c r="AG37" s="163"/>
      <c r="AH37" s="163"/>
      <c r="AI37" s="164"/>
      <c r="AJ37" s="164"/>
      <c r="AK37" s="164"/>
      <c r="AL37" s="165"/>
      <c r="AM37" s="9"/>
      <c r="AN37" s="9"/>
      <c r="AO37" s="9"/>
    </row>
    <row r="38" spans="2:41" ht="15" thickBot="1" x14ac:dyDescent="0.35">
      <c r="B38" s="477"/>
      <c r="C38" s="239" t="s">
        <v>658</v>
      </c>
      <c r="D38" s="50">
        <v>100</v>
      </c>
      <c r="E38" s="48">
        <v>100</v>
      </c>
      <c r="F38" s="51">
        <v>100</v>
      </c>
      <c r="G38" s="47">
        <v>77.777777777777771</v>
      </c>
      <c r="H38" s="48">
        <v>90</v>
      </c>
      <c r="I38" s="49">
        <v>88.888888888888886</v>
      </c>
      <c r="J38" s="50">
        <v>66.666666666666657</v>
      </c>
      <c r="K38" s="48">
        <v>90</v>
      </c>
      <c r="L38" s="51">
        <v>88.888888888888886</v>
      </c>
      <c r="M38" s="47">
        <v>66.666666666666657</v>
      </c>
      <c r="N38" s="48">
        <v>90</v>
      </c>
      <c r="O38" s="49">
        <v>88.888888888888886</v>
      </c>
      <c r="P38" s="50">
        <v>66.666666666666657</v>
      </c>
      <c r="Q38" s="48">
        <v>90</v>
      </c>
      <c r="R38" s="51">
        <v>88.888888888888886</v>
      </c>
      <c r="S38" s="47">
        <v>66.666666666666657</v>
      </c>
      <c r="T38" s="48">
        <v>90</v>
      </c>
      <c r="U38" s="49">
        <v>88.888888888888886</v>
      </c>
      <c r="V38" s="50">
        <v>66.666666666666657</v>
      </c>
      <c r="W38" s="48">
        <v>90</v>
      </c>
      <c r="X38" s="51">
        <v>77.777777777777771</v>
      </c>
      <c r="Y38" s="237"/>
      <c r="Z38" s="167"/>
      <c r="AA38" s="167"/>
      <c r="AB38" s="168"/>
      <c r="AC38" s="168"/>
      <c r="AD38" s="168"/>
      <c r="AE38" s="169"/>
      <c r="AF38" s="166"/>
      <c r="AG38" s="167"/>
      <c r="AH38" s="167"/>
      <c r="AI38" s="168"/>
      <c r="AJ38" s="168"/>
      <c r="AK38" s="168"/>
      <c r="AL38" s="169"/>
      <c r="AM38" s="9"/>
      <c r="AN38" s="9"/>
      <c r="AO38" s="9"/>
    </row>
    <row r="40" spans="2:41" ht="15" thickBot="1" x14ac:dyDescent="0.35"/>
    <row r="41" spans="2:41" ht="15" thickBot="1" x14ac:dyDescent="0.35">
      <c r="S41" s="433" t="s">
        <v>1056</v>
      </c>
      <c r="T41" s="434"/>
      <c r="U41" s="435"/>
      <c r="V41" s="442" t="s">
        <v>1091</v>
      </c>
      <c r="W41" s="434"/>
      <c r="X41" s="443"/>
      <c r="Y41" s="446" t="s">
        <v>1092</v>
      </c>
      <c r="Z41" s="446"/>
      <c r="AA41" s="446"/>
      <c r="AB41" s="446"/>
      <c r="AC41" s="446"/>
      <c r="AD41" s="446"/>
      <c r="AE41" s="446"/>
      <c r="AF41" s="446"/>
      <c r="AG41" s="446"/>
      <c r="AH41" s="446"/>
      <c r="AI41" s="446"/>
      <c r="AJ41" s="446"/>
      <c r="AK41" s="447"/>
    </row>
    <row r="42" spans="2:41" ht="15.6" x14ac:dyDescent="0.3">
      <c r="S42" s="436"/>
      <c r="T42" s="437"/>
      <c r="U42" s="438"/>
      <c r="V42" s="437"/>
      <c r="W42" s="437"/>
      <c r="X42" s="444"/>
      <c r="Y42" s="448" t="s">
        <v>1066</v>
      </c>
      <c r="Z42" s="449"/>
      <c r="AA42" s="449"/>
      <c r="AB42" s="449" t="s">
        <v>793</v>
      </c>
      <c r="AC42" s="449"/>
      <c r="AD42" s="450"/>
      <c r="AE42" s="451" t="s">
        <v>990</v>
      </c>
      <c r="AF42" s="451"/>
      <c r="AG42" s="452" t="s">
        <v>799</v>
      </c>
      <c r="AH42" s="453"/>
      <c r="AI42" s="454" t="s">
        <v>800</v>
      </c>
      <c r="AJ42" s="454"/>
      <c r="AK42" s="455" t="s">
        <v>1069</v>
      </c>
    </row>
    <row r="43" spans="2:41" ht="16.2" thickBot="1" x14ac:dyDescent="0.35">
      <c r="S43" s="439"/>
      <c r="T43" s="440"/>
      <c r="U43" s="441"/>
      <c r="V43" s="440"/>
      <c r="W43" s="440"/>
      <c r="X43" s="445"/>
      <c r="Y43" s="330">
        <v>1</v>
      </c>
      <c r="Z43" s="159">
        <v>2</v>
      </c>
      <c r="AA43" s="159">
        <v>3</v>
      </c>
      <c r="AB43" s="159">
        <v>1</v>
      </c>
      <c r="AC43" s="159">
        <v>2</v>
      </c>
      <c r="AD43" s="331">
        <v>3</v>
      </c>
      <c r="AE43" s="332" t="s">
        <v>1066</v>
      </c>
      <c r="AF43" s="333" t="s">
        <v>793</v>
      </c>
      <c r="AG43" s="334" t="s">
        <v>1066</v>
      </c>
      <c r="AH43" s="335" t="s">
        <v>793</v>
      </c>
      <c r="AI43" s="332" t="s">
        <v>1066</v>
      </c>
      <c r="AJ43" s="333" t="s">
        <v>793</v>
      </c>
      <c r="AK43" s="456"/>
    </row>
    <row r="44" spans="2:41" x14ac:dyDescent="0.3">
      <c r="S44" s="428" t="s">
        <v>444</v>
      </c>
      <c r="T44" s="429"/>
      <c r="U44" s="430"/>
      <c r="V44" s="431">
        <v>45</v>
      </c>
      <c r="W44" s="431"/>
      <c r="X44" s="432"/>
      <c r="Y44" s="336">
        <v>1.2466917045208383</v>
      </c>
      <c r="Z44" s="158">
        <v>1.1457648601104289</v>
      </c>
      <c r="AA44" s="158">
        <v>0.91366285606434949</v>
      </c>
      <c r="AB44" s="158">
        <v>0.40829628093603587</v>
      </c>
      <c r="AC44" s="158">
        <v>0.35276852414597726</v>
      </c>
      <c r="AD44" s="337">
        <v>0.4953603603221628</v>
      </c>
      <c r="AE44" s="338">
        <f>AVERAGE(Y44:AA44)</f>
        <v>1.1020398068985389</v>
      </c>
      <c r="AF44" s="339">
        <f>AVERAGE(AB44:AD44)</f>
        <v>0.41880838846805862</v>
      </c>
      <c r="AG44" s="336">
        <f>STDEV(Y44:AA44)</f>
        <v>0.17076581532862678</v>
      </c>
      <c r="AH44" s="337">
        <f>STDEV(AB44:AD44)</f>
        <v>7.1874795579519299E-2</v>
      </c>
      <c r="AI44" s="338">
        <f>AG44/SQRT($V44)</f>
        <v>2.5456264753865671E-2</v>
      </c>
      <c r="AJ44" s="339">
        <f>AH44/SQRT($V44)</f>
        <v>1.0714461918980435E-2</v>
      </c>
      <c r="AK44" s="340">
        <v>3.0837080563994915E-3</v>
      </c>
    </row>
    <row r="45" spans="2:41" x14ac:dyDescent="0.3">
      <c r="S45" s="428" t="s">
        <v>1065</v>
      </c>
      <c r="T45" s="429"/>
      <c r="U45" s="430"/>
      <c r="V45" s="431">
        <v>45</v>
      </c>
      <c r="W45" s="431"/>
      <c r="X45" s="432"/>
      <c r="Y45" s="341">
        <v>0.89254783524257697</v>
      </c>
      <c r="Z45" s="156">
        <v>1.4637336474275939</v>
      </c>
      <c r="AA45" s="156">
        <v>1.6420325339050155</v>
      </c>
      <c r="AB45" s="156">
        <v>0.2832442474018711</v>
      </c>
      <c r="AC45" s="156">
        <v>0.16075378099058987</v>
      </c>
      <c r="AD45" s="342">
        <v>0.26133175642059236</v>
      </c>
      <c r="AE45" s="343">
        <f>AVERAGE(Y45:AA45)</f>
        <v>1.3327713388583955</v>
      </c>
      <c r="AF45" s="344">
        <f t="shared" ref="AF45:AF47" si="0">AVERAGE(AB45:AD45)</f>
        <v>0.23510992827101776</v>
      </c>
      <c r="AG45" s="341">
        <f>STDEV(Y45:AA45)</f>
        <v>0.39152927487176697</v>
      </c>
      <c r="AH45" s="342">
        <f>STDEV(AB45:AD45)</f>
        <v>6.5319727449237572E-2</v>
      </c>
      <c r="AI45" s="343">
        <f t="shared" ref="AI45:AJ47" si="1">AG45/SQRT($V45)</f>
        <v>5.8365738252964747E-2</v>
      </c>
      <c r="AJ45" s="344">
        <f t="shared" si="1"/>
        <v>9.7372900565502758E-3</v>
      </c>
      <c r="AK45" s="345">
        <v>8.7138105310908352E-3</v>
      </c>
    </row>
    <row r="46" spans="2:41" x14ac:dyDescent="0.3">
      <c r="S46" s="428" t="s">
        <v>205</v>
      </c>
      <c r="T46" s="429"/>
      <c r="U46" s="430"/>
      <c r="V46" s="431">
        <v>45</v>
      </c>
      <c r="W46" s="431"/>
      <c r="X46" s="432"/>
      <c r="Y46" s="341">
        <v>0.85835417743900932</v>
      </c>
      <c r="Z46" s="156">
        <v>0.89562292600914262</v>
      </c>
      <c r="AA46" s="156">
        <v>0.89712085333989933</v>
      </c>
      <c r="AB46" s="156">
        <v>0.12389830823986656</v>
      </c>
      <c r="AC46" s="156">
        <v>0.12062969804748576</v>
      </c>
      <c r="AD46" s="342">
        <v>7.6445834555804254E-2</v>
      </c>
      <c r="AE46" s="343">
        <f>AVERAGE(Y46:AA46)</f>
        <v>0.8836993189293505</v>
      </c>
      <c r="AF46" s="344">
        <f t="shared" si="0"/>
        <v>0.1069912802810522</v>
      </c>
      <c r="AG46" s="341">
        <f>STDEV(Y46:AA46)</f>
        <v>2.1962310772004716E-2</v>
      </c>
      <c r="AH46" s="342">
        <f t="shared" ref="AH46:AH47" si="2">STDEV(AB46:AD46)</f>
        <v>2.650356851563539E-2</v>
      </c>
      <c r="AI46" s="343">
        <f t="shared" si="1"/>
        <v>3.2739479886118952E-3</v>
      </c>
      <c r="AJ46" s="344">
        <f t="shared" si="1"/>
        <v>3.9509187231522615E-3</v>
      </c>
      <c r="AK46" s="345">
        <v>2.5601276008640105E-6</v>
      </c>
    </row>
    <row r="47" spans="2:41" ht="15" thickBot="1" x14ac:dyDescent="0.35">
      <c r="S47" s="423" t="s">
        <v>342</v>
      </c>
      <c r="T47" s="424"/>
      <c r="U47" s="425"/>
      <c r="V47" s="426">
        <v>45</v>
      </c>
      <c r="W47" s="426"/>
      <c r="X47" s="427"/>
      <c r="Y47" s="346">
        <v>1.1090280128546848</v>
      </c>
      <c r="Z47" s="157">
        <v>1.025543293837812</v>
      </c>
      <c r="AA47" s="157">
        <v>0.98857692723112844</v>
      </c>
      <c r="AB47" s="157">
        <v>0.14183132575423374</v>
      </c>
      <c r="AC47" s="157">
        <v>0.17568444291611796</v>
      </c>
      <c r="AD47" s="347">
        <v>0.13071468916376583</v>
      </c>
      <c r="AE47" s="348">
        <f>AVERAGE(Y47:AA47)</f>
        <v>1.041049411307875</v>
      </c>
      <c r="AF47" s="349">
        <f t="shared" si="0"/>
        <v>0.1494101526113725</v>
      </c>
      <c r="AG47" s="346">
        <f>STDEV(Y47:AA47)</f>
        <v>6.1704503613754742E-2</v>
      </c>
      <c r="AH47" s="347">
        <f t="shared" si="2"/>
        <v>2.3423250212868979E-2</v>
      </c>
      <c r="AI47" s="348">
        <f t="shared" si="1"/>
        <v>9.1983643065491356E-3</v>
      </c>
      <c r="AJ47" s="349">
        <f t="shared" si="1"/>
        <v>3.4917319819974301E-3</v>
      </c>
      <c r="AK47" s="350">
        <v>1.9773202464190258E-5</v>
      </c>
    </row>
  </sheetData>
  <mergeCells count="44">
    <mergeCell ref="B10:B13"/>
    <mergeCell ref="B14:B17"/>
    <mergeCell ref="B33:B38"/>
    <mergeCell ref="P25:R25"/>
    <mergeCell ref="S25:U25"/>
    <mergeCell ref="V25:X25"/>
    <mergeCell ref="B27:B32"/>
    <mergeCell ref="D25:F25"/>
    <mergeCell ref="G25:I25"/>
    <mergeCell ref="J25:L25"/>
    <mergeCell ref="M25:O25"/>
    <mergeCell ref="B2:AL2"/>
    <mergeCell ref="Y25:AE25"/>
    <mergeCell ref="AF25:AL25"/>
    <mergeCell ref="B25:C26"/>
    <mergeCell ref="B18:B21"/>
    <mergeCell ref="D4:F4"/>
    <mergeCell ref="G4:I4"/>
    <mergeCell ref="J4:L4"/>
    <mergeCell ref="M4:O4"/>
    <mergeCell ref="P4:R4"/>
    <mergeCell ref="S4:U4"/>
    <mergeCell ref="V4:X4"/>
    <mergeCell ref="Y4:AE4"/>
    <mergeCell ref="AF4:AL4"/>
    <mergeCell ref="B4:C5"/>
    <mergeCell ref="B6:B9"/>
    <mergeCell ref="S41:U43"/>
    <mergeCell ref="V41:X43"/>
    <mergeCell ref="Y41:AK41"/>
    <mergeCell ref="Y42:AA42"/>
    <mergeCell ref="AB42:AD42"/>
    <mergeCell ref="AE42:AF42"/>
    <mergeCell ref="AG42:AH42"/>
    <mergeCell ref="AI42:AJ42"/>
    <mergeCell ref="AK42:AK43"/>
    <mergeCell ref="S47:U47"/>
    <mergeCell ref="V47:X47"/>
    <mergeCell ref="S44:U44"/>
    <mergeCell ref="V44:X44"/>
    <mergeCell ref="S45:U45"/>
    <mergeCell ref="V45:X45"/>
    <mergeCell ref="S46:U46"/>
    <mergeCell ref="V46:X46"/>
  </mergeCell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S700"/>
  <sheetViews>
    <sheetView topLeftCell="B1" zoomScale="70" zoomScaleNormal="70" workbookViewId="0">
      <pane ySplit="4" topLeftCell="A5" activePane="bottomLeft" state="frozen"/>
      <selection pane="bottomLeft" activeCell="H33" sqref="H33"/>
    </sheetView>
  </sheetViews>
  <sheetFormatPr defaultColWidth="9.109375" defaultRowHeight="14.4" x14ac:dyDescent="0.3"/>
  <cols>
    <col min="1" max="1" width="4.44140625" customWidth="1"/>
    <col min="2" max="2" width="27.109375" bestFit="1" customWidth="1"/>
    <col min="3" max="3" width="11.6640625" bestFit="1" customWidth="1"/>
    <col min="4" max="4" width="8.109375" bestFit="1" customWidth="1"/>
    <col min="5" max="5" width="9.5546875" bestFit="1" customWidth="1"/>
    <col min="6" max="6" width="11" bestFit="1" customWidth="1"/>
    <col min="7" max="7" width="14.88671875" bestFit="1" customWidth="1"/>
    <col min="8" max="8" width="12" bestFit="1" customWidth="1"/>
    <col min="9" max="9" width="7.33203125" bestFit="1" customWidth="1"/>
    <col min="10" max="10" width="5.6640625" bestFit="1" customWidth="1"/>
  </cols>
  <sheetData>
    <row r="2" spans="2:9" s="298" customFormat="1" ht="21" x14ac:dyDescent="0.4">
      <c r="B2" s="392" t="s">
        <v>1215</v>
      </c>
      <c r="C2" s="392"/>
      <c r="D2" s="392"/>
      <c r="E2" s="392"/>
      <c r="F2" s="392"/>
      <c r="G2" s="392"/>
      <c r="H2" s="392"/>
      <c r="I2" s="392"/>
    </row>
    <row r="3" spans="2:9" ht="15" thickBot="1" x14ac:dyDescent="0.35"/>
    <row r="4" spans="2:9" ht="29.4" thickBot="1" x14ac:dyDescent="0.35">
      <c r="B4" s="129" t="s">
        <v>20</v>
      </c>
      <c r="C4" s="130" t="s">
        <v>1052</v>
      </c>
      <c r="D4" s="131" t="s">
        <v>807</v>
      </c>
      <c r="E4" s="131" t="s">
        <v>808</v>
      </c>
      <c r="F4" s="130" t="s">
        <v>1053</v>
      </c>
      <c r="G4" s="130" t="s">
        <v>1058</v>
      </c>
      <c r="H4" s="130" t="s">
        <v>1054</v>
      </c>
      <c r="I4" s="132" t="s">
        <v>809</v>
      </c>
    </row>
    <row r="5" spans="2:9" x14ac:dyDescent="0.3">
      <c r="B5" s="102" t="s">
        <v>33</v>
      </c>
      <c r="C5" s="103">
        <v>500</v>
      </c>
      <c r="D5" s="103">
        <v>8</v>
      </c>
      <c r="E5" s="103">
        <v>17</v>
      </c>
      <c r="F5" s="103">
        <v>9</v>
      </c>
      <c r="G5" s="103">
        <v>0.02</v>
      </c>
      <c r="H5" s="103">
        <v>47.06</v>
      </c>
      <c r="I5" s="105">
        <v>0.72</v>
      </c>
    </row>
    <row r="6" spans="2:9" x14ac:dyDescent="0.3">
      <c r="B6" s="99" t="s">
        <v>33</v>
      </c>
      <c r="C6" s="4">
        <v>500</v>
      </c>
      <c r="D6" s="4">
        <v>9</v>
      </c>
      <c r="E6" s="4">
        <v>17</v>
      </c>
      <c r="F6" s="4">
        <v>8</v>
      </c>
      <c r="G6" s="4">
        <v>0.03</v>
      </c>
      <c r="H6" s="4">
        <v>52.94</v>
      </c>
      <c r="I6" s="5">
        <v>0.76</v>
      </c>
    </row>
    <row r="7" spans="2:9" x14ac:dyDescent="0.3">
      <c r="B7" s="99" t="s">
        <v>33</v>
      </c>
      <c r="C7" s="4">
        <v>500</v>
      </c>
      <c r="D7" s="4">
        <v>7</v>
      </c>
      <c r="E7" s="4">
        <v>17</v>
      </c>
      <c r="F7" s="4">
        <v>10</v>
      </c>
      <c r="G7" s="4">
        <v>0.01</v>
      </c>
      <c r="H7" s="4">
        <v>41.18</v>
      </c>
      <c r="I7" s="5">
        <v>0.87</v>
      </c>
    </row>
    <row r="8" spans="2:9" x14ac:dyDescent="0.3">
      <c r="B8" s="99" t="s">
        <v>33</v>
      </c>
      <c r="C8" s="4">
        <v>500</v>
      </c>
      <c r="D8" s="4">
        <v>3</v>
      </c>
      <c r="E8" s="4">
        <v>17</v>
      </c>
      <c r="F8" s="4">
        <v>14</v>
      </c>
      <c r="G8" s="4">
        <v>0.02</v>
      </c>
      <c r="H8" s="4">
        <v>17.649999999999999</v>
      </c>
      <c r="I8" s="5">
        <v>0.6</v>
      </c>
    </row>
    <row r="9" spans="2:9" x14ac:dyDescent="0.3">
      <c r="B9" s="99" t="s">
        <v>33</v>
      </c>
      <c r="C9" s="4">
        <v>500</v>
      </c>
      <c r="D9" s="4">
        <v>6</v>
      </c>
      <c r="E9" s="4">
        <v>16</v>
      </c>
      <c r="F9" s="4">
        <v>10</v>
      </c>
      <c r="G9" s="4">
        <v>0.03</v>
      </c>
      <c r="H9" s="4">
        <v>37.5</v>
      </c>
      <c r="I9" s="5">
        <v>0.67</v>
      </c>
    </row>
    <row r="10" spans="2:9" x14ac:dyDescent="0.3">
      <c r="B10" s="99" t="s">
        <v>33</v>
      </c>
      <c r="C10" s="4">
        <v>500</v>
      </c>
      <c r="D10" s="4">
        <v>7</v>
      </c>
      <c r="E10" s="4">
        <v>16</v>
      </c>
      <c r="F10" s="4">
        <v>9</v>
      </c>
      <c r="G10" s="4">
        <v>0.03</v>
      </c>
      <c r="H10" s="4">
        <v>43.75</v>
      </c>
      <c r="I10" s="5">
        <v>0.82</v>
      </c>
    </row>
    <row r="11" spans="2:9" x14ac:dyDescent="0.3">
      <c r="B11" s="99" t="s">
        <v>46</v>
      </c>
      <c r="C11" s="4">
        <v>500</v>
      </c>
      <c r="D11" s="4">
        <v>11</v>
      </c>
      <c r="E11" s="4">
        <v>17</v>
      </c>
      <c r="F11" s="4">
        <v>6</v>
      </c>
      <c r="G11" s="4">
        <v>0.04</v>
      </c>
      <c r="H11" s="4">
        <v>64.709999999999994</v>
      </c>
      <c r="I11" s="5">
        <v>0.7</v>
      </c>
    </row>
    <row r="12" spans="2:9" x14ac:dyDescent="0.3">
      <c r="B12" s="99" t="s">
        <v>46</v>
      </c>
      <c r="C12" s="4">
        <v>500</v>
      </c>
      <c r="D12" s="4">
        <v>11</v>
      </c>
      <c r="E12" s="4">
        <v>17</v>
      </c>
      <c r="F12" s="4">
        <v>6</v>
      </c>
      <c r="G12" s="4">
        <v>0.04</v>
      </c>
      <c r="H12" s="4">
        <v>64.709999999999994</v>
      </c>
      <c r="I12" s="5">
        <v>0.76</v>
      </c>
    </row>
    <row r="13" spans="2:9" x14ac:dyDescent="0.3">
      <c r="B13" s="99" t="s">
        <v>46</v>
      </c>
      <c r="C13" s="4">
        <v>500</v>
      </c>
      <c r="D13" s="4">
        <v>6</v>
      </c>
      <c r="E13" s="4">
        <v>17</v>
      </c>
      <c r="F13" s="4">
        <v>11</v>
      </c>
      <c r="G13" s="4">
        <v>0.03</v>
      </c>
      <c r="H13" s="4">
        <v>35.29</v>
      </c>
      <c r="I13" s="5">
        <v>0.75</v>
      </c>
    </row>
    <row r="14" spans="2:9" x14ac:dyDescent="0.3">
      <c r="B14" s="99" t="s">
        <v>56</v>
      </c>
      <c r="C14" s="4">
        <v>500</v>
      </c>
      <c r="D14" s="4">
        <v>6</v>
      </c>
      <c r="E14" s="4">
        <v>17</v>
      </c>
      <c r="F14" s="4">
        <v>11</v>
      </c>
      <c r="G14" s="4">
        <v>0.03</v>
      </c>
      <c r="H14" s="4">
        <v>35.29</v>
      </c>
      <c r="I14" s="5">
        <v>0.48</v>
      </c>
    </row>
    <row r="15" spans="2:9" x14ac:dyDescent="0.3">
      <c r="B15" s="99" t="s">
        <v>56</v>
      </c>
      <c r="C15" s="4">
        <v>500</v>
      </c>
      <c r="D15" s="4">
        <v>5</v>
      </c>
      <c r="E15" s="4">
        <v>17</v>
      </c>
      <c r="F15" s="4">
        <v>12</v>
      </c>
      <c r="G15" s="4">
        <v>0.02</v>
      </c>
      <c r="H15" s="4">
        <v>29.41</v>
      </c>
      <c r="I15" s="5">
        <v>0.75</v>
      </c>
    </row>
    <row r="16" spans="2:9" x14ac:dyDescent="0.3">
      <c r="B16" s="99" t="s">
        <v>56</v>
      </c>
      <c r="C16" s="4">
        <v>500</v>
      </c>
      <c r="D16" s="4">
        <v>4</v>
      </c>
      <c r="E16" s="4">
        <v>17</v>
      </c>
      <c r="F16" s="4">
        <v>13</v>
      </c>
      <c r="G16" s="4">
        <v>0.02</v>
      </c>
      <c r="H16" s="4">
        <v>23.53</v>
      </c>
      <c r="I16" s="5">
        <v>0.66</v>
      </c>
    </row>
    <row r="17" spans="2:9" x14ac:dyDescent="0.3">
      <c r="B17" s="99" t="s">
        <v>56</v>
      </c>
      <c r="C17" s="4">
        <v>500</v>
      </c>
      <c r="D17" s="4">
        <v>3</v>
      </c>
      <c r="E17" s="4">
        <v>15</v>
      </c>
      <c r="F17" s="4">
        <v>12</v>
      </c>
      <c r="G17" s="4">
        <v>0.02</v>
      </c>
      <c r="H17" s="4">
        <v>20</v>
      </c>
      <c r="I17" s="5">
        <v>0.82</v>
      </c>
    </row>
    <row r="18" spans="2:9" x14ac:dyDescent="0.3">
      <c r="B18" s="99" t="s">
        <v>68</v>
      </c>
      <c r="C18" s="4">
        <v>500</v>
      </c>
      <c r="D18" s="4">
        <v>2</v>
      </c>
      <c r="E18" s="4">
        <v>17</v>
      </c>
      <c r="F18" s="4">
        <v>15</v>
      </c>
      <c r="G18" s="4">
        <v>0.69</v>
      </c>
      <c r="H18" s="4">
        <v>11.76</v>
      </c>
      <c r="I18" s="5">
        <v>0.78</v>
      </c>
    </row>
    <row r="19" spans="2:9" x14ac:dyDescent="0.3">
      <c r="B19" s="99" t="s">
        <v>68</v>
      </c>
      <c r="C19" s="4">
        <v>500</v>
      </c>
      <c r="D19" s="4">
        <v>1</v>
      </c>
      <c r="E19" s="4">
        <v>15</v>
      </c>
      <c r="F19" s="4">
        <v>14</v>
      </c>
      <c r="G19" s="4">
        <v>0.67</v>
      </c>
      <c r="H19" s="4">
        <v>6.67</v>
      </c>
      <c r="I19" s="5">
        <v>0.76</v>
      </c>
    </row>
    <row r="20" spans="2:9" x14ac:dyDescent="0.3">
      <c r="B20" s="99" t="s">
        <v>68</v>
      </c>
      <c r="C20" s="4">
        <v>500</v>
      </c>
      <c r="D20" s="4">
        <v>2</v>
      </c>
      <c r="E20" s="4">
        <v>17</v>
      </c>
      <c r="F20" s="4">
        <v>15</v>
      </c>
      <c r="G20" s="4">
        <v>0.69</v>
      </c>
      <c r="H20" s="4">
        <v>11.76</v>
      </c>
      <c r="I20" s="5">
        <v>0.78</v>
      </c>
    </row>
    <row r="21" spans="2:9" x14ac:dyDescent="0.3">
      <c r="B21" s="99" t="s">
        <v>68</v>
      </c>
      <c r="C21" s="4">
        <v>500</v>
      </c>
      <c r="D21" s="4">
        <v>1</v>
      </c>
      <c r="E21" s="4">
        <v>15</v>
      </c>
      <c r="F21" s="4">
        <v>14</v>
      </c>
      <c r="G21" s="4">
        <v>0.67</v>
      </c>
      <c r="H21" s="4">
        <v>6.67</v>
      </c>
      <c r="I21" s="5">
        <v>0.76</v>
      </c>
    </row>
    <row r="22" spans="2:9" x14ac:dyDescent="0.3">
      <c r="B22" s="99" t="s">
        <v>79</v>
      </c>
      <c r="C22" s="4">
        <v>500</v>
      </c>
      <c r="D22" s="4">
        <v>5</v>
      </c>
      <c r="E22" s="4">
        <v>17</v>
      </c>
      <c r="F22" s="4">
        <v>12</v>
      </c>
      <c r="G22" s="4">
        <v>1.31</v>
      </c>
      <c r="H22" s="4">
        <v>29.41</v>
      </c>
      <c r="I22" s="5">
        <v>0.66</v>
      </c>
    </row>
    <row r="23" spans="2:9" x14ac:dyDescent="0.3">
      <c r="B23" s="99" t="s">
        <v>79</v>
      </c>
      <c r="C23" s="4">
        <v>500</v>
      </c>
      <c r="D23" s="4">
        <v>9</v>
      </c>
      <c r="E23" s="4">
        <v>15</v>
      </c>
      <c r="F23" s="4">
        <v>6</v>
      </c>
      <c r="G23" s="4">
        <v>1.22</v>
      </c>
      <c r="H23" s="4">
        <v>60</v>
      </c>
      <c r="I23" s="5">
        <v>0.81</v>
      </c>
    </row>
    <row r="24" spans="2:9" x14ac:dyDescent="0.3">
      <c r="B24" s="99" t="s">
        <v>79</v>
      </c>
      <c r="C24" s="4">
        <v>500</v>
      </c>
      <c r="D24" s="4">
        <v>5</v>
      </c>
      <c r="E24" s="4">
        <v>17</v>
      </c>
      <c r="F24" s="4">
        <v>12</v>
      </c>
      <c r="G24" s="4">
        <v>1.31</v>
      </c>
      <c r="H24" s="4">
        <v>29.41</v>
      </c>
      <c r="I24" s="5">
        <v>0.66</v>
      </c>
    </row>
    <row r="25" spans="2:9" x14ac:dyDescent="0.3">
      <c r="B25" s="99" t="s">
        <v>79</v>
      </c>
      <c r="C25" s="4">
        <v>500</v>
      </c>
      <c r="D25" s="4">
        <v>9</v>
      </c>
      <c r="E25" s="4">
        <v>15</v>
      </c>
      <c r="F25" s="4">
        <v>6</v>
      </c>
      <c r="G25" s="4">
        <v>1.22</v>
      </c>
      <c r="H25" s="4">
        <v>60</v>
      </c>
      <c r="I25" s="5">
        <v>0.81</v>
      </c>
    </row>
    <row r="26" spans="2:9" x14ac:dyDescent="0.3">
      <c r="B26" s="99" t="s">
        <v>79</v>
      </c>
      <c r="C26" s="4">
        <v>500</v>
      </c>
      <c r="D26" s="4">
        <v>5</v>
      </c>
      <c r="E26" s="4">
        <v>17</v>
      </c>
      <c r="F26" s="4">
        <v>12</v>
      </c>
      <c r="G26" s="4">
        <v>1.31</v>
      </c>
      <c r="H26" s="4">
        <v>29.41</v>
      </c>
      <c r="I26" s="5">
        <v>0.49</v>
      </c>
    </row>
    <row r="27" spans="2:9" x14ac:dyDescent="0.3">
      <c r="B27" s="99" t="s">
        <v>79</v>
      </c>
      <c r="C27" s="4">
        <v>500</v>
      </c>
      <c r="D27" s="4">
        <v>7</v>
      </c>
      <c r="E27" s="4">
        <v>17</v>
      </c>
      <c r="F27" s="4">
        <v>10</v>
      </c>
      <c r="G27" s="4">
        <v>0.92</v>
      </c>
      <c r="H27" s="4">
        <v>41.18</v>
      </c>
      <c r="I27" s="5">
        <v>0.61</v>
      </c>
    </row>
    <row r="28" spans="2:9" x14ac:dyDescent="0.3">
      <c r="B28" s="99" t="s">
        <v>89</v>
      </c>
      <c r="C28" s="4">
        <v>500</v>
      </c>
      <c r="D28" s="4">
        <v>3</v>
      </c>
      <c r="E28" s="4">
        <v>16</v>
      </c>
      <c r="F28" s="4">
        <v>13</v>
      </c>
      <c r="G28" s="4">
        <v>1.17</v>
      </c>
      <c r="H28" s="4">
        <v>18.75</v>
      </c>
      <c r="I28" s="5">
        <v>0.65</v>
      </c>
    </row>
    <row r="29" spans="2:9" x14ac:dyDescent="0.3">
      <c r="B29" s="99" t="s">
        <v>89</v>
      </c>
      <c r="C29" s="4">
        <v>500</v>
      </c>
      <c r="D29" s="4">
        <v>1</v>
      </c>
      <c r="E29" s="4">
        <v>17</v>
      </c>
      <c r="F29" s="4">
        <v>16</v>
      </c>
      <c r="G29" s="4">
        <v>0.93</v>
      </c>
      <c r="H29" s="4">
        <v>5.88</v>
      </c>
      <c r="I29" s="5">
        <v>0.66</v>
      </c>
    </row>
    <row r="30" spans="2:9" x14ac:dyDescent="0.3">
      <c r="B30" s="99" t="s">
        <v>89</v>
      </c>
      <c r="C30" s="4">
        <v>500</v>
      </c>
      <c r="D30" s="4">
        <v>3</v>
      </c>
      <c r="E30" s="4">
        <v>16</v>
      </c>
      <c r="F30" s="4">
        <v>13</v>
      </c>
      <c r="G30" s="4">
        <v>1.17</v>
      </c>
      <c r="H30" s="4">
        <v>18.75</v>
      </c>
      <c r="I30" s="5">
        <v>0.65</v>
      </c>
    </row>
    <row r="31" spans="2:9" x14ac:dyDescent="0.3">
      <c r="B31" s="99" t="s">
        <v>89</v>
      </c>
      <c r="C31" s="4">
        <v>500</v>
      </c>
      <c r="D31" s="4">
        <v>1</v>
      </c>
      <c r="E31" s="4">
        <v>17</v>
      </c>
      <c r="F31" s="4">
        <v>16</v>
      </c>
      <c r="G31" s="4">
        <v>0.93</v>
      </c>
      <c r="H31" s="4">
        <v>5.88</v>
      </c>
      <c r="I31" s="5">
        <v>0.66</v>
      </c>
    </row>
    <row r="32" spans="2:9" x14ac:dyDescent="0.3">
      <c r="B32" s="99" t="s">
        <v>95</v>
      </c>
      <c r="C32" s="4">
        <v>500</v>
      </c>
      <c r="D32" s="4">
        <v>6</v>
      </c>
      <c r="E32" s="4">
        <v>17</v>
      </c>
      <c r="F32" s="4">
        <v>11</v>
      </c>
      <c r="G32" s="4">
        <v>0.92</v>
      </c>
      <c r="H32" s="4">
        <v>35.29</v>
      </c>
      <c r="I32" s="5">
        <v>0.78</v>
      </c>
    </row>
    <row r="33" spans="2:9" x14ac:dyDescent="0.3">
      <c r="B33" s="99" t="s">
        <v>95</v>
      </c>
      <c r="C33" s="4">
        <v>500</v>
      </c>
      <c r="D33" s="4">
        <v>4</v>
      </c>
      <c r="E33" s="4">
        <v>17</v>
      </c>
      <c r="F33" s="4">
        <v>13</v>
      </c>
      <c r="G33" s="4">
        <v>0.75</v>
      </c>
      <c r="H33" s="4">
        <v>23.53</v>
      </c>
      <c r="I33" s="5">
        <v>0.77</v>
      </c>
    </row>
    <row r="34" spans="2:9" x14ac:dyDescent="0.3">
      <c r="B34" s="99" t="s">
        <v>95</v>
      </c>
      <c r="C34" s="4">
        <v>500</v>
      </c>
      <c r="D34" s="4">
        <v>6</v>
      </c>
      <c r="E34" s="4">
        <v>17</v>
      </c>
      <c r="F34" s="4">
        <v>11</v>
      </c>
      <c r="G34" s="4">
        <v>0.92</v>
      </c>
      <c r="H34" s="4">
        <v>35.29</v>
      </c>
      <c r="I34" s="5">
        <v>0.78</v>
      </c>
    </row>
    <row r="35" spans="2:9" x14ac:dyDescent="0.3">
      <c r="B35" s="99" t="s">
        <v>95</v>
      </c>
      <c r="C35" s="4">
        <v>500</v>
      </c>
      <c r="D35" s="4">
        <v>4</v>
      </c>
      <c r="E35" s="4">
        <v>17</v>
      </c>
      <c r="F35" s="4">
        <v>13</v>
      </c>
      <c r="G35" s="4">
        <v>0.75</v>
      </c>
      <c r="H35" s="4">
        <v>23.53</v>
      </c>
      <c r="I35" s="5">
        <v>0.77</v>
      </c>
    </row>
    <row r="36" spans="2:9" x14ac:dyDescent="0.3">
      <c r="B36" s="99" t="s">
        <v>106</v>
      </c>
      <c r="C36" s="4">
        <v>500</v>
      </c>
      <c r="D36" s="4">
        <v>6</v>
      </c>
      <c r="E36" s="4">
        <v>17</v>
      </c>
      <c r="F36" s="4">
        <v>11</v>
      </c>
      <c r="G36" s="4">
        <v>0.04</v>
      </c>
      <c r="H36" s="4">
        <v>35.29</v>
      </c>
      <c r="I36" s="5">
        <v>0.43</v>
      </c>
    </row>
    <row r="37" spans="2:9" x14ac:dyDescent="0.3">
      <c r="B37" s="99" t="s">
        <v>106</v>
      </c>
      <c r="C37" s="4">
        <v>500</v>
      </c>
      <c r="D37" s="4">
        <v>9</v>
      </c>
      <c r="E37" s="4">
        <v>17</v>
      </c>
      <c r="F37" s="4">
        <v>8</v>
      </c>
      <c r="G37" s="4">
        <v>0.04</v>
      </c>
      <c r="H37" s="4">
        <v>52.94</v>
      </c>
      <c r="I37" s="5">
        <v>0.66</v>
      </c>
    </row>
    <row r="38" spans="2:9" x14ac:dyDescent="0.3">
      <c r="B38" s="99" t="s">
        <v>106</v>
      </c>
      <c r="C38" s="4">
        <v>500</v>
      </c>
      <c r="D38" s="4">
        <v>5</v>
      </c>
      <c r="E38" s="4">
        <v>17</v>
      </c>
      <c r="F38" s="4">
        <v>12</v>
      </c>
      <c r="G38" s="4">
        <v>0.05</v>
      </c>
      <c r="H38" s="4">
        <v>29.41</v>
      </c>
      <c r="I38" s="5">
        <v>0.33</v>
      </c>
    </row>
    <row r="39" spans="2:9" x14ac:dyDescent="0.3">
      <c r="B39" s="99" t="s">
        <v>106</v>
      </c>
      <c r="C39" s="4">
        <v>500</v>
      </c>
      <c r="D39" s="4">
        <v>0</v>
      </c>
      <c r="E39" s="4">
        <v>17</v>
      </c>
      <c r="F39" s="4">
        <v>17</v>
      </c>
      <c r="G39" s="4">
        <v>0.05</v>
      </c>
      <c r="H39" s="4">
        <v>0</v>
      </c>
      <c r="I39" s="5">
        <v>0.49</v>
      </c>
    </row>
    <row r="40" spans="2:9" x14ac:dyDescent="0.3">
      <c r="B40" s="99" t="s">
        <v>111</v>
      </c>
      <c r="C40" s="4">
        <v>500</v>
      </c>
      <c r="D40" s="4">
        <v>6</v>
      </c>
      <c r="E40" s="4">
        <v>17</v>
      </c>
      <c r="F40" s="4">
        <v>11</v>
      </c>
      <c r="G40" s="4">
        <v>0.03</v>
      </c>
      <c r="H40" s="4">
        <v>35.29</v>
      </c>
      <c r="I40" s="5">
        <v>0.56000000000000005</v>
      </c>
    </row>
    <row r="41" spans="2:9" x14ac:dyDescent="0.3">
      <c r="B41" s="99" t="s">
        <v>111</v>
      </c>
      <c r="C41" s="4">
        <v>500</v>
      </c>
      <c r="D41" s="4">
        <v>10</v>
      </c>
      <c r="E41" s="4">
        <v>17</v>
      </c>
      <c r="F41" s="4">
        <v>7</v>
      </c>
      <c r="G41" s="4">
        <v>0.03</v>
      </c>
      <c r="H41" s="4">
        <v>58.82</v>
      </c>
      <c r="I41" s="5">
        <v>0.72</v>
      </c>
    </row>
    <row r="42" spans="2:9" x14ac:dyDescent="0.3">
      <c r="B42" s="99" t="s">
        <v>111</v>
      </c>
      <c r="C42" s="4">
        <v>500</v>
      </c>
      <c r="D42" s="4">
        <v>0</v>
      </c>
      <c r="E42" s="4">
        <v>17</v>
      </c>
      <c r="F42" s="4">
        <v>17</v>
      </c>
      <c r="G42" s="4">
        <v>0.04</v>
      </c>
      <c r="H42" s="4">
        <v>0</v>
      </c>
      <c r="I42" s="5">
        <v>0.27</v>
      </c>
    </row>
    <row r="43" spans="2:9" x14ac:dyDescent="0.3">
      <c r="B43" s="99" t="s">
        <v>111</v>
      </c>
      <c r="C43" s="4">
        <v>500</v>
      </c>
      <c r="D43" s="4">
        <v>2</v>
      </c>
      <c r="E43" s="4">
        <v>17</v>
      </c>
      <c r="F43" s="4">
        <v>15</v>
      </c>
      <c r="G43" s="4">
        <v>0.09</v>
      </c>
      <c r="H43" s="4">
        <v>11.76</v>
      </c>
      <c r="I43" s="5">
        <v>0.08</v>
      </c>
    </row>
    <row r="44" spans="2:9" x14ac:dyDescent="0.3">
      <c r="B44" s="99" t="s">
        <v>122</v>
      </c>
      <c r="C44" s="4">
        <v>500</v>
      </c>
      <c r="D44" s="4">
        <v>0</v>
      </c>
      <c r="E44" s="4">
        <v>17</v>
      </c>
      <c r="F44" s="4">
        <v>17</v>
      </c>
      <c r="G44" s="4">
        <v>0.02</v>
      </c>
      <c r="H44" s="4">
        <v>0</v>
      </c>
      <c r="I44" s="5">
        <v>0.43</v>
      </c>
    </row>
    <row r="45" spans="2:9" x14ac:dyDescent="0.3">
      <c r="B45" s="99" t="s">
        <v>122</v>
      </c>
      <c r="C45" s="4">
        <v>500</v>
      </c>
      <c r="D45" s="4">
        <v>2</v>
      </c>
      <c r="E45" s="4">
        <v>16</v>
      </c>
      <c r="F45" s="4">
        <v>14</v>
      </c>
      <c r="G45" s="4">
        <v>0.02</v>
      </c>
      <c r="H45" s="4">
        <v>12.5</v>
      </c>
      <c r="I45" s="5">
        <v>0.65</v>
      </c>
    </row>
    <row r="46" spans="2:9" x14ac:dyDescent="0.3">
      <c r="B46" s="99" t="s">
        <v>122</v>
      </c>
      <c r="C46" s="4">
        <v>500</v>
      </c>
      <c r="D46" s="4">
        <v>2</v>
      </c>
      <c r="E46" s="4">
        <v>17</v>
      </c>
      <c r="F46" s="4">
        <v>15</v>
      </c>
      <c r="G46" s="4">
        <v>0.02</v>
      </c>
      <c r="H46" s="4">
        <v>11.76</v>
      </c>
      <c r="I46" s="5">
        <v>0.67</v>
      </c>
    </row>
    <row r="47" spans="2:9" x14ac:dyDescent="0.3">
      <c r="B47" s="99" t="s">
        <v>122</v>
      </c>
      <c r="C47" s="4">
        <v>500</v>
      </c>
      <c r="D47" s="4">
        <v>1</v>
      </c>
      <c r="E47" s="4">
        <v>16</v>
      </c>
      <c r="F47" s="4">
        <v>15</v>
      </c>
      <c r="G47" s="4">
        <v>0.03</v>
      </c>
      <c r="H47" s="4">
        <v>6.25</v>
      </c>
      <c r="I47" s="5">
        <v>0.7</v>
      </c>
    </row>
    <row r="48" spans="2:9" x14ac:dyDescent="0.3">
      <c r="B48" s="99" t="s">
        <v>142</v>
      </c>
      <c r="C48" s="4">
        <v>500</v>
      </c>
      <c r="D48" s="4">
        <v>1</v>
      </c>
      <c r="E48" s="4">
        <v>15</v>
      </c>
      <c r="F48" s="4">
        <v>14</v>
      </c>
      <c r="G48" s="4">
        <v>2.71</v>
      </c>
      <c r="H48" s="4">
        <v>6.67</v>
      </c>
      <c r="I48" s="5">
        <v>0.08</v>
      </c>
    </row>
    <row r="49" spans="2:9" x14ac:dyDescent="0.3">
      <c r="B49" s="99" t="s">
        <v>142</v>
      </c>
      <c r="C49" s="4">
        <v>500</v>
      </c>
      <c r="D49" s="4">
        <v>4</v>
      </c>
      <c r="E49" s="4">
        <v>17</v>
      </c>
      <c r="F49" s="4">
        <v>13</v>
      </c>
      <c r="G49" s="4">
        <v>1.85</v>
      </c>
      <c r="H49" s="4">
        <v>23.53</v>
      </c>
      <c r="I49" s="5">
        <v>0.45</v>
      </c>
    </row>
    <row r="50" spans="2:9" x14ac:dyDescent="0.3">
      <c r="B50" s="99" t="s">
        <v>142</v>
      </c>
      <c r="C50" s="4">
        <v>500</v>
      </c>
      <c r="D50" s="4">
        <v>1</v>
      </c>
      <c r="E50" s="4">
        <v>15</v>
      </c>
      <c r="F50" s="4">
        <v>14</v>
      </c>
      <c r="G50" s="4">
        <v>2.71</v>
      </c>
      <c r="H50" s="4">
        <v>6.67</v>
      </c>
      <c r="I50" s="5">
        <v>0.08</v>
      </c>
    </row>
    <row r="51" spans="2:9" x14ac:dyDescent="0.3">
      <c r="B51" s="99" t="s">
        <v>142</v>
      </c>
      <c r="C51" s="4">
        <v>500</v>
      </c>
      <c r="D51" s="4">
        <v>4</v>
      </c>
      <c r="E51" s="4">
        <v>17</v>
      </c>
      <c r="F51" s="4">
        <v>13</v>
      </c>
      <c r="G51" s="4">
        <v>1.85</v>
      </c>
      <c r="H51" s="4">
        <v>23.53</v>
      </c>
      <c r="I51" s="5">
        <v>0.45</v>
      </c>
    </row>
    <row r="52" spans="2:9" x14ac:dyDescent="0.3">
      <c r="B52" s="99" t="s">
        <v>151</v>
      </c>
      <c r="C52" s="4">
        <v>500</v>
      </c>
      <c r="D52" s="4">
        <v>3</v>
      </c>
      <c r="E52" s="4">
        <v>17</v>
      </c>
      <c r="F52" s="4">
        <v>14</v>
      </c>
      <c r="G52" s="4">
        <v>2.25</v>
      </c>
      <c r="H52" s="4">
        <v>17.649999999999999</v>
      </c>
      <c r="I52" s="5">
        <v>0.32</v>
      </c>
    </row>
    <row r="53" spans="2:9" x14ac:dyDescent="0.3">
      <c r="B53" s="99" t="s">
        <v>151</v>
      </c>
      <c r="C53" s="4">
        <v>500</v>
      </c>
      <c r="D53" s="4">
        <v>3</v>
      </c>
      <c r="E53" s="4">
        <v>16</v>
      </c>
      <c r="F53" s="4">
        <v>13</v>
      </c>
      <c r="G53" s="4">
        <v>1.43</v>
      </c>
      <c r="H53" s="4">
        <v>18.75</v>
      </c>
      <c r="I53" s="5">
        <v>0.54</v>
      </c>
    </row>
    <row r="54" spans="2:9" x14ac:dyDescent="0.3">
      <c r="B54" s="99" t="s">
        <v>151</v>
      </c>
      <c r="C54" s="4">
        <v>500</v>
      </c>
      <c r="D54" s="4">
        <v>3</v>
      </c>
      <c r="E54" s="4">
        <v>17</v>
      </c>
      <c r="F54" s="4">
        <v>14</v>
      </c>
      <c r="G54" s="4">
        <v>2.25</v>
      </c>
      <c r="H54" s="4">
        <v>17.649999999999999</v>
      </c>
      <c r="I54" s="5">
        <v>0.32</v>
      </c>
    </row>
    <row r="55" spans="2:9" x14ac:dyDescent="0.3">
      <c r="B55" s="99" t="s">
        <v>151</v>
      </c>
      <c r="C55" s="4">
        <v>500</v>
      </c>
      <c r="D55" s="4">
        <v>3</v>
      </c>
      <c r="E55" s="4">
        <v>16</v>
      </c>
      <c r="F55" s="4">
        <v>13</v>
      </c>
      <c r="G55" s="4">
        <v>1.43</v>
      </c>
      <c r="H55" s="4">
        <v>18.75</v>
      </c>
      <c r="I55" s="5">
        <v>0.54</v>
      </c>
    </row>
    <row r="56" spans="2:9" x14ac:dyDescent="0.3">
      <c r="B56" s="99" t="s">
        <v>160</v>
      </c>
      <c r="C56" s="4">
        <v>500</v>
      </c>
      <c r="D56" s="4">
        <v>0</v>
      </c>
      <c r="E56" s="4">
        <v>17</v>
      </c>
      <c r="F56" s="4">
        <v>8</v>
      </c>
      <c r="G56" s="4">
        <v>0.68</v>
      </c>
      <c r="H56" s="4">
        <v>0</v>
      </c>
      <c r="I56" s="5">
        <v>-0.09</v>
      </c>
    </row>
    <row r="57" spans="2:9" x14ac:dyDescent="0.3">
      <c r="B57" s="99" t="s">
        <v>160</v>
      </c>
      <c r="C57" s="4">
        <v>500</v>
      </c>
      <c r="D57" s="4">
        <v>1</v>
      </c>
      <c r="E57" s="4">
        <v>17</v>
      </c>
      <c r="F57" s="4">
        <v>8</v>
      </c>
      <c r="G57" s="4">
        <v>0.68</v>
      </c>
      <c r="H57" s="4">
        <v>5.88</v>
      </c>
      <c r="I57" s="5">
        <v>0.05</v>
      </c>
    </row>
    <row r="58" spans="2:9" x14ac:dyDescent="0.3">
      <c r="B58" s="99" t="s">
        <v>165</v>
      </c>
      <c r="C58" s="4">
        <v>500</v>
      </c>
      <c r="D58" s="4">
        <v>1</v>
      </c>
      <c r="E58" s="4">
        <v>17</v>
      </c>
      <c r="F58" s="4">
        <v>8</v>
      </c>
      <c r="G58" s="4">
        <v>0.28999999999999998</v>
      </c>
      <c r="H58" s="4">
        <v>5.88</v>
      </c>
      <c r="I58" s="5">
        <v>0.56000000000000005</v>
      </c>
    </row>
    <row r="59" spans="2:9" x14ac:dyDescent="0.3">
      <c r="B59" s="99" t="s">
        <v>165</v>
      </c>
      <c r="C59" s="4">
        <v>500</v>
      </c>
      <c r="D59" s="4">
        <v>2</v>
      </c>
      <c r="E59" s="4">
        <v>17</v>
      </c>
      <c r="F59" s="4">
        <v>7</v>
      </c>
      <c r="G59" s="4">
        <v>0.4</v>
      </c>
      <c r="H59" s="4">
        <v>11.76</v>
      </c>
      <c r="I59" s="5">
        <v>0.47</v>
      </c>
    </row>
    <row r="60" spans="2:9" x14ac:dyDescent="0.3">
      <c r="B60" s="99" t="s">
        <v>156</v>
      </c>
      <c r="C60" s="4">
        <v>500</v>
      </c>
      <c r="D60" s="4">
        <v>16</v>
      </c>
      <c r="E60" s="4">
        <v>17</v>
      </c>
      <c r="F60" s="4">
        <v>1</v>
      </c>
      <c r="G60" s="4">
        <v>0.36</v>
      </c>
      <c r="H60" s="4">
        <v>94.12</v>
      </c>
      <c r="I60" s="5">
        <v>0.99</v>
      </c>
    </row>
    <row r="61" spans="2:9" x14ac:dyDescent="0.3">
      <c r="B61" s="99" t="s">
        <v>156</v>
      </c>
      <c r="C61" s="4">
        <v>500</v>
      </c>
      <c r="D61" s="4">
        <v>16</v>
      </c>
      <c r="E61" s="4">
        <v>16</v>
      </c>
      <c r="F61" s="4">
        <v>0</v>
      </c>
      <c r="G61" s="4">
        <v>0</v>
      </c>
      <c r="H61" s="4">
        <v>100</v>
      </c>
      <c r="I61" s="5">
        <v>1</v>
      </c>
    </row>
    <row r="62" spans="2:9" x14ac:dyDescent="0.3">
      <c r="B62" s="99" t="s">
        <v>156</v>
      </c>
      <c r="C62" s="4">
        <v>500</v>
      </c>
      <c r="D62" s="4">
        <v>16</v>
      </c>
      <c r="E62" s="4">
        <v>17</v>
      </c>
      <c r="F62" s="4">
        <v>1</v>
      </c>
      <c r="G62" s="4">
        <v>0.36</v>
      </c>
      <c r="H62" s="4">
        <v>94.12</v>
      </c>
      <c r="I62" s="5">
        <v>0.99</v>
      </c>
    </row>
    <row r="63" spans="2:9" x14ac:dyDescent="0.3">
      <c r="B63" s="99" t="s">
        <v>156</v>
      </c>
      <c r="C63" s="4">
        <v>500</v>
      </c>
      <c r="D63" s="4">
        <v>16</v>
      </c>
      <c r="E63" s="4">
        <v>16</v>
      </c>
      <c r="F63" s="4">
        <v>0</v>
      </c>
      <c r="G63" s="4">
        <v>0</v>
      </c>
      <c r="H63" s="4">
        <v>100</v>
      </c>
      <c r="I63" s="5">
        <v>1</v>
      </c>
    </row>
    <row r="64" spans="2:9" x14ac:dyDescent="0.3">
      <c r="B64" s="99" t="s">
        <v>156</v>
      </c>
      <c r="C64" s="4">
        <v>500</v>
      </c>
      <c r="D64" s="4">
        <v>7</v>
      </c>
      <c r="E64" s="4">
        <v>17</v>
      </c>
      <c r="F64" s="4">
        <v>10</v>
      </c>
      <c r="G64" s="4">
        <v>0.36</v>
      </c>
      <c r="H64" s="4">
        <v>41.18</v>
      </c>
      <c r="I64" s="5">
        <v>0.89</v>
      </c>
    </row>
    <row r="65" spans="2:9" x14ac:dyDescent="0.3">
      <c r="B65" s="99" t="s">
        <v>156</v>
      </c>
      <c r="C65" s="4">
        <v>500</v>
      </c>
      <c r="D65" s="4">
        <v>10</v>
      </c>
      <c r="E65" s="4">
        <v>15</v>
      </c>
      <c r="F65" s="4">
        <v>5</v>
      </c>
      <c r="G65" s="4">
        <v>0.25</v>
      </c>
      <c r="H65" s="4">
        <v>66.67</v>
      </c>
      <c r="I65" s="5">
        <v>0.94</v>
      </c>
    </row>
    <row r="66" spans="2:9" x14ac:dyDescent="0.3">
      <c r="B66" s="99" t="s">
        <v>173</v>
      </c>
      <c r="C66" s="4">
        <v>500</v>
      </c>
      <c r="D66" s="4">
        <v>9</v>
      </c>
      <c r="E66" s="4">
        <v>17</v>
      </c>
      <c r="F66" s="4">
        <v>8</v>
      </c>
      <c r="G66" s="4">
        <v>0.76</v>
      </c>
      <c r="H66" s="4">
        <v>52.94</v>
      </c>
      <c r="I66" s="5">
        <v>0.87</v>
      </c>
    </row>
    <row r="67" spans="2:9" x14ac:dyDescent="0.3">
      <c r="B67" s="99" t="s">
        <v>173</v>
      </c>
      <c r="C67" s="4">
        <v>500</v>
      </c>
      <c r="D67" s="4">
        <v>9</v>
      </c>
      <c r="E67" s="4">
        <v>16</v>
      </c>
      <c r="F67" s="4">
        <v>7</v>
      </c>
      <c r="G67" s="4">
        <v>0.82</v>
      </c>
      <c r="H67" s="4">
        <v>56.25</v>
      </c>
      <c r="I67" s="5">
        <v>0.86</v>
      </c>
    </row>
    <row r="68" spans="2:9" x14ac:dyDescent="0.3">
      <c r="B68" s="99" t="s">
        <v>173</v>
      </c>
      <c r="C68" s="4">
        <v>500</v>
      </c>
      <c r="D68" s="4">
        <v>9</v>
      </c>
      <c r="E68" s="4">
        <v>17</v>
      </c>
      <c r="F68" s="4">
        <v>8</v>
      </c>
      <c r="G68" s="4">
        <v>0.76</v>
      </c>
      <c r="H68" s="4">
        <v>52.94</v>
      </c>
      <c r="I68" s="5">
        <v>0.87</v>
      </c>
    </row>
    <row r="69" spans="2:9" x14ac:dyDescent="0.3">
      <c r="B69" s="99" t="s">
        <v>173</v>
      </c>
      <c r="C69" s="4">
        <v>500</v>
      </c>
      <c r="D69" s="4">
        <v>9</v>
      </c>
      <c r="E69" s="4">
        <v>16</v>
      </c>
      <c r="F69" s="4">
        <v>7</v>
      </c>
      <c r="G69" s="4">
        <v>0.82</v>
      </c>
      <c r="H69" s="4">
        <v>56.25</v>
      </c>
      <c r="I69" s="5">
        <v>0.86</v>
      </c>
    </row>
    <row r="70" spans="2:9" x14ac:dyDescent="0.3">
      <c r="B70" s="99" t="s">
        <v>173</v>
      </c>
      <c r="C70" s="4">
        <v>500</v>
      </c>
      <c r="D70" s="4">
        <v>8</v>
      </c>
      <c r="E70" s="4">
        <v>17</v>
      </c>
      <c r="F70" s="4">
        <v>9</v>
      </c>
      <c r="G70" s="4">
        <v>0.81</v>
      </c>
      <c r="H70" s="4">
        <v>47.06</v>
      </c>
      <c r="I70" s="5">
        <v>0.77</v>
      </c>
    </row>
    <row r="71" spans="2:9" x14ac:dyDescent="0.3">
      <c r="B71" s="99" t="s">
        <v>173</v>
      </c>
      <c r="C71" s="4">
        <v>500</v>
      </c>
      <c r="D71" s="4">
        <v>8</v>
      </c>
      <c r="E71" s="4">
        <v>17</v>
      </c>
      <c r="F71" s="4">
        <v>9</v>
      </c>
      <c r="G71" s="4">
        <v>0.85</v>
      </c>
      <c r="H71" s="4">
        <v>47.06</v>
      </c>
      <c r="I71" s="5">
        <v>0.68</v>
      </c>
    </row>
    <row r="72" spans="2:9" x14ac:dyDescent="0.3">
      <c r="B72" s="99" t="s">
        <v>182</v>
      </c>
      <c r="C72" s="4">
        <v>500</v>
      </c>
      <c r="D72" s="4">
        <v>1</v>
      </c>
      <c r="E72" s="4">
        <v>17</v>
      </c>
      <c r="F72" s="4">
        <v>16</v>
      </c>
      <c r="G72" s="4">
        <v>0.03</v>
      </c>
      <c r="H72" s="4">
        <v>5.88</v>
      </c>
      <c r="I72" s="5">
        <v>0.31</v>
      </c>
    </row>
    <row r="73" spans="2:9" x14ac:dyDescent="0.3">
      <c r="B73" s="99" t="s">
        <v>182</v>
      </c>
      <c r="C73" s="4">
        <v>500</v>
      </c>
      <c r="D73" s="4">
        <v>1</v>
      </c>
      <c r="E73" s="4">
        <v>17</v>
      </c>
      <c r="F73" s="4">
        <v>16</v>
      </c>
      <c r="G73" s="4">
        <v>0.03</v>
      </c>
      <c r="H73" s="4">
        <v>5.88</v>
      </c>
      <c r="I73" s="5">
        <v>0.47</v>
      </c>
    </row>
    <row r="74" spans="2:9" x14ac:dyDescent="0.3">
      <c r="B74" s="99" t="s">
        <v>182</v>
      </c>
      <c r="C74" s="4">
        <v>500</v>
      </c>
      <c r="D74" s="4">
        <v>9</v>
      </c>
      <c r="E74" s="4">
        <v>17</v>
      </c>
      <c r="F74" s="4">
        <v>8</v>
      </c>
      <c r="G74" s="4">
        <v>0.02</v>
      </c>
      <c r="H74" s="4">
        <v>52.94</v>
      </c>
      <c r="I74" s="5">
        <v>0.79</v>
      </c>
    </row>
    <row r="75" spans="2:9" x14ac:dyDescent="0.3">
      <c r="B75" s="99" t="s">
        <v>182</v>
      </c>
      <c r="C75" s="4">
        <v>500</v>
      </c>
      <c r="D75" s="4">
        <v>10</v>
      </c>
      <c r="E75" s="4">
        <v>17</v>
      </c>
      <c r="F75" s="4">
        <v>7</v>
      </c>
      <c r="G75" s="4">
        <v>0.03</v>
      </c>
      <c r="H75" s="4">
        <v>58.82</v>
      </c>
      <c r="I75" s="5">
        <v>0.85</v>
      </c>
    </row>
    <row r="76" spans="2:9" x14ac:dyDescent="0.3">
      <c r="B76" s="99" t="s">
        <v>810</v>
      </c>
      <c r="C76" s="4">
        <v>500</v>
      </c>
      <c r="D76" s="4">
        <v>16</v>
      </c>
      <c r="E76" s="4">
        <v>17</v>
      </c>
      <c r="F76" s="4">
        <v>1</v>
      </c>
      <c r="G76" s="4">
        <v>0.61</v>
      </c>
      <c r="H76" s="4">
        <v>94.12</v>
      </c>
      <c r="I76" s="5">
        <v>0.98</v>
      </c>
    </row>
    <row r="77" spans="2:9" x14ac:dyDescent="0.3">
      <c r="B77" s="99" t="s">
        <v>810</v>
      </c>
      <c r="C77" s="4">
        <v>500</v>
      </c>
      <c r="D77" s="4">
        <v>13</v>
      </c>
      <c r="E77" s="4">
        <v>15</v>
      </c>
      <c r="F77" s="4">
        <v>2</v>
      </c>
      <c r="G77" s="4">
        <v>0.25</v>
      </c>
      <c r="H77" s="4">
        <v>86.67</v>
      </c>
      <c r="I77" s="5">
        <v>0.98</v>
      </c>
    </row>
    <row r="78" spans="2:9" x14ac:dyDescent="0.3">
      <c r="B78" s="99" t="s">
        <v>810</v>
      </c>
      <c r="C78" s="4">
        <v>500</v>
      </c>
      <c r="D78" s="4">
        <v>16</v>
      </c>
      <c r="E78" s="4">
        <v>17</v>
      </c>
      <c r="F78" s="4">
        <v>1</v>
      </c>
      <c r="G78" s="4">
        <v>0.28000000000000003</v>
      </c>
      <c r="H78" s="4">
        <v>94.12</v>
      </c>
      <c r="I78" s="5">
        <v>0.98</v>
      </c>
    </row>
    <row r="79" spans="2:9" x14ac:dyDescent="0.3">
      <c r="B79" s="99" t="s">
        <v>810</v>
      </c>
      <c r="C79" s="4">
        <v>500</v>
      </c>
      <c r="D79" s="4">
        <v>14</v>
      </c>
      <c r="E79" s="4">
        <v>17</v>
      </c>
      <c r="F79" s="4">
        <v>3</v>
      </c>
      <c r="G79" s="4">
        <v>0.28999999999999998</v>
      </c>
      <c r="H79" s="4">
        <v>82.35</v>
      </c>
      <c r="I79" s="5">
        <v>0.95</v>
      </c>
    </row>
    <row r="80" spans="2:9" x14ac:dyDescent="0.3">
      <c r="B80" s="99" t="s">
        <v>810</v>
      </c>
      <c r="C80" s="4">
        <v>500</v>
      </c>
      <c r="D80" s="4">
        <v>11</v>
      </c>
      <c r="E80" s="4">
        <v>17</v>
      </c>
      <c r="F80" s="4">
        <v>6</v>
      </c>
      <c r="G80" s="4">
        <v>0.04</v>
      </c>
      <c r="H80" s="4">
        <v>64.709999999999994</v>
      </c>
      <c r="I80" s="5">
        <v>0.85</v>
      </c>
    </row>
    <row r="81" spans="2:9" x14ac:dyDescent="0.3">
      <c r="B81" s="99" t="s">
        <v>810</v>
      </c>
      <c r="C81" s="4">
        <v>500</v>
      </c>
      <c r="D81" s="4">
        <v>15</v>
      </c>
      <c r="E81" s="4">
        <v>17</v>
      </c>
      <c r="F81" s="4">
        <v>2</v>
      </c>
      <c r="G81" s="4">
        <v>0.27</v>
      </c>
      <c r="H81" s="4">
        <v>88.24</v>
      </c>
      <c r="I81" s="5">
        <v>0.24</v>
      </c>
    </row>
    <row r="82" spans="2:9" x14ac:dyDescent="0.3">
      <c r="B82" s="99" t="s">
        <v>810</v>
      </c>
      <c r="C82" s="4">
        <v>500</v>
      </c>
      <c r="D82" s="4">
        <v>15</v>
      </c>
      <c r="E82" s="4">
        <v>17</v>
      </c>
      <c r="F82" s="4">
        <v>2</v>
      </c>
      <c r="G82" s="4">
        <v>0.42</v>
      </c>
      <c r="H82" s="4">
        <v>88.24</v>
      </c>
      <c r="I82" s="5">
        <v>0.98</v>
      </c>
    </row>
    <row r="83" spans="2:9" x14ac:dyDescent="0.3">
      <c r="B83" s="99" t="s">
        <v>810</v>
      </c>
      <c r="C83" s="4">
        <v>500</v>
      </c>
      <c r="D83" s="4">
        <v>16</v>
      </c>
      <c r="E83" s="4">
        <v>17</v>
      </c>
      <c r="F83" s="4">
        <v>1</v>
      </c>
      <c r="G83" s="4">
        <v>0.24</v>
      </c>
      <c r="H83" s="4">
        <v>94.12</v>
      </c>
      <c r="I83" s="5">
        <v>0.99</v>
      </c>
    </row>
    <row r="84" spans="2:9" x14ac:dyDescent="0.3">
      <c r="B84" s="99" t="s">
        <v>810</v>
      </c>
      <c r="C84" s="4">
        <v>500</v>
      </c>
      <c r="D84" s="4">
        <v>14</v>
      </c>
      <c r="E84" s="4">
        <v>17</v>
      </c>
      <c r="F84" s="4">
        <v>3</v>
      </c>
      <c r="G84" s="4">
        <v>0.3</v>
      </c>
      <c r="H84" s="4">
        <v>82.35</v>
      </c>
      <c r="I84" s="5">
        <v>0.97</v>
      </c>
    </row>
    <row r="85" spans="2:9" x14ac:dyDescent="0.3">
      <c r="B85" s="99" t="s">
        <v>810</v>
      </c>
      <c r="C85" s="4">
        <v>500</v>
      </c>
      <c r="D85" s="4">
        <v>17</v>
      </c>
      <c r="E85" s="4">
        <v>17</v>
      </c>
      <c r="F85" s="4">
        <v>0</v>
      </c>
      <c r="G85" s="4">
        <v>0</v>
      </c>
      <c r="H85" s="4">
        <v>100</v>
      </c>
      <c r="I85" s="5">
        <v>1</v>
      </c>
    </row>
    <row r="86" spans="2:9" x14ac:dyDescent="0.3">
      <c r="B86" s="99" t="s">
        <v>811</v>
      </c>
      <c r="C86" s="4">
        <v>500</v>
      </c>
      <c r="D86" s="4">
        <v>15</v>
      </c>
      <c r="E86" s="4">
        <v>16</v>
      </c>
      <c r="F86" s="4">
        <v>1</v>
      </c>
      <c r="G86" s="4">
        <v>0.48</v>
      </c>
      <c r="H86" s="4">
        <v>93.75</v>
      </c>
      <c r="I86" s="5">
        <v>0.98</v>
      </c>
    </row>
    <row r="87" spans="2:9" x14ac:dyDescent="0.3">
      <c r="B87" s="99" t="s">
        <v>811</v>
      </c>
      <c r="C87" s="4">
        <v>500</v>
      </c>
      <c r="D87" s="4">
        <v>14</v>
      </c>
      <c r="E87" s="4">
        <v>17</v>
      </c>
      <c r="F87" s="4">
        <v>3</v>
      </c>
      <c r="G87" s="4">
        <v>0.4</v>
      </c>
      <c r="H87" s="4">
        <v>82.35</v>
      </c>
      <c r="I87" s="5">
        <v>0.96</v>
      </c>
    </row>
    <row r="88" spans="2:9" x14ac:dyDescent="0.3">
      <c r="B88" s="99" t="s">
        <v>811</v>
      </c>
      <c r="C88" s="4">
        <v>500</v>
      </c>
      <c r="D88" s="4">
        <v>15</v>
      </c>
      <c r="E88" s="4">
        <v>17</v>
      </c>
      <c r="F88" s="4">
        <v>2</v>
      </c>
      <c r="G88" s="4">
        <v>0.36</v>
      </c>
      <c r="H88" s="4">
        <v>88.24</v>
      </c>
      <c r="I88" s="5">
        <v>0.96</v>
      </c>
    </row>
    <row r="89" spans="2:9" x14ac:dyDescent="0.3">
      <c r="B89" s="99" t="s">
        <v>811</v>
      </c>
      <c r="C89" s="4">
        <v>500</v>
      </c>
      <c r="D89" s="4">
        <v>16</v>
      </c>
      <c r="E89" s="4">
        <v>17</v>
      </c>
      <c r="F89" s="4">
        <v>1</v>
      </c>
      <c r="G89" s="4">
        <v>0.41</v>
      </c>
      <c r="H89" s="4">
        <v>94.12</v>
      </c>
      <c r="I89" s="5">
        <v>0.98</v>
      </c>
    </row>
    <row r="90" spans="2:9" x14ac:dyDescent="0.3">
      <c r="B90" s="99" t="s">
        <v>811</v>
      </c>
      <c r="C90" s="4">
        <v>500</v>
      </c>
      <c r="D90" s="4">
        <v>16</v>
      </c>
      <c r="E90" s="4">
        <v>17</v>
      </c>
      <c r="F90" s="4">
        <v>1</v>
      </c>
      <c r="G90" s="4">
        <v>0.41</v>
      </c>
      <c r="H90" s="4">
        <v>94.12</v>
      </c>
      <c r="I90" s="5">
        <v>0.99</v>
      </c>
    </row>
    <row r="91" spans="2:9" x14ac:dyDescent="0.3">
      <c r="B91" s="99" t="s">
        <v>811</v>
      </c>
      <c r="C91" s="4">
        <v>500</v>
      </c>
      <c r="D91" s="4">
        <v>16</v>
      </c>
      <c r="E91" s="4">
        <v>17</v>
      </c>
      <c r="F91" s="4">
        <v>1</v>
      </c>
      <c r="G91" s="4">
        <v>0.31</v>
      </c>
      <c r="H91" s="4">
        <v>94.12</v>
      </c>
      <c r="I91" s="5">
        <v>0.99</v>
      </c>
    </row>
    <row r="92" spans="2:9" x14ac:dyDescent="0.3">
      <c r="B92" s="99" t="s">
        <v>209</v>
      </c>
      <c r="C92" s="4">
        <v>500</v>
      </c>
      <c r="D92" s="4">
        <v>17</v>
      </c>
      <c r="E92" s="4">
        <v>17</v>
      </c>
      <c r="F92" s="4">
        <v>0</v>
      </c>
      <c r="G92" s="4">
        <v>0</v>
      </c>
      <c r="H92" s="4">
        <v>100</v>
      </c>
      <c r="I92" s="5">
        <v>1</v>
      </c>
    </row>
    <row r="93" spans="2:9" x14ac:dyDescent="0.3">
      <c r="B93" s="99" t="s">
        <v>209</v>
      </c>
      <c r="C93" s="4">
        <v>500</v>
      </c>
      <c r="D93" s="4">
        <v>17</v>
      </c>
      <c r="E93" s="4">
        <v>17</v>
      </c>
      <c r="F93" s="4">
        <v>0</v>
      </c>
      <c r="G93" s="4">
        <v>0</v>
      </c>
      <c r="H93" s="4">
        <v>100</v>
      </c>
      <c r="I93" s="5">
        <v>1</v>
      </c>
    </row>
    <row r="94" spans="2:9" x14ac:dyDescent="0.3">
      <c r="B94" s="99" t="s">
        <v>209</v>
      </c>
      <c r="C94" s="4">
        <v>500</v>
      </c>
      <c r="D94" s="4">
        <v>17</v>
      </c>
      <c r="E94" s="4">
        <v>17</v>
      </c>
      <c r="F94" s="4">
        <v>0</v>
      </c>
      <c r="G94" s="4">
        <v>0</v>
      </c>
      <c r="H94" s="4">
        <v>100</v>
      </c>
      <c r="I94" s="5">
        <v>1</v>
      </c>
    </row>
    <row r="95" spans="2:9" x14ac:dyDescent="0.3">
      <c r="B95" s="99" t="s">
        <v>209</v>
      </c>
      <c r="C95" s="4">
        <v>500</v>
      </c>
      <c r="D95" s="4">
        <v>17</v>
      </c>
      <c r="E95" s="4">
        <v>17</v>
      </c>
      <c r="F95" s="4">
        <v>0</v>
      </c>
      <c r="G95" s="4">
        <v>0</v>
      </c>
      <c r="H95" s="4">
        <v>100</v>
      </c>
      <c r="I95" s="5">
        <v>1</v>
      </c>
    </row>
    <row r="96" spans="2:9" x14ac:dyDescent="0.3">
      <c r="B96" s="99" t="s">
        <v>209</v>
      </c>
      <c r="C96" s="4">
        <v>500</v>
      </c>
      <c r="D96" s="4">
        <v>17</v>
      </c>
      <c r="E96" s="4">
        <v>17</v>
      </c>
      <c r="F96" s="4">
        <v>0</v>
      </c>
      <c r="G96" s="4">
        <v>0</v>
      </c>
      <c r="H96" s="4">
        <v>100</v>
      </c>
      <c r="I96" s="5">
        <v>1</v>
      </c>
    </row>
    <row r="97" spans="2:9" x14ac:dyDescent="0.3">
      <c r="B97" s="99" t="s">
        <v>209</v>
      </c>
      <c r="C97" s="4">
        <v>500</v>
      </c>
      <c r="D97" s="4">
        <v>14</v>
      </c>
      <c r="E97" s="4">
        <v>17</v>
      </c>
      <c r="F97" s="4">
        <v>3</v>
      </c>
      <c r="G97" s="4">
        <v>0.48</v>
      </c>
      <c r="H97" s="4">
        <v>82.35</v>
      </c>
      <c r="I97" s="5">
        <v>0.94</v>
      </c>
    </row>
    <row r="98" spans="2:9" x14ac:dyDescent="0.3">
      <c r="B98" s="99" t="s">
        <v>209</v>
      </c>
      <c r="C98" s="4">
        <v>500</v>
      </c>
      <c r="D98" s="4">
        <v>14</v>
      </c>
      <c r="E98" s="4">
        <v>17</v>
      </c>
      <c r="F98" s="4">
        <v>3</v>
      </c>
      <c r="G98" s="4">
        <v>0.2</v>
      </c>
      <c r="H98" s="4">
        <v>82.35</v>
      </c>
      <c r="I98" s="5">
        <v>0.85</v>
      </c>
    </row>
    <row r="99" spans="2:9" x14ac:dyDescent="0.3">
      <c r="B99" s="99" t="s">
        <v>209</v>
      </c>
      <c r="C99" s="4">
        <v>500</v>
      </c>
      <c r="D99" s="4">
        <v>16</v>
      </c>
      <c r="E99" s="4">
        <v>17</v>
      </c>
      <c r="F99" s="4">
        <v>1</v>
      </c>
      <c r="G99" s="4">
        <v>0</v>
      </c>
      <c r="H99" s="4">
        <v>94.12</v>
      </c>
      <c r="I99" s="5">
        <v>0.99</v>
      </c>
    </row>
    <row r="100" spans="2:9" x14ac:dyDescent="0.3">
      <c r="B100" s="99" t="s">
        <v>209</v>
      </c>
      <c r="C100" s="4">
        <v>500</v>
      </c>
      <c r="D100" s="4">
        <v>14</v>
      </c>
      <c r="E100" s="4">
        <v>17</v>
      </c>
      <c r="F100" s="4">
        <v>3</v>
      </c>
      <c r="G100" s="4">
        <v>0.35</v>
      </c>
      <c r="H100" s="4">
        <v>82.35</v>
      </c>
      <c r="I100" s="5">
        <v>0.82</v>
      </c>
    </row>
    <row r="101" spans="2:9" x14ac:dyDescent="0.3">
      <c r="B101" s="99" t="s">
        <v>209</v>
      </c>
      <c r="C101" s="4">
        <v>500</v>
      </c>
      <c r="D101" s="4">
        <v>15</v>
      </c>
      <c r="E101" s="4">
        <v>17</v>
      </c>
      <c r="F101" s="4">
        <v>2</v>
      </c>
      <c r="G101" s="4">
        <v>0.08</v>
      </c>
      <c r="H101" s="4">
        <v>88.24</v>
      </c>
      <c r="I101" s="5">
        <v>0.98</v>
      </c>
    </row>
    <row r="102" spans="2:9" x14ac:dyDescent="0.3">
      <c r="B102" s="99" t="s">
        <v>209</v>
      </c>
      <c r="C102" s="4">
        <v>500</v>
      </c>
      <c r="D102" s="4">
        <v>13</v>
      </c>
      <c r="E102" s="4">
        <v>17</v>
      </c>
      <c r="F102" s="4">
        <v>4</v>
      </c>
      <c r="G102" s="4">
        <v>7.0000000000000007E-2</v>
      </c>
      <c r="H102" s="4">
        <v>76.47</v>
      </c>
      <c r="I102" s="5">
        <v>0.67</v>
      </c>
    </row>
    <row r="103" spans="2:9" x14ac:dyDescent="0.3">
      <c r="B103" s="99" t="s">
        <v>209</v>
      </c>
      <c r="C103" s="4">
        <v>500</v>
      </c>
      <c r="D103" s="4">
        <v>15</v>
      </c>
      <c r="E103" s="4">
        <v>18</v>
      </c>
      <c r="F103" s="4">
        <v>3</v>
      </c>
      <c r="G103" s="4">
        <v>0.12</v>
      </c>
      <c r="H103" s="4">
        <v>83.33</v>
      </c>
      <c r="I103" s="5">
        <v>0.39</v>
      </c>
    </row>
    <row r="104" spans="2:9" x14ac:dyDescent="0.3">
      <c r="B104" s="99" t="s">
        <v>226</v>
      </c>
      <c r="C104" s="4">
        <v>500</v>
      </c>
      <c r="D104" s="4">
        <v>15</v>
      </c>
      <c r="E104" s="4">
        <v>17</v>
      </c>
      <c r="F104" s="4">
        <v>2</v>
      </c>
      <c r="G104" s="4">
        <v>1.24</v>
      </c>
      <c r="H104" s="4">
        <v>88.24</v>
      </c>
      <c r="I104" s="5">
        <v>0.95</v>
      </c>
    </row>
    <row r="105" spans="2:9" x14ac:dyDescent="0.3">
      <c r="B105" s="99" t="s">
        <v>226</v>
      </c>
      <c r="C105" s="4">
        <v>500</v>
      </c>
      <c r="D105" s="4">
        <v>7</v>
      </c>
      <c r="E105" s="4">
        <v>17</v>
      </c>
      <c r="F105" s="4">
        <v>10</v>
      </c>
      <c r="G105" s="4">
        <v>0.95</v>
      </c>
      <c r="H105" s="4">
        <v>41.18</v>
      </c>
      <c r="I105" s="5">
        <v>0.78</v>
      </c>
    </row>
    <row r="106" spans="2:9" x14ac:dyDescent="0.3">
      <c r="B106" s="99" t="s">
        <v>226</v>
      </c>
      <c r="C106" s="4">
        <v>500</v>
      </c>
      <c r="D106" s="4">
        <v>15</v>
      </c>
      <c r="E106" s="4">
        <v>17</v>
      </c>
      <c r="F106" s="4">
        <v>2</v>
      </c>
      <c r="G106" s="4">
        <v>1.24</v>
      </c>
      <c r="H106" s="4">
        <v>88.24</v>
      </c>
      <c r="I106" s="5">
        <v>0.95</v>
      </c>
    </row>
    <row r="107" spans="2:9" x14ac:dyDescent="0.3">
      <c r="B107" s="99" t="s">
        <v>226</v>
      </c>
      <c r="C107" s="4">
        <v>500</v>
      </c>
      <c r="D107" s="4">
        <v>7</v>
      </c>
      <c r="E107" s="4">
        <v>17</v>
      </c>
      <c r="F107" s="4">
        <v>10</v>
      </c>
      <c r="G107" s="4">
        <v>0.95</v>
      </c>
      <c r="H107" s="4">
        <v>41.18</v>
      </c>
      <c r="I107" s="5">
        <v>0.78</v>
      </c>
    </row>
    <row r="108" spans="2:9" x14ac:dyDescent="0.3">
      <c r="B108" s="99" t="s">
        <v>226</v>
      </c>
      <c r="C108" s="4">
        <v>500</v>
      </c>
      <c r="D108" s="4">
        <v>5</v>
      </c>
      <c r="E108" s="4">
        <v>17</v>
      </c>
      <c r="F108" s="4">
        <v>12</v>
      </c>
      <c r="G108" s="4">
        <v>0.84</v>
      </c>
      <c r="H108" s="4">
        <v>29.41</v>
      </c>
      <c r="I108" s="5">
        <v>0.68</v>
      </c>
    </row>
    <row r="109" spans="2:9" x14ac:dyDescent="0.3">
      <c r="B109" s="99" t="s">
        <v>226</v>
      </c>
      <c r="C109" s="4">
        <v>500</v>
      </c>
      <c r="D109" s="4">
        <v>5</v>
      </c>
      <c r="E109" s="4">
        <v>14</v>
      </c>
      <c r="F109" s="4">
        <v>9</v>
      </c>
      <c r="G109" s="4">
        <v>0.91</v>
      </c>
      <c r="H109" s="4">
        <v>35.71</v>
      </c>
      <c r="I109" s="5">
        <v>0.57999999999999996</v>
      </c>
    </row>
    <row r="110" spans="2:9" x14ac:dyDescent="0.3">
      <c r="B110" s="99" t="s">
        <v>230</v>
      </c>
      <c r="C110" s="4">
        <v>500</v>
      </c>
      <c r="D110" s="4">
        <v>3</v>
      </c>
      <c r="E110" s="4">
        <v>16</v>
      </c>
      <c r="F110" s="4">
        <v>13</v>
      </c>
      <c r="G110" s="4">
        <v>2.78</v>
      </c>
      <c r="H110" s="4">
        <v>18.75</v>
      </c>
      <c r="I110" s="5">
        <v>0.17</v>
      </c>
    </row>
    <row r="111" spans="2:9" x14ac:dyDescent="0.3">
      <c r="B111" s="99" t="s">
        <v>230</v>
      </c>
      <c r="C111" s="4">
        <v>500</v>
      </c>
      <c r="D111" s="4">
        <v>2</v>
      </c>
      <c r="E111" s="4">
        <v>15</v>
      </c>
      <c r="F111" s="4">
        <v>12</v>
      </c>
      <c r="G111" s="4">
        <v>5.37</v>
      </c>
      <c r="H111" s="4">
        <v>13.33</v>
      </c>
      <c r="I111" s="5">
        <v>-0.83</v>
      </c>
    </row>
    <row r="112" spans="2:9" x14ac:dyDescent="0.3">
      <c r="B112" s="99" t="s">
        <v>230</v>
      </c>
      <c r="C112" s="4">
        <v>500</v>
      </c>
      <c r="D112" s="4">
        <v>3</v>
      </c>
      <c r="E112" s="4">
        <v>16</v>
      </c>
      <c r="F112" s="4">
        <v>13</v>
      </c>
      <c r="G112" s="4">
        <v>2.78</v>
      </c>
      <c r="H112" s="4">
        <v>18.75</v>
      </c>
      <c r="I112" s="5">
        <v>0.17</v>
      </c>
    </row>
    <row r="113" spans="2:9" x14ac:dyDescent="0.3">
      <c r="B113" s="99" t="s">
        <v>230</v>
      </c>
      <c r="C113" s="4">
        <v>500</v>
      </c>
      <c r="D113" s="4">
        <v>2</v>
      </c>
      <c r="E113" s="4">
        <v>15</v>
      </c>
      <c r="F113" s="4">
        <v>12</v>
      </c>
      <c r="G113" s="4">
        <v>5.37</v>
      </c>
      <c r="H113" s="4">
        <v>13.33</v>
      </c>
      <c r="I113" s="5">
        <v>-0.83</v>
      </c>
    </row>
    <row r="114" spans="2:9" x14ac:dyDescent="0.3">
      <c r="B114" s="99" t="s">
        <v>240</v>
      </c>
      <c r="C114" s="4">
        <v>500</v>
      </c>
      <c r="D114" s="4">
        <v>10</v>
      </c>
      <c r="E114" s="4">
        <v>17</v>
      </c>
      <c r="F114" s="4">
        <v>7</v>
      </c>
      <c r="G114" s="4">
        <v>0.94</v>
      </c>
      <c r="H114" s="4">
        <v>58.82</v>
      </c>
      <c r="I114" s="5">
        <v>0.86</v>
      </c>
    </row>
    <row r="115" spans="2:9" x14ac:dyDescent="0.3">
      <c r="B115" s="99" t="s">
        <v>240</v>
      </c>
      <c r="C115" s="4">
        <v>500</v>
      </c>
      <c r="D115" s="4">
        <v>11</v>
      </c>
      <c r="E115" s="4">
        <v>16</v>
      </c>
      <c r="F115" s="4">
        <v>5</v>
      </c>
      <c r="G115" s="4">
        <v>3.52</v>
      </c>
      <c r="H115" s="4">
        <v>68.75</v>
      </c>
      <c r="I115" s="5">
        <v>0.56999999999999995</v>
      </c>
    </row>
    <row r="116" spans="2:9" x14ac:dyDescent="0.3">
      <c r="B116" s="99" t="s">
        <v>240</v>
      </c>
      <c r="C116" s="4">
        <v>500</v>
      </c>
      <c r="D116" s="4">
        <v>10</v>
      </c>
      <c r="E116" s="4">
        <v>17</v>
      </c>
      <c r="F116" s="4">
        <v>7</v>
      </c>
      <c r="G116" s="4">
        <v>0.94</v>
      </c>
      <c r="H116" s="4">
        <v>58.82</v>
      </c>
      <c r="I116" s="5">
        <v>0.86</v>
      </c>
    </row>
    <row r="117" spans="2:9" x14ac:dyDescent="0.3">
      <c r="B117" s="99" t="s">
        <v>240</v>
      </c>
      <c r="C117" s="4">
        <v>500</v>
      </c>
      <c r="D117" s="4">
        <v>11</v>
      </c>
      <c r="E117" s="4">
        <v>16</v>
      </c>
      <c r="F117" s="4">
        <v>5</v>
      </c>
      <c r="G117" s="4">
        <v>3.52</v>
      </c>
      <c r="H117" s="4">
        <v>68.75</v>
      </c>
      <c r="I117" s="5">
        <v>0.56999999999999995</v>
      </c>
    </row>
    <row r="118" spans="2:9" x14ac:dyDescent="0.3">
      <c r="B118" s="99" t="s">
        <v>240</v>
      </c>
      <c r="C118" s="4">
        <v>500</v>
      </c>
      <c r="D118" s="4">
        <v>7</v>
      </c>
      <c r="E118" s="4">
        <v>17</v>
      </c>
      <c r="F118" s="4">
        <v>10</v>
      </c>
      <c r="G118" s="4">
        <v>0.84</v>
      </c>
      <c r="H118" s="4">
        <v>41.18</v>
      </c>
      <c r="I118" s="5">
        <v>0.73</v>
      </c>
    </row>
    <row r="119" spans="2:9" x14ac:dyDescent="0.3">
      <c r="B119" s="99" t="s">
        <v>240</v>
      </c>
      <c r="C119" s="4">
        <v>500</v>
      </c>
      <c r="D119" s="4">
        <v>7</v>
      </c>
      <c r="E119" s="4">
        <v>14</v>
      </c>
      <c r="F119" s="4">
        <v>7</v>
      </c>
      <c r="G119" s="4">
        <v>1.24</v>
      </c>
      <c r="H119" s="4">
        <v>50</v>
      </c>
      <c r="I119" s="5">
        <v>0.56000000000000005</v>
      </c>
    </row>
    <row r="120" spans="2:9" x14ac:dyDescent="0.3">
      <c r="B120" s="99" t="s">
        <v>240</v>
      </c>
      <c r="C120" s="4">
        <v>500</v>
      </c>
      <c r="D120" s="4">
        <v>4</v>
      </c>
      <c r="E120" s="4">
        <v>17</v>
      </c>
      <c r="F120" s="4">
        <v>13</v>
      </c>
      <c r="G120" s="4">
        <v>0.09</v>
      </c>
      <c r="H120" s="4">
        <v>23.53</v>
      </c>
      <c r="I120" s="5">
        <v>0.34</v>
      </c>
    </row>
    <row r="121" spans="2:9" x14ac:dyDescent="0.3">
      <c r="B121" s="99" t="s">
        <v>240</v>
      </c>
      <c r="C121" s="4">
        <v>500</v>
      </c>
      <c r="D121" s="4">
        <v>4</v>
      </c>
      <c r="E121" s="4">
        <v>17</v>
      </c>
      <c r="F121" s="4">
        <v>13</v>
      </c>
      <c r="G121" s="4">
        <v>0.08</v>
      </c>
      <c r="H121" s="4">
        <v>23.53</v>
      </c>
      <c r="I121" s="5">
        <v>0.39</v>
      </c>
    </row>
    <row r="122" spans="2:9" x14ac:dyDescent="0.3">
      <c r="B122" s="99" t="s">
        <v>245</v>
      </c>
      <c r="C122" s="4">
        <v>500</v>
      </c>
      <c r="D122" s="4">
        <v>1</v>
      </c>
      <c r="E122" s="4">
        <v>17</v>
      </c>
      <c r="F122" s="4">
        <v>16</v>
      </c>
      <c r="G122" s="4">
        <v>2.92</v>
      </c>
      <c r="H122" s="4">
        <v>5.88</v>
      </c>
      <c r="I122" s="5">
        <v>-0.01</v>
      </c>
    </row>
    <row r="123" spans="2:9" x14ac:dyDescent="0.3">
      <c r="B123" s="99" t="s">
        <v>245</v>
      </c>
      <c r="C123" s="4">
        <v>500</v>
      </c>
      <c r="D123" s="4">
        <v>4</v>
      </c>
      <c r="E123" s="4">
        <v>16</v>
      </c>
      <c r="F123" s="4">
        <v>12</v>
      </c>
      <c r="G123" s="4">
        <v>3.12</v>
      </c>
      <c r="H123" s="4">
        <v>25</v>
      </c>
      <c r="I123" s="5">
        <v>0.08</v>
      </c>
    </row>
    <row r="124" spans="2:9" x14ac:dyDescent="0.3">
      <c r="B124" s="99" t="s">
        <v>245</v>
      </c>
      <c r="C124" s="4">
        <v>500</v>
      </c>
      <c r="D124" s="4">
        <v>1</v>
      </c>
      <c r="E124" s="4">
        <v>17</v>
      </c>
      <c r="F124" s="4">
        <v>16</v>
      </c>
      <c r="G124" s="4">
        <v>2.92</v>
      </c>
      <c r="H124" s="4">
        <v>5.88</v>
      </c>
      <c r="I124" s="5">
        <v>-0.01</v>
      </c>
    </row>
    <row r="125" spans="2:9" x14ac:dyDescent="0.3">
      <c r="B125" s="99" t="s">
        <v>245</v>
      </c>
      <c r="C125" s="4">
        <v>500</v>
      </c>
      <c r="D125" s="4">
        <v>4</v>
      </c>
      <c r="E125" s="4">
        <v>16</v>
      </c>
      <c r="F125" s="4">
        <v>12</v>
      </c>
      <c r="G125" s="4">
        <v>3.12</v>
      </c>
      <c r="H125" s="4">
        <v>25</v>
      </c>
      <c r="I125" s="5">
        <v>0.08</v>
      </c>
    </row>
    <row r="126" spans="2:9" x14ac:dyDescent="0.3">
      <c r="B126" s="99" t="s">
        <v>255</v>
      </c>
      <c r="C126" s="4">
        <v>500</v>
      </c>
      <c r="D126" s="4">
        <v>4</v>
      </c>
      <c r="E126" s="4">
        <v>17</v>
      </c>
      <c r="F126" s="4">
        <v>13</v>
      </c>
      <c r="G126" s="4">
        <v>0.05</v>
      </c>
      <c r="H126" s="4">
        <v>23.53</v>
      </c>
      <c r="I126" s="5">
        <v>7.0000000000000007E-2</v>
      </c>
    </row>
    <row r="127" spans="2:9" x14ac:dyDescent="0.3">
      <c r="B127" s="99" t="s">
        <v>255</v>
      </c>
      <c r="C127" s="4">
        <v>500</v>
      </c>
      <c r="D127" s="4">
        <v>5</v>
      </c>
      <c r="E127" s="4">
        <v>17</v>
      </c>
      <c r="F127" s="4">
        <v>12</v>
      </c>
      <c r="G127" s="4">
        <v>0.03</v>
      </c>
      <c r="H127" s="4">
        <v>29.41</v>
      </c>
      <c r="I127" s="5">
        <v>0.56000000000000005</v>
      </c>
    </row>
    <row r="128" spans="2:9" x14ac:dyDescent="0.3">
      <c r="B128" s="99" t="s">
        <v>255</v>
      </c>
      <c r="C128" s="4">
        <v>500</v>
      </c>
      <c r="D128" s="4">
        <v>2</v>
      </c>
      <c r="E128" s="4">
        <v>17</v>
      </c>
      <c r="F128" s="4">
        <v>15</v>
      </c>
      <c r="G128" s="4">
        <v>0.05</v>
      </c>
      <c r="H128" s="4">
        <v>11.76</v>
      </c>
      <c r="I128" s="5">
        <v>0.27</v>
      </c>
    </row>
    <row r="129" spans="2:9" x14ac:dyDescent="0.3">
      <c r="B129" s="99" t="s">
        <v>255</v>
      </c>
      <c r="C129" s="4">
        <v>500</v>
      </c>
      <c r="D129" s="4">
        <v>2</v>
      </c>
      <c r="E129" s="4">
        <v>17</v>
      </c>
      <c r="F129" s="4">
        <v>15</v>
      </c>
      <c r="G129" s="4">
        <v>0.06</v>
      </c>
      <c r="H129" s="4">
        <v>11.76</v>
      </c>
      <c r="I129" s="5">
        <v>0.43</v>
      </c>
    </row>
    <row r="130" spans="2:9" x14ac:dyDescent="0.3">
      <c r="B130" s="99" t="s">
        <v>812</v>
      </c>
      <c r="C130" s="4">
        <v>500</v>
      </c>
      <c r="D130" s="4">
        <v>6</v>
      </c>
      <c r="E130" s="4">
        <v>17</v>
      </c>
      <c r="F130" s="4">
        <v>11</v>
      </c>
      <c r="G130" s="4">
        <v>0.02</v>
      </c>
      <c r="H130" s="4">
        <v>35.29</v>
      </c>
      <c r="I130" s="5">
        <v>0.71</v>
      </c>
    </row>
    <row r="131" spans="2:9" x14ac:dyDescent="0.3">
      <c r="B131" s="99" t="s">
        <v>812</v>
      </c>
      <c r="C131" s="4">
        <v>500</v>
      </c>
      <c r="D131" s="4">
        <v>7</v>
      </c>
      <c r="E131" s="4">
        <v>17</v>
      </c>
      <c r="F131" s="4">
        <v>10</v>
      </c>
      <c r="G131" s="4">
        <v>1.43E-2</v>
      </c>
      <c r="H131" s="4">
        <v>41.18</v>
      </c>
      <c r="I131" s="5">
        <v>0.84</v>
      </c>
    </row>
    <row r="132" spans="2:9" x14ac:dyDescent="0.3">
      <c r="B132" s="99" t="s">
        <v>812</v>
      </c>
      <c r="C132" s="4">
        <v>500</v>
      </c>
      <c r="D132" s="4">
        <v>3</v>
      </c>
      <c r="E132" s="4">
        <v>16</v>
      </c>
      <c r="F132" s="4">
        <v>13</v>
      </c>
      <c r="G132" s="4">
        <v>0.03</v>
      </c>
      <c r="H132" s="4">
        <v>18.75</v>
      </c>
      <c r="I132" s="5">
        <v>0.62</v>
      </c>
    </row>
    <row r="133" spans="2:9" x14ac:dyDescent="0.3">
      <c r="B133" s="99" t="s">
        <v>812</v>
      </c>
      <c r="C133" s="4">
        <v>500</v>
      </c>
      <c r="D133" s="4">
        <v>4</v>
      </c>
      <c r="E133" s="4">
        <v>17</v>
      </c>
      <c r="F133" s="4">
        <v>13</v>
      </c>
      <c r="G133" s="4">
        <v>0.02</v>
      </c>
      <c r="H133" s="4">
        <v>23.53</v>
      </c>
      <c r="I133" s="5">
        <v>0.82</v>
      </c>
    </row>
    <row r="134" spans="2:9" x14ac:dyDescent="0.3">
      <c r="B134" s="99" t="s">
        <v>813</v>
      </c>
      <c r="C134" s="4">
        <v>500</v>
      </c>
      <c r="D134" s="4">
        <v>2</v>
      </c>
      <c r="E134" s="4">
        <v>17</v>
      </c>
      <c r="F134" s="4">
        <v>15</v>
      </c>
      <c r="G134" s="4">
        <v>0.03</v>
      </c>
      <c r="H134" s="4">
        <v>11.76</v>
      </c>
      <c r="I134" s="5">
        <v>0.44</v>
      </c>
    </row>
    <row r="135" spans="2:9" x14ac:dyDescent="0.3">
      <c r="B135" s="99" t="s">
        <v>813</v>
      </c>
      <c r="C135" s="4">
        <v>500</v>
      </c>
      <c r="D135" s="4">
        <v>0</v>
      </c>
      <c r="E135" s="4">
        <v>17</v>
      </c>
      <c r="F135" s="4">
        <v>17</v>
      </c>
      <c r="G135" s="4">
        <v>0.04</v>
      </c>
      <c r="H135" s="4">
        <v>0</v>
      </c>
      <c r="I135" s="5">
        <v>0.24</v>
      </c>
    </row>
    <row r="136" spans="2:9" x14ac:dyDescent="0.3">
      <c r="B136" s="99" t="s">
        <v>813</v>
      </c>
      <c r="C136" s="4">
        <v>500</v>
      </c>
      <c r="D136" s="4">
        <v>0</v>
      </c>
      <c r="E136" s="4">
        <v>17</v>
      </c>
      <c r="F136" s="4">
        <v>17</v>
      </c>
      <c r="G136" s="4">
        <v>0.04</v>
      </c>
      <c r="H136" s="4">
        <v>0</v>
      </c>
      <c r="I136" s="5">
        <v>0.21</v>
      </c>
    </row>
    <row r="137" spans="2:9" x14ac:dyDescent="0.3">
      <c r="B137" s="99" t="s">
        <v>813</v>
      </c>
      <c r="C137" s="4">
        <v>500</v>
      </c>
      <c r="D137" s="4">
        <v>0</v>
      </c>
      <c r="E137" s="4">
        <v>16</v>
      </c>
      <c r="F137" s="4">
        <v>16</v>
      </c>
      <c r="G137" s="4">
        <v>0.04</v>
      </c>
      <c r="H137" s="4">
        <v>0</v>
      </c>
      <c r="I137" s="5">
        <v>0.54</v>
      </c>
    </row>
    <row r="138" spans="2:9" x14ac:dyDescent="0.3">
      <c r="B138" s="99" t="s">
        <v>264</v>
      </c>
      <c r="C138" s="4">
        <v>500</v>
      </c>
      <c r="D138" s="4">
        <v>11</v>
      </c>
      <c r="E138" s="4">
        <v>17</v>
      </c>
      <c r="F138" s="4">
        <v>6</v>
      </c>
      <c r="G138" s="4">
        <v>0.03</v>
      </c>
      <c r="H138" s="4">
        <v>64.709999999999994</v>
      </c>
      <c r="I138" s="5">
        <v>0.7</v>
      </c>
    </row>
    <row r="139" spans="2:9" x14ac:dyDescent="0.3">
      <c r="B139" s="99" t="s">
        <v>264</v>
      </c>
      <c r="C139" s="4">
        <v>500</v>
      </c>
      <c r="D139" s="4">
        <v>7</v>
      </c>
      <c r="E139" s="4">
        <v>17</v>
      </c>
      <c r="F139" s="4">
        <v>10</v>
      </c>
      <c r="G139" s="4">
        <v>0.02</v>
      </c>
      <c r="H139" s="4">
        <v>41.18</v>
      </c>
      <c r="I139" s="5">
        <v>0.78</v>
      </c>
    </row>
    <row r="140" spans="2:9" x14ac:dyDescent="0.3">
      <c r="B140" s="99" t="s">
        <v>264</v>
      </c>
      <c r="C140" s="4">
        <v>500</v>
      </c>
      <c r="D140" s="4">
        <v>4</v>
      </c>
      <c r="E140" s="4">
        <v>17</v>
      </c>
      <c r="F140" s="4">
        <v>13</v>
      </c>
      <c r="G140" s="4">
        <v>0.02</v>
      </c>
      <c r="H140" s="4">
        <v>23.53</v>
      </c>
      <c r="I140" s="5">
        <v>0.72</v>
      </c>
    </row>
    <row r="141" spans="2:9" x14ac:dyDescent="0.3">
      <c r="B141" s="99" t="s">
        <v>264</v>
      </c>
      <c r="C141" s="4">
        <v>500</v>
      </c>
      <c r="D141" s="4">
        <v>6</v>
      </c>
      <c r="E141" s="4">
        <v>17</v>
      </c>
      <c r="F141" s="4">
        <v>11</v>
      </c>
      <c r="G141" s="4">
        <v>0.02</v>
      </c>
      <c r="H141" s="4">
        <v>35.29</v>
      </c>
      <c r="I141" s="5">
        <v>0.69</v>
      </c>
    </row>
    <row r="142" spans="2:9" x14ac:dyDescent="0.3">
      <c r="B142" s="99" t="s">
        <v>264</v>
      </c>
      <c r="C142" s="4">
        <v>500</v>
      </c>
      <c r="D142" s="4">
        <v>10</v>
      </c>
      <c r="E142" s="4">
        <v>17</v>
      </c>
      <c r="F142" s="4">
        <v>7</v>
      </c>
      <c r="G142" s="4">
        <v>0.05</v>
      </c>
      <c r="H142" s="4">
        <v>58.82</v>
      </c>
      <c r="I142" s="5">
        <v>0.63</v>
      </c>
    </row>
    <row r="143" spans="2:9" x14ac:dyDescent="0.3">
      <c r="B143" s="99" t="s">
        <v>264</v>
      </c>
      <c r="C143" s="4">
        <v>500</v>
      </c>
      <c r="D143" s="4">
        <v>10</v>
      </c>
      <c r="E143" s="4">
        <v>17</v>
      </c>
      <c r="F143" s="4">
        <v>7</v>
      </c>
      <c r="G143" s="4">
        <v>0.04</v>
      </c>
      <c r="H143" s="4">
        <v>58.82</v>
      </c>
      <c r="I143" s="5">
        <v>0.81</v>
      </c>
    </row>
    <row r="144" spans="2:9" x14ac:dyDescent="0.3">
      <c r="B144" s="99" t="s">
        <v>268</v>
      </c>
      <c r="C144" s="4">
        <v>500</v>
      </c>
      <c r="D144" s="4">
        <v>10</v>
      </c>
      <c r="E144" s="4">
        <v>18</v>
      </c>
      <c r="F144" s="4">
        <v>8</v>
      </c>
      <c r="G144" s="4">
        <v>0.03</v>
      </c>
      <c r="H144" s="4">
        <v>55.56</v>
      </c>
      <c r="I144" s="5">
        <v>0.7</v>
      </c>
    </row>
    <row r="145" spans="2:9" x14ac:dyDescent="0.3">
      <c r="B145" s="99" t="s">
        <v>268</v>
      </c>
      <c r="C145" s="4">
        <v>500</v>
      </c>
      <c r="D145" s="4">
        <v>8</v>
      </c>
      <c r="E145" s="4">
        <v>16</v>
      </c>
      <c r="F145" s="4">
        <v>8</v>
      </c>
      <c r="G145" s="4">
        <v>1.7500000000000002E-2</v>
      </c>
      <c r="H145" s="4">
        <v>50</v>
      </c>
      <c r="I145" s="5">
        <v>0.83</v>
      </c>
    </row>
    <row r="146" spans="2:9" x14ac:dyDescent="0.3">
      <c r="B146" s="99" t="s">
        <v>268</v>
      </c>
      <c r="C146" s="4">
        <v>500</v>
      </c>
      <c r="D146" s="4">
        <v>3</v>
      </c>
      <c r="E146" s="4">
        <v>17</v>
      </c>
      <c r="F146" s="4">
        <v>14</v>
      </c>
      <c r="G146" s="4">
        <v>0.02</v>
      </c>
      <c r="H146" s="4">
        <v>17.649999999999999</v>
      </c>
      <c r="I146" s="5">
        <v>0.73</v>
      </c>
    </row>
    <row r="147" spans="2:9" x14ac:dyDescent="0.3">
      <c r="B147" s="99" t="s">
        <v>268</v>
      </c>
      <c r="C147" s="4">
        <v>500</v>
      </c>
      <c r="D147" s="4">
        <v>8</v>
      </c>
      <c r="E147" s="4">
        <v>16</v>
      </c>
      <c r="F147" s="4">
        <v>8</v>
      </c>
      <c r="G147" s="4">
        <v>0.03</v>
      </c>
      <c r="H147" s="4">
        <v>50</v>
      </c>
      <c r="I147" s="5">
        <v>0.59</v>
      </c>
    </row>
    <row r="148" spans="2:9" x14ac:dyDescent="0.3">
      <c r="B148" s="99" t="s">
        <v>268</v>
      </c>
      <c r="C148" s="4">
        <v>500</v>
      </c>
      <c r="D148" s="4">
        <v>3</v>
      </c>
      <c r="E148" s="4">
        <v>17</v>
      </c>
      <c r="F148" s="4">
        <v>14</v>
      </c>
      <c r="G148" s="4">
        <v>0.02</v>
      </c>
      <c r="H148" s="4">
        <v>17.649999999999999</v>
      </c>
      <c r="I148" s="5">
        <v>0.72</v>
      </c>
    </row>
    <row r="149" spans="2:9" x14ac:dyDescent="0.3">
      <c r="B149" s="99" t="s">
        <v>268</v>
      </c>
      <c r="C149" s="4">
        <v>500</v>
      </c>
      <c r="D149" s="4">
        <v>6</v>
      </c>
      <c r="E149" s="4">
        <v>17</v>
      </c>
      <c r="F149" s="4">
        <v>11</v>
      </c>
      <c r="G149" s="4">
        <v>0.03</v>
      </c>
      <c r="H149" s="4">
        <v>35.29</v>
      </c>
      <c r="I149" s="5">
        <v>0.82</v>
      </c>
    </row>
    <row r="150" spans="2:9" x14ac:dyDescent="0.3">
      <c r="B150" s="99" t="s">
        <v>634</v>
      </c>
      <c r="C150" s="4">
        <v>500</v>
      </c>
      <c r="D150" s="4">
        <v>4</v>
      </c>
      <c r="E150" s="4">
        <v>15</v>
      </c>
      <c r="F150" s="4">
        <v>11</v>
      </c>
      <c r="G150" s="4">
        <v>0.49</v>
      </c>
      <c r="H150" s="4">
        <v>26.67</v>
      </c>
      <c r="I150" s="5">
        <v>-0.18</v>
      </c>
    </row>
    <row r="151" spans="2:9" x14ac:dyDescent="0.3">
      <c r="B151" s="99" t="s">
        <v>634</v>
      </c>
      <c r="C151" s="4">
        <v>500</v>
      </c>
      <c r="D151" s="4">
        <v>4</v>
      </c>
      <c r="E151" s="4">
        <v>17</v>
      </c>
      <c r="F151" s="4">
        <v>13</v>
      </c>
      <c r="G151" s="4">
        <v>0.39</v>
      </c>
      <c r="H151" s="4">
        <v>23.53</v>
      </c>
      <c r="I151" s="5">
        <v>0.13</v>
      </c>
    </row>
    <row r="152" spans="2:9" x14ac:dyDescent="0.3">
      <c r="B152" s="99" t="s">
        <v>393</v>
      </c>
      <c r="C152" s="4">
        <v>500</v>
      </c>
      <c r="D152" s="4">
        <v>3</v>
      </c>
      <c r="E152" s="4">
        <v>17</v>
      </c>
      <c r="F152" s="4">
        <v>13</v>
      </c>
      <c r="G152" s="4">
        <v>0.27</v>
      </c>
      <c r="H152" s="4">
        <v>17.649999999999999</v>
      </c>
      <c r="I152" s="5">
        <v>0.19</v>
      </c>
    </row>
    <row r="153" spans="2:9" x14ac:dyDescent="0.3">
      <c r="B153" s="99" t="s">
        <v>393</v>
      </c>
      <c r="C153" s="4">
        <v>500</v>
      </c>
      <c r="D153" s="4">
        <v>5</v>
      </c>
      <c r="E153" s="4">
        <v>17</v>
      </c>
      <c r="F153" s="4">
        <v>12</v>
      </c>
      <c r="G153" s="4">
        <v>0.28999999999999998</v>
      </c>
      <c r="H153" s="4">
        <v>29.41</v>
      </c>
      <c r="I153" s="5">
        <v>0.41</v>
      </c>
    </row>
    <row r="154" spans="2:9" x14ac:dyDescent="0.3">
      <c r="B154" s="99" t="s">
        <v>398</v>
      </c>
      <c r="C154" s="4">
        <v>500</v>
      </c>
      <c r="D154" s="4">
        <v>1</v>
      </c>
      <c r="E154" s="4">
        <v>12</v>
      </c>
      <c r="F154" s="4">
        <v>11</v>
      </c>
      <c r="G154" s="4">
        <v>0.24</v>
      </c>
      <c r="H154" s="4">
        <v>8.33</v>
      </c>
      <c r="I154" s="5">
        <v>0.27</v>
      </c>
    </row>
    <row r="155" spans="2:9" x14ac:dyDescent="0.3">
      <c r="B155" s="99" t="s">
        <v>398</v>
      </c>
      <c r="C155" s="4">
        <v>500</v>
      </c>
      <c r="D155" s="4">
        <v>4</v>
      </c>
      <c r="E155" s="4">
        <v>13</v>
      </c>
      <c r="F155" s="4">
        <v>9</v>
      </c>
      <c r="G155" s="4">
        <v>0.32</v>
      </c>
      <c r="H155" s="4">
        <v>30.77</v>
      </c>
      <c r="I155" s="5">
        <v>0.36</v>
      </c>
    </row>
    <row r="156" spans="2:9" x14ac:dyDescent="0.3">
      <c r="B156" s="99" t="s">
        <v>414</v>
      </c>
      <c r="C156" s="4">
        <v>500</v>
      </c>
      <c r="D156" s="4">
        <v>5</v>
      </c>
      <c r="E156" s="4">
        <v>17</v>
      </c>
      <c r="F156" s="4">
        <v>12</v>
      </c>
      <c r="G156" s="4">
        <v>0.24</v>
      </c>
      <c r="H156" s="4">
        <v>29.41</v>
      </c>
      <c r="I156" s="5">
        <v>0.44</v>
      </c>
    </row>
    <row r="157" spans="2:9" x14ac:dyDescent="0.3">
      <c r="B157" s="99" t="s">
        <v>414</v>
      </c>
      <c r="C157" s="4">
        <v>500</v>
      </c>
      <c r="D157" s="4">
        <v>6</v>
      </c>
      <c r="E157" s="4">
        <v>17</v>
      </c>
      <c r="F157" s="4">
        <v>11</v>
      </c>
      <c r="G157" s="4">
        <v>0.24</v>
      </c>
      <c r="H157" s="4">
        <v>35.29</v>
      </c>
      <c r="I157" s="5">
        <v>0.56000000000000005</v>
      </c>
    </row>
    <row r="158" spans="2:9" x14ac:dyDescent="0.3">
      <c r="B158" s="99" t="s">
        <v>419</v>
      </c>
      <c r="C158" s="4">
        <v>500</v>
      </c>
      <c r="D158" s="4">
        <v>4</v>
      </c>
      <c r="E158" s="4">
        <v>17</v>
      </c>
      <c r="F158" s="4">
        <v>13</v>
      </c>
      <c r="G158" s="4">
        <v>0.24</v>
      </c>
      <c r="H158" s="4">
        <v>23.53</v>
      </c>
      <c r="I158" s="5">
        <v>0.32</v>
      </c>
    </row>
    <row r="159" spans="2:9" x14ac:dyDescent="0.3">
      <c r="B159" s="99" t="s">
        <v>419</v>
      </c>
      <c r="C159" s="4">
        <v>500</v>
      </c>
      <c r="D159" s="4">
        <v>7</v>
      </c>
      <c r="E159" s="4">
        <v>15</v>
      </c>
      <c r="F159" s="4">
        <v>8</v>
      </c>
      <c r="G159" s="4">
        <v>0.19</v>
      </c>
      <c r="H159" s="4">
        <v>46.67</v>
      </c>
      <c r="I159" s="5">
        <v>0.7</v>
      </c>
    </row>
    <row r="160" spans="2:9" x14ac:dyDescent="0.3">
      <c r="B160" s="99" t="s">
        <v>406</v>
      </c>
      <c r="C160" s="4">
        <v>500</v>
      </c>
      <c r="D160" s="4">
        <v>10</v>
      </c>
      <c r="E160" s="4">
        <v>15</v>
      </c>
      <c r="F160" s="4">
        <v>5</v>
      </c>
      <c r="G160" s="4">
        <v>0.19</v>
      </c>
      <c r="H160" s="4">
        <v>66.67</v>
      </c>
      <c r="I160" s="5">
        <v>0.77</v>
      </c>
    </row>
    <row r="161" spans="2:9" x14ac:dyDescent="0.3">
      <c r="B161" s="99" t="s">
        <v>406</v>
      </c>
      <c r="C161" s="4">
        <v>500</v>
      </c>
      <c r="D161" s="4">
        <v>5</v>
      </c>
      <c r="E161" s="4">
        <v>17</v>
      </c>
      <c r="F161" s="4">
        <v>12</v>
      </c>
      <c r="G161" s="4">
        <v>0.23</v>
      </c>
      <c r="H161" s="4">
        <v>29.41</v>
      </c>
      <c r="I161" s="5">
        <v>0.52</v>
      </c>
    </row>
    <row r="162" spans="2:9" x14ac:dyDescent="0.3">
      <c r="B162" s="99" t="s">
        <v>406</v>
      </c>
      <c r="C162" s="4">
        <v>500</v>
      </c>
      <c r="D162" s="4">
        <v>7</v>
      </c>
      <c r="E162" s="4">
        <v>17</v>
      </c>
      <c r="F162" s="4">
        <v>10</v>
      </c>
      <c r="G162" s="4">
        <v>0.32</v>
      </c>
      <c r="H162" s="4">
        <v>41.18</v>
      </c>
      <c r="I162" s="5">
        <v>0.51</v>
      </c>
    </row>
    <row r="163" spans="2:9" x14ac:dyDescent="0.3">
      <c r="B163" s="99" t="s">
        <v>406</v>
      </c>
      <c r="C163" s="4">
        <v>500</v>
      </c>
      <c r="D163" s="4">
        <v>5</v>
      </c>
      <c r="E163" s="4">
        <v>17</v>
      </c>
      <c r="F163" s="4">
        <v>12</v>
      </c>
      <c r="G163" s="4">
        <v>0.25</v>
      </c>
      <c r="H163" s="4">
        <v>29.41</v>
      </c>
      <c r="I163" s="5">
        <v>0.33</v>
      </c>
    </row>
    <row r="164" spans="2:9" x14ac:dyDescent="0.3">
      <c r="B164" s="99" t="s">
        <v>814</v>
      </c>
      <c r="C164" s="4">
        <v>1000</v>
      </c>
      <c r="D164" s="4">
        <v>5</v>
      </c>
      <c r="E164" s="4">
        <v>25</v>
      </c>
      <c r="F164" s="4">
        <v>19</v>
      </c>
      <c r="G164" s="4">
        <v>0.21</v>
      </c>
      <c r="H164" s="4">
        <v>20</v>
      </c>
      <c r="I164" s="5">
        <v>0.42</v>
      </c>
    </row>
    <row r="165" spans="2:9" x14ac:dyDescent="0.3">
      <c r="B165" s="99" t="s">
        <v>814</v>
      </c>
      <c r="C165" s="4">
        <v>1000</v>
      </c>
      <c r="D165" s="4">
        <v>5</v>
      </c>
      <c r="E165" s="4">
        <v>23</v>
      </c>
      <c r="F165" s="4">
        <v>14</v>
      </c>
      <c r="G165" s="4">
        <v>0.23</v>
      </c>
      <c r="H165" s="4">
        <v>21.74</v>
      </c>
      <c r="I165" s="5">
        <v>0.4</v>
      </c>
    </row>
    <row r="166" spans="2:9" x14ac:dyDescent="0.3">
      <c r="B166" s="99" t="s">
        <v>814</v>
      </c>
      <c r="C166" s="4">
        <v>1000</v>
      </c>
      <c r="D166" s="4">
        <v>8</v>
      </c>
      <c r="E166" s="4">
        <v>17</v>
      </c>
      <c r="F166" s="4">
        <v>9</v>
      </c>
      <c r="G166" s="4">
        <v>0.22</v>
      </c>
      <c r="H166" s="4">
        <v>47.06</v>
      </c>
      <c r="I166" s="5">
        <v>0.32</v>
      </c>
    </row>
    <row r="167" spans="2:9" x14ac:dyDescent="0.3">
      <c r="B167" s="99" t="s">
        <v>814</v>
      </c>
      <c r="C167" s="4">
        <v>1000</v>
      </c>
      <c r="D167" s="4">
        <v>11</v>
      </c>
      <c r="E167" s="4">
        <v>17</v>
      </c>
      <c r="F167" s="4">
        <v>6</v>
      </c>
      <c r="G167" s="4">
        <v>0.21</v>
      </c>
      <c r="H167" s="4">
        <v>64.709999999999994</v>
      </c>
      <c r="I167" s="5">
        <v>0.72</v>
      </c>
    </row>
    <row r="168" spans="2:9" x14ac:dyDescent="0.3">
      <c r="B168" s="99" t="s">
        <v>815</v>
      </c>
      <c r="C168" s="4">
        <v>500</v>
      </c>
      <c r="D168" s="4">
        <v>5</v>
      </c>
      <c r="E168" s="4">
        <v>15</v>
      </c>
      <c r="F168" s="4">
        <v>10</v>
      </c>
      <c r="G168" s="4">
        <v>0.24</v>
      </c>
      <c r="H168" s="4">
        <v>33.33</v>
      </c>
      <c r="I168" s="5">
        <v>0.42</v>
      </c>
    </row>
    <row r="169" spans="2:9" x14ac:dyDescent="0.3">
      <c r="B169" s="99" t="s">
        <v>815</v>
      </c>
      <c r="C169" s="4">
        <v>500</v>
      </c>
      <c r="D169" s="4">
        <v>4</v>
      </c>
      <c r="E169" s="4">
        <v>15</v>
      </c>
      <c r="F169" s="4">
        <v>11</v>
      </c>
      <c r="G169" s="4">
        <v>0.2</v>
      </c>
      <c r="H169" s="4">
        <v>26.67</v>
      </c>
      <c r="I169" s="5">
        <v>0.56999999999999995</v>
      </c>
    </row>
    <row r="170" spans="2:9" x14ac:dyDescent="0.3">
      <c r="B170" s="99" t="s">
        <v>816</v>
      </c>
      <c r="C170" s="4">
        <v>500</v>
      </c>
      <c r="D170" s="4">
        <v>8</v>
      </c>
      <c r="E170" s="4">
        <v>17</v>
      </c>
      <c r="F170" s="4">
        <v>9</v>
      </c>
      <c r="G170" s="4">
        <v>0.18</v>
      </c>
      <c r="H170" s="4">
        <v>47.06</v>
      </c>
      <c r="I170" s="5">
        <v>0.69</v>
      </c>
    </row>
    <row r="171" spans="2:9" x14ac:dyDescent="0.3">
      <c r="B171" s="99" t="s">
        <v>816</v>
      </c>
      <c r="C171" s="4">
        <v>500</v>
      </c>
      <c r="D171" s="4">
        <v>6</v>
      </c>
      <c r="E171" s="4">
        <v>17</v>
      </c>
      <c r="F171" s="4">
        <v>11</v>
      </c>
      <c r="G171" s="4">
        <v>0.23</v>
      </c>
      <c r="H171" s="4">
        <v>35.29</v>
      </c>
      <c r="I171" s="5">
        <v>0.56999999999999995</v>
      </c>
    </row>
    <row r="172" spans="2:9" x14ac:dyDescent="0.3">
      <c r="B172" s="99" t="s">
        <v>583</v>
      </c>
      <c r="C172" s="4">
        <v>500</v>
      </c>
      <c r="D172" s="4">
        <v>4</v>
      </c>
      <c r="E172" s="4">
        <v>17</v>
      </c>
      <c r="F172" s="4">
        <v>13</v>
      </c>
      <c r="G172" s="4">
        <v>0.19</v>
      </c>
      <c r="H172" s="4">
        <v>23.53</v>
      </c>
      <c r="I172" s="5">
        <v>0.51</v>
      </c>
    </row>
    <row r="173" spans="2:9" x14ac:dyDescent="0.3">
      <c r="B173" s="99" t="s">
        <v>583</v>
      </c>
      <c r="C173" s="4">
        <v>500</v>
      </c>
      <c r="D173" s="4">
        <v>5</v>
      </c>
      <c r="E173" s="4">
        <v>17</v>
      </c>
      <c r="F173" s="4">
        <v>12</v>
      </c>
      <c r="G173" s="4">
        <v>0.23</v>
      </c>
      <c r="H173" s="4">
        <v>29.41</v>
      </c>
      <c r="I173" s="5">
        <v>0.53</v>
      </c>
    </row>
    <row r="174" spans="2:9" x14ac:dyDescent="0.3">
      <c r="B174" s="99" t="s">
        <v>588</v>
      </c>
      <c r="C174" s="4">
        <v>500</v>
      </c>
      <c r="D174" s="4">
        <v>5</v>
      </c>
      <c r="E174" s="4">
        <v>17</v>
      </c>
      <c r="F174" s="4">
        <v>12</v>
      </c>
      <c r="G174" s="4">
        <v>0.25</v>
      </c>
      <c r="H174" s="4">
        <v>29.41</v>
      </c>
      <c r="I174" s="5">
        <v>0.35</v>
      </c>
    </row>
    <row r="175" spans="2:9" x14ac:dyDescent="0.3">
      <c r="B175" s="99" t="s">
        <v>588</v>
      </c>
      <c r="C175" s="4">
        <v>500</v>
      </c>
      <c r="D175" s="4">
        <v>5</v>
      </c>
      <c r="E175" s="4">
        <v>17</v>
      </c>
      <c r="F175" s="4">
        <v>12</v>
      </c>
      <c r="G175" s="4">
        <v>0.28000000000000003</v>
      </c>
      <c r="H175" s="4">
        <v>29.41</v>
      </c>
      <c r="I175" s="5">
        <v>0.42</v>
      </c>
    </row>
    <row r="176" spans="2:9" x14ac:dyDescent="0.3">
      <c r="B176" s="99" t="s">
        <v>593</v>
      </c>
      <c r="C176" s="4">
        <v>500</v>
      </c>
      <c r="D176" s="4">
        <v>4</v>
      </c>
      <c r="E176" s="4">
        <v>17</v>
      </c>
      <c r="F176" s="4">
        <v>13</v>
      </c>
      <c r="G176" s="4">
        <v>0.32</v>
      </c>
      <c r="H176" s="4">
        <v>23.53</v>
      </c>
      <c r="I176" s="5">
        <v>0.11</v>
      </c>
    </row>
    <row r="177" spans="2:9" x14ac:dyDescent="0.3">
      <c r="B177" s="99" t="s">
        <v>593</v>
      </c>
      <c r="C177" s="4">
        <v>500</v>
      </c>
      <c r="D177" s="4">
        <v>1</v>
      </c>
      <c r="E177" s="4">
        <v>17</v>
      </c>
      <c r="F177" s="4">
        <v>14</v>
      </c>
      <c r="G177" s="4">
        <v>0.36</v>
      </c>
      <c r="H177" s="4">
        <v>5.88</v>
      </c>
      <c r="I177" s="5">
        <v>0.03</v>
      </c>
    </row>
    <row r="178" spans="2:9" x14ac:dyDescent="0.3">
      <c r="B178" s="99" t="s">
        <v>598</v>
      </c>
      <c r="C178" s="4">
        <v>500</v>
      </c>
      <c r="D178" s="4">
        <v>1</v>
      </c>
      <c r="E178" s="4">
        <v>17</v>
      </c>
      <c r="F178" s="4">
        <v>15</v>
      </c>
      <c r="G178" s="4">
        <v>0.26</v>
      </c>
      <c r="H178" s="4">
        <v>5.88</v>
      </c>
      <c r="I178" s="5">
        <v>0.19</v>
      </c>
    </row>
    <row r="179" spans="2:9" x14ac:dyDescent="0.3">
      <c r="B179" s="99" t="s">
        <v>598</v>
      </c>
      <c r="C179" s="4">
        <v>500</v>
      </c>
      <c r="D179" s="4">
        <v>4</v>
      </c>
      <c r="E179" s="4">
        <v>14</v>
      </c>
      <c r="F179" s="4">
        <v>10</v>
      </c>
      <c r="G179" s="4">
        <v>0.25</v>
      </c>
      <c r="H179" s="4">
        <v>28.57</v>
      </c>
      <c r="I179" s="5">
        <v>0.49</v>
      </c>
    </row>
    <row r="180" spans="2:9" x14ac:dyDescent="0.3">
      <c r="B180" s="99" t="s">
        <v>132</v>
      </c>
      <c r="C180" s="4">
        <v>500</v>
      </c>
      <c r="D180" s="4">
        <v>3</v>
      </c>
      <c r="E180" s="4">
        <v>17</v>
      </c>
      <c r="F180" s="4">
        <v>14</v>
      </c>
      <c r="G180" s="4">
        <v>0.22</v>
      </c>
      <c r="H180" s="4">
        <v>17.649999999999999</v>
      </c>
      <c r="I180" s="5">
        <v>0.34</v>
      </c>
    </row>
    <row r="181" spans="2:9" x14ac:dyDescent="0.3">
      <c r="B181" s="99" t="s">
        <v>132</v>
      </c>
      <c r="C181" s="4">
        <v>500</v>
      </c>
      <c r="D181" s="4">
        <v>4</v>
      </c>
      <c r="E181" s="4">
        <v>15</v>
      </c>
      <c r="F181" s="4">
        <v>11</v>
      </c>
      <c r="G181" s="4">
        <v>0.19</v>
      </c>
      <c r="H181" s="4">
        <v>26.67</v>
      </c>
      <c r="I181" s="5">
        <v>0.6</v>
      </c>
    </row>
    <row r="182" spans="2:9" x14ac:dyDescent="0.3">
      <c r="B182" s="99" t="s">
        <v>500</v>
      </c>
      <c r="C182" s="4">
        <v>500</v>
      </c>
      <c r="D182" s="4">
        <v>3</v>
      </c>
      <c r="E182" s="4">
        <v>17</v>
      </c>
      <c r="F182" s="4">
        <v>14</v>
      </c>
      <c r="G182" s="4">
        <v>0.28999999999999998</v>
      </c>
      <c r="H182" s="4">
        <v>17.649999999999999</v>
      </c>
      <c r="I182" s="5">
        <v>0.13</v>
      </c>
    </row>
    <row r="183" spans="2:9" x14ac:dyDescent="0.3">
      <c r="B183" s="99" t="s">
        <v>500</v>
      </c>
      <c r="C183" s="4">
        <v>500</v>
      </c>
      <c r="D183" s="4">
        <v>4</v>
      </c>
      <c r="E183" s="4">
        <v>14</v>
      </c>
      <c r="F183" s="4">
        <v>10</v>
      </c>
      <c r="G183" s="4">
        <v>0.31</v>
      </c>
      <c r="H183" s="4">
        <v>28.57</v>
      </c>
      <c r="I183" s="5">
        <v>0.35</v>
      </c>
    </row>
    <row r="184" spans="2:9" x14ac:dyDescent="0.3">
      <c r="B184" s="99" t="s">
        <v>506</v>
      </c>
      <c r="C184" s="4">
        <v>500</v>
      </c>
      <c r="D184" s="4">
        <v>3</v>
      </c>
      <c r="E184" s="4">
        <v>17</v>
      </c>
      <c r="F184" s="4">
        <v>14</v>
      </c>
      <c r="G184" s="4">
        <v>0.28000000000000003</v>
      </c>
      <c r="H184" s="4">
        <v>17.649999999999999</v>
      </c>
      <c r="I184" s="5">
        <v>0.23</v>
      </c>
    </row>
    <row r="185" spans="2:9" x14ac:dyDescent="0.3">
      <c r="B185" s="99" t="s">
        <v>506</v>
      </c>
      <c r="C185" s="4">
        <v>500</v>
      </c>
      <c r="D185" s="4">
        <v>3</v>
      </c>
      <c r="E185" s="4">
        <v>17</v>
      </c>
      <c r="F185" s="4">
        <v>14</v>
      </c>
      <c r="G185" s="4">
        <v>0.27</v>
      </c>
      <c r="H185" s="4">
        <v>17.649999999999999</v>
      </c>
      <c r="I185" s="5">
        <v>0.35</v>
      </c>
    </row>
    <row r="186" spans="2:9" x14ac:dyDescent="0.3">
      <c r="B186" s="99" t="s">
        <v>314</v>
      </c>
      <c r="C186" s="4">
        <v>500</v>
      </c>
      <c r="D186" s="4">
        <v>2</v>
      </c>
      <c r="E186" s="4">
        <v>17</v>
      </c>
      <c r="F186" s="4">
        <v>15</v>
      </c>
      <c r="G186" s="4">
        <v>0.26</v>
      </c>
      <c r="H186" s="4">
        <v>11.76</v>
      </c>
      <c r="I186" s="5">
        <v>0.23</v>
      </c>
    </row>
    <row r="187" spans="2:9" x14ac:dyDescent="0.3">
      <c r="B187" s="99" t="s">
        <v>314</v>
      </c>
      <c r="C187" s="4">
        <v>500</v>
      </c>
      <c r="D187" s="4">
        <v>1</v>
      </c>
      <c r="E187" s="4">
        <v>17</v>
      </c>
      <c r="F187" s="4">
        <v>16</v>
      </c>
      <c r="G187" s="4">
        <v>0.34</v>
      </c>
      <c r="H187" s="4">
        <v>5.88</v>
      </c>
      <c r="I187" s="5">
        <v>7.0000000000000007E-2</v>
      </c>
    </row>
    <row r="188" spans="2:9" x14ac:dyDescent="0.3">
      <c r="B188" s="99" t="s">
        <v>319</v>
      </c>
      <c r="C188" s="4">
        <v>500</v>
      </c>
      <c r="D188" s="4">
        <v>7</v>
      </c>
      <c r="E188" s="4">
        <v>17</v>
      </c>
      <c r="F188" s="4">
        <v>10</v>
      </c>
      <c r="G188" s="4">
        <v>0.28000000000000003</v>
      </c>
      <c r="H188" s="4">
        <v>41.18</v>
      </c>
      <c r="I188" s="5">
        <v>0.39</v>
      </c>
    </row>
    <row r="189" spans="2:9" x14ac:dyDescent="0.3">
      <c r="B189" s="99" t="s">
        <v>319</v>
      </c>
      <c r="C189" s="4">
        <v>500</v>
      </c>
      <c r="D189" s="4">
        <v>5</v>
      </c>
      <c r="E189" s="4">
        <v>12</v>
      </c>
      <c r="F189" s="4">
        <v>7</v>
      </c>
      <c r="G189" s="4">
        <v>0.28000000000000003</v>
      </c>
      <c r="H189" s="4">
        <v>41.67</v>
      </c>
      <c r="I189" s="5">
        <v>0.52</v>
      </c>
    </row>
    <row r="190" spans="2:9" x14ac:dyDescent="0.3">
      <c r="B190" s="99" t="s">
        <v>514</v>
      </c>
      <c r="C190" s="4">
        <v>500</v>
      </c>
      <c r="D190" s="4">
        <v>10</v>
      </c>
      <c r="E190" s="4">
        <v>17</v>
      </c>
      <c r="F190" s="4">
        <v>7</v>
      </c>
      <c r="G190" s="4">
        <v>0.19</v>
      </c>
      <c r="H190" s="4">
        <v>58.82</v>
      </c>
      <c r="I190" s="5">
        <v>0.71</v>
      </c>
    </row>
    <row r="191" spans="2:9" x14ac:dyDescent="0.3">
      <c r="B191" s="99" t="s">
        <v>514</v>
      </c>
      <c r="C191" s="4">
        <v>500</v>
      </c>
      <c r="D191" s="4">
        <v>7</v>
      </c>
      <c r="E191" s="4">
        <v>17</v>
      </c>
      <c r="F191" s="4">
        <v>10</v>
      </c>
      <c r="G191" s="4">
        <v>0.21</v>
      </c>
      <c r="H191" s="4">
        <v>41.18</v>
      </c>
      <c r="I191" s="5">
        <v>0.65</v>
      </c>
    </row>
    <row r="192" spans="2:9" x14ac:dyDescent="0.3">
      <c r="B192" s="99" t="s">
        <v>514</v>
      </c>
      <c r="C192" s="4">
        <v>500</v>
      </c>
      <c r="D192" s="4">
        <v>5</v>
      </c>
      <c r="E192" s="4">
        <v>17</v>
      </c>
      <c r="F192" s="4">
        <v>12</v>
      </c>
      <c r="G192" s="4">
        <v>0.21</v>
      </c>
      <c r="H192" s="4">
        <v>29.41</v>
      </c>
      <c r="I192" s="5">
        <v>0.61</v>
      </c>
    </row>
    <row r="193" spans="2:9" x14ac:dyDescent="0.3">
      <c r="B193" s="99" t="s">
        <v>514</v>
      </c>
      <c r="C193" s="4">
        <v>500</v>
      </c>
      <c r="D193" s="4">
        <v>4</v>
      </c>
      <c r="E193" s="4">
        <v>17</v>
      </c>
      <c r="F193" s="4">
        <v>13</v>
      </c>
      <c r="G193" s="4">
        <v>0.23</v>
      </c>
      <c r="H193" s="4">
        <v>23.53</v>
      </c>
      <c r="I193" s="5">
        <v>0.33</v>
      </c>
    </row>
    <row r="194" spans="2:9" x14ac:dyDescent="0.3">
      <c r="B194" s="99" t="s">
        <v>539</v>
      </c>
      <c r="C194" s="4">
        <v>500</v>
      </c>
      <c r="D194" s="4">
        <v>2</v>
      </c>
      <c r="E194" s="4">
        <v>17</v>
      </c>
      <c r="F194" s="4">
        <v>15</v>
      </c>
      <c r="G194" s="4">
        <v>0.37</v>
      </c>
      <c r="H194" s="4">
        <v>11.76</v>
      </c>
      <c r="I194" s="5">
        <v>-0.17</v>
      </c>
    </row>
    <row r="195" spans="2:9" x14ac:dyDescent="0.3">
      <c r="B195" s="99" t="s">
        <v>539</v>
      </c>
      <c r="C195" s="4">
        <v>500</v>
      </c>
      <c r="D195" s="4">
        <v>3</v>
      </c>
      <c r="E195" s="4">
        <v>12</v>
      </c>
      <c r="F195" s="4">
        <v>9</v>
      </c>
      <c r="G195" s="4">
        <v>0.35</v>
      </c>
      <c r="H195" s="4">
        <v>25</v>
      </c>
      <c r="I195" s="5">
        <v>0.24</v>
      </c>
    </row>
    <row r="196" spans="2:9" x14ac:dyDescent="0.3">
      <c r="B196" s="99" t="s">
        <v>817</v>
      </c>
      <c r="C196" s="4">
        <v>500</v>
      </c>
      <c r="D196" s="4">
        <v>15</v>
      </c>
      <c r="E196" s="4">
        <v>17</v>
      </c>
      <c r="F196" s="4">
        <v>2</v>
      </c>
      <c r="G196" s="4">
        <v>0.19</v>
      </c>
      <c r="H196" s="4">
        <v>88.24</v>
      </c>
      <c r="I196" s="5">
        <v>0.93</v>
      </c>
    </row>
    <row r="197" spans="2:9" x14ac:dyDescent="0.3">
      <c r="B197" s="99" t="s">
        <v>817</v>
      </c>
      <c r="C197" s="4">
        <v>500</v>
      </c>
      <c r="D197" s="4">
        <v>12</v>
      </c>
      <c r="E197" s="4">
        <v>15</v>
      </c>
      <c r="F197" s="4">
        <v>3</v>
      </c>
      <c r="G197" s="4">
        <v>0.21</v>
      </c>
      <c r="H197" s="4">
        <v>80</v>
      </c>
      <c r="I197" s="5">
        <v>0.88</v>
      </c>
    </row>
    <row r="198" spans="2:9" x14ac:dyDescent="0.3">
      <c r="B198" s="99" t="s">
        <v>817</v>
      </c>
      <c r="C198" s="4">
        <v>500</v>
      </c>
      <c r="D198" s="4">
        <v>14</v>
      </c>
      <c r="E198" s="4">
        <v>17</v>
      </c>
      <c r="F198" s="4">
        <v>3</v>
      </c>
      <c r="G198" s="4">
        <v>0.16</v>
      </c>
      <c r="H198" s="4">
        <v>82.35</v>
      </c>
      <c r="I198" s="5">
        <v>0.93</v>
      </c>
    </row>
    <row r="199" spans="2:9" x14ac:dyDescent="0.3">
      <c r="B199" s="99" t="s">
        <v>817</v>
      </c>
      <c r="C199" s="4">
        <v>500</v>
      </c>
      <c r="D199" s="4">
        <v>14</v>
      </c>
      <c r="E199" s="4">
        <v>17</v>
      </c>
      <c r="F199" s="4">
        <v>3</v>
      </c>
      <c r="G199" s="4">
        <v>0.2</v>
      </c>
      <c r="H199" s="4">
        <v>82.35</v>
      </c>
      <c r="I199" s="5">
        <v>0.87</v>
      </c>
    </row>
    <row r="200" spans="2:9" x14ac:dyDescent="0.3">
      <c r="B200" s="99" t="s">
        <v>817</v>
      </c>
      <c r="C200" s="4">
        <v>500</v>
      </c>
      <c r="D200" s="4">
        <v>13</v>
      </c>
      <c r="E200" s="4">
        <v>17</v>
      </c>
      <c r="F200" s="4">
        <v>4</v>
      </c>
      <c r="G200" s="4">
        <v>0</v>
      </c>
      <c r="H200" s="4">
        <v>76.47</v>
      </c>
      <c r="I200" s="5">
        <v>0.94</v>
      </c>
    </row>
    <row r="201" spans="2:9" x14ac:dyDescent="0.3">
      <c r="B201" s="99" t="s">
        <v>817</v>
      </c>
      <c r="C201" s="4">
        <v>500</v>
      </c>
      <c r="D201" s="4">
        <v>13</v>
      </c>
      <c r="E201" s="4">
        <v>17</v>
      </c>
      <c r="F201" s="4">
        <v>4</v>
      </c>
      <c r="G201" s="4">
        <v>0</v>
      </c>
      <c r="H201" s="4">
        <v>76.47</v>
      </c>
      <c r="I201" s="5">
        <v>0.92</v>
      </c>
    </row>
    <row r="202" spans="2:9" x14ac:dyDescent="0.3">
      <c r="B202" s="99" t="s">
        <v>817</v>
      </c>
      <c r="C202" s="4">
        <v>500</v>
      </c>
      <c r="D202" s="4">
        <v>15</v>
      </c>
      <c r="E202" s="4">
        <v>17</v>
      </c>
      <c r="F202" s="4">
        <v>2</v>
      </c>
      <c r="G202" s="4">
        <v>0.12</v>
      </c>
      <c r="H202" s="4">
        <v>88.24</v>
      </c>
      <c r="I202" s="5">
        <v>0.95</v>
      </c>
    </row>
    <row r="203" spans="2:9" x14ac:dyDescent="0.3">
      <c r="B203" s="99" t="s">
        <v>817</v>
      </c>
      <c r="C203" s="4">
        <v>500</v>
      </c>
      <c r="D203" s="4">
        <v>15</v>
      </c>
      <c r="E203" s="4">
        <v>17</v>
      </c>
      <c r="F203" s="4">
        <v>2</v>
      </c>
      <c r="G203" s="4">
        <v>0.2</v>
      </c>
      <c r="H203" s="4">
        <v>88.24</v>
      </c>
      <c r="I203" s="5">
        <v>0.91</v>
      </c>
    </row>
    <row r="204" spans="2:9" x14ac:dyDescent="0.3">
      <c r="B204" s="99" t="s">
        <v>818</v>
      </c>
      <c r="C204" s="4">
        <v>500</v>
      </c>
      <c r="D204" s="4">
        <v>16</v>
      </c>
      <c r="E204" s="4">
        <v>17</v>
      </c>
      <c r="F204" s="4">
        <v>1</v>
      </c>
      <c r="G204" s="4">
        <v>0.45</v>
      </c>
      <c r="H204" s="4">
        <v>94.12</v>
      </c>
      <c r="I204" s="5">
        <v>0.9</v>
      </c>
    </row>
    <row r="205" spans="2:9" x14ac:dyDescent="0.3">
      <c r="B205" s="99" t="s">
        <v>818</v>
      </c>
      <c r="C205" s="4">
        <v>500</v>
      </c>
      <c r="D205" s="4">
        <v>13</v>
      </c>
      <c r="E205" s="4">
        <v>15</v>
      </c>
      <c r="F205" s="4">
        <v>2</v>
      </c>
      <c r="G205" s="4">
        <v>0.16</v>
      </c>
      <c r="H205" s="4">
        <v>86.67</v>
      </c>
      <c r="I205" s="5">
        <v>0.94</v>
      </c>
    </row>
    <row r="206" spans="2:9" x14ac:dyDescent="0.3">
      <c r="B206" s="99" t="s">
        <v>818</v>
      </c>
      <c r="C206" s="4">
        <v>500</v>
      </c>
      <c r="D206" s="4">
        <v>16</v>
      </c>
      <c r="E206" s="4">
        <v>17</v>
      </c>
      <c r="F206" s="4">
        <v>1</v>
      </c>
      <c r="G206" s="4">
        <v>0.16</v>
      </c>
      <c r="H206" s="4">
        <v>94.12</v>
      </c>
      <c r="I206" s="5">
        <v>0.98</v>
      </c>
    </row>
    <row r="207" spans="2:9" x14ac:dyDescent="0.3">
      <c r="B207" s="99" t="s">
        <v>818</v>
      </c>
      <c r="C207" s="4">
        <v>500</v>
      </c>
      <c r="D207" s="4">
        <v>12</v>
      </c>
      <c r="E207" s="4">
        <v>17</v>
      </c>
      <c r="F207" s="4">
        <v>5</v>
      </c>
      <c r="G207" s="4">
        <v>0.24</v>
      </c>
      <c r="H207" s="4">
        <v>70.59</v>
      </c>
      <c r="I207" s="5">
        <v>0.73</v>
      </c>
    </row>
    <row r="208" spans="2:9" x14ac:dyDescent="0.3">
      <c r="B208" s="99" t="s">
        <v>818</v>
      </c>
      <c r="C208" s="4">
        <v>500</v>
      </c>
      <c r="D208" s="4">
        <v>9</v>
      </c>
      <c r="E208" s="4">
        <v>17</v>
      </c>
      <c r="F208" s="4">
        <v>7</v>
      </c>
      <c r="G208" s="4">
        <v>0.14000000000000001</v>
      </c>
      <c r="H208" s="4">
        <v>52.94</v>
      </c>
      <c r="I208" s="5">
        <v>0.89</v>
      </c>
    </row>
    <row r="209" spans="2:9" x14ac:dyDescent="0.3">
      <c r="B209" s="99" t="s">
        <v>818</v>
      </c>
      <c r="C209" s="4">
        <v>500</v>
      </c>
      <c r="D209" s="4">
        <v>12</v>
      </c>
      <c r="E209" s="4">
        <v>17</v>
      </c>
      <c r="F209" s="4">
        <v>5</v>
      </c>
      <c r="G209" s="4">
        <v>0</v>
      </c>
      <c r="H209" s="4">
        <v>70.59</v>
      </c>
      <c r="I209" s="5">
        <v>0.89</v>
      </c>
    </row>
    <row r="210" spans="2:9" x14ac:dyDescent="0.3">
      <c r="B210" s="99" t="s">
        <v>818</v>
      </c>
      <c r="C210" s="4">
        <v>500</v>
      </c>
      <c r="D210" s="4">
        <v>13</v>
      </c>
      <c r="E210" s="4">
        <v>17</v>
      </c>
      <c r="F210" s="4">
        <v>4</v>
      </c>
      <c r="G210" s="4">
        <v>0.18</v>
      </c>
      <c r="H210" s="4">
        <v>76.47</v>
      </c>
      <c r="I210" s="5">
        <v>0.86</v>
      </c>
    </row>
    <row r="211" spans="2:9" x14ac:dyDescent="0.3">
      <c r="B211" s="99" t="s">
        <v>818</v>
      </c>
      <c r="C211" s="4">
        <v>500</v>
      </c>
      <c r="D211" s="4">
        <v>10</v>
      </c>
      <c r="E211" s="4">
        <v>17</v>
      </c>
      <c r="F211" s="4">
        <v>7</v>
      </c>
      <c r="G211" s="4">
        <v>0.14000000000000001</v>
      </c>
      <c r="H211" s="4">
        <v>58.82</v>
      </c>
      <c r="I211" s="5">
        <v>0.78</v>
      </c>
    </row>
    <row r="212" spans="2:9" x14ac:dyDescent="0.3">
      <c r="B212" s="99" t="s">
        <v>555</v>
      </c>
      <c r="C212" s="4">
        <v>500</v>
      </c>
      <c r="D212" s="4">
        <v>8</v>
      </c>
      <c r="E212" s="4">
        <v>17</v>
      </c>
      <c r="F212" s="4">
        <v>9</v>
      </c>
      <c r="G212" s="4">
        <v>0.23</v>
      </c>
      <c r="H212" s="4">
        <v>47.06</v>
      </c>
      <c r="I212" s="5">
        <v>0.6</v>
      </c>
    </row>
    <row r="213" spans="2:9" x14ac:dyDescent="0.3">
      <c r="B213" s="99" t="s">
        <v>555</v>
      </c>
      <c r="C213" s="4">
        <v>500</v>
      </c>
      <c r="D213" s="4">
        <v>7</v>
      </c>
      <c r="E213" s="4">
        <v>13</v>
      </c>
      <c r="F213" s="4">
        <v>6</v>
      </c>
      <c r="G213" s="4">
        <v>0.21</v>
      </c>
      <c r="H213" s="4">
        <v>53.85</v>
      </c>
      <c r="I213" s="5">
        <v>0.72</v>
      </c>
    </row>
    <row r="214" spans="2:9" x14ac:dyDescent="0.3">
      <c r="B214" s="99" t="s">
        <v>555</v>
      </c>
      <c r="C214" s="4">
        <v>500</v>
      </c>
      <c r="D214" s="4">
        <v>6</v>
      </c>
      <c r="E214" s="4">
        <v>17</v>
      </c>
      <c r="F214" s="4">
        <v>10</v>
      </c>
      <c r="G214" s="4">
        <v>0.18</v>
      </c>
      <c r="H214" s="4">
        <v>35.29</v>
      </c>
      <c r="I214" s="5">
        <v>0.69</v>
      </c>
    </row>
    <row r="215" spans="2:9" x14ac:dyDescent="0.3">
      <c r="B215" s="99" t="s">
        <v>555</v>
      </c>
      <c r="C215" s="4">
        <v>500</v>
      </c>
      <c r="D215" s="4">
        <v>10</v>
      </c>
      <c r="E215" s="4">
        <v>17</v>
      </c>
      <c r="F215" s="4">
        <v>7</v>
      </c>
      <c r="G215" s="4">
        <v>0.19</v>
      </c>
      <c r="H215" s="4">
        <v>58.82</v>
      </c>
      <c r="I215" s="5">
        <v>0.7</v>
      </c>
    </row>
    <row r="216" spans="2:9" x14ac:dyDescent="0.3">
      <c r="B216" s="99" t="s">
        <v>555</v>
      </c>
      <c r="C216" s="4">
        <v>500</v>
      </c>
      <c r="D216" s="4">
        <v>6</v>
      </c>
      <c r="E216" s="4">
        <v>17</v>
      </c>
      <c r="F216" s="4">
        <v>9</v>
      </c>
      <c r="G216" s="4">
        <v>0.23</v>
      </c>
      <c r="H216" s="4">
        <v>35.29</v>
      </c>
      <c r="I216" s="5">
        <v>0.5</v>
      </c>
    </row>
    <row r="217" spans="2:9" x14ac:dyDescent="0.3">
      <c r="B217" s="99" t="s">
        <v>555</v>
      </c>
      <c r="C217" s="4">
        <v>500</v>
      </c>
      <c r="D217" s="4">
        <v>7</v>
      </c>
      <c r="E217" s="4">
        <v>17</v>
      </c>
      <c r="F217" s="4">
        <v>10</v>
      </c>
      <c r="G217" s="4">
        <v>0.14000000000000001</v>
      </c>
      <c r="H217" s="4">
        <v>41.18</v>
      </c>
      <c r="I217" s="5">
        <v>0.69</v>
      </c>
    </row>
    <row r="218" spans="2:9" x14ac:dyDescent="0.3">
      <c r="B218" s="99" t="s">
        <v>555</v>
      </c>
      <c r="C218" s="4">
        <v>500</v>
      </c>
      <c r="D218" s="4">
        <v>6</v>
      </c>
      <c r="E218" s="4">
        <v>16</v>
      </c>
      <c r="F218" s="4">
        <v>10</v>
      </c>
      <c r="G218" s="4">
        <v>0.2</v>
      </c>
      <c r="H218" s="4">
        <v>37.5</v>
      </c>
      <c r="I218" s="5">
        <v>0.6</v>
      </c>
    </row>
    <row r="219" spans="2:9" x14ac:dyDescent="0.3">
      <c r="B219" s="99" t="s">
        <v>555</v>
      </c>
      <c r="C219" s="4">
        <v>500</v>
      </c>
      <c r="D219" s="4">
        <v>7</v>
      </c>
      <c r="E219" s="4">
        <v>17</v>
      </c>
      <c r="F219" s="4">
        <v>10</v>
      </c>
      <c r="G219" s="4">
        <v>0.25</v>
      </c>
      <c r="H219" s="4">
        <v>41.18</v>
      </c>
      <c r="I219" s="5">
        <v>0.62</v>
      </c>
    </row>
    <row r="220" spans="2:9" x14ac:dyDescent="0.3">
      <c r="B220" s="99" t="s">
        <v>559</v>
      </c>
      <c r="C220" s="4">
        <v>500</v>
      </c>
      <c r="D220" s="4">
        <v>4</v>
      </c>
      <c r="E220" s="4">
        <v>17</v>
      </c>
      <c r="F220" s="4">
        <v>12</v>
      </c>
      <c r="G220" s="4">
        <v>0.23</v>
      </c>
      <c r="H220" s="4">
        <v>23.53</v>
      </c>
      <c r="I220" s="5">
        <v>0.54</v>
      </c>
    </row>
    <row r="221" spans="2:9" x14ac:dyDescent="0.3">
      <c r="B221" s="99" t="s">
        <v>559</v>
      </c>
      <c r="C221" s="4">
        <v>500</v>
      </c>
      <c r="D221" s="4">
        <v>5</v>
      </c>
      <c r="E221" s="4">
        <v>17</v>
      </c>
      <c r="F221" s="4">
        <v>12</v>
      </c>
      <c r="G221" s="4">
        <v>0.18</v>
      </c>
      <c r="H221" s="4">
        <v>29.41</v>
      </c>
      <c r="I221" s="5">
        <v>0.51</v>
      </c>
    </row>
    <row r="222" spans="2:9" x14ac:dyDescent="0.3">
      <c r="B222" s="99" t="s">
        <v>559</v>
      </c>
      <c r="C222" s="4">
        <v>500</v>
      </c>
      <c r="D222" s="4">
        <v>5</v>
      </c>
      <c r="E222" s="4">
        <v>16</v>
      </c>
      <c r="F222" s="4">
        <v>11</v>
      </c>
      <c r="G222" s="4">
        <v>0.19</v>
      </c>
      <c r="H222" s="4">
        <v>31.25</v>
      </c>
      <c r="I222" s="5">
        <v>0.56999999999999995</v>
      </c>
    </row>
    <row r="223" spans="2:9" x14ac:dyDescent="0.3">
      <c r="B223" s="99" t="s">
        <v>559</v>
      </c>
      <c r="C223" s="4">
        <v>500</v>
      </c>
      <c r="D223" s="4">
        <v>7</v>
      </c>
      <c r="E223" s="4">
        <v>17</v>
      </c>
      <c r="F223" s="4">
        <v>12</v>
      </c>
      <c r="G223" s="4">
        <v>0.15</v>
      </c>
      <c r="H223" s="4">
        <v>41.18</v>
      </c>
      <c r="I223" s="5">
        <v>0.66</v>
      </c>
    </row>
    <row r="224" spans="2:9" x14ac:dyDescent="0.3">
      <c r="B224" s="99" t="s">
        <v>559</v>
      </c>
      <c r="C224" s="4">
        <v>500</v>
      </c>
      <c r="D224" s="4">
        <v>10</v>
      </c>
      <c r="E224" s="4">
        <v>15</v>
      </c>
      <c r="F224" s="4">
        <v>5</v>
      </c>
      <c r="G224" s="4">
        <v>0.2</v>
      </c>
      <c r="H224" s="4">
        <v>66.67</v>
      </c>
      <c r="I224" s="5">
        <v>0.78</v>
      </c>
    </row>
    <row r="225" spans="2:9" x14ac:dyDescent="0.3">
      <c r="B225" s="99" t="s">
        <v>559</v>
      </c>
      <c r="C225" s="4">
        <v>500</v>
      </c>
      <c r="D225" s="4">
        <v>6</v>
      </c>
      <c r="E225" s="4">
        <v>17</v>
      </c>
      <c r="F225" s="4">
        <v>11</v>
      </c>
      <c r="G225" s="4">
        <v>0.11</v>
      </c>
      <c r="H225" s="4">
        <v>35.29</v>
      </c>
      <c r="I225" s="5">
        <v>0.81</v>
      </c>
    </row>
    <row r="226" spans="2:9" x14ac:dyDescent="0.3">
      <c r="B226" s="99" t="s">
        <v>278</v>
      </c>
      <c r="C226" s="4">
        <v>500</v>
      </c>
      <c r="D226" s="4">
        <v>5</v>
      </c>
      <c r="E226" s="4">
        <v>16</v>
      </c>
      <c r="F226" s="4">
        <v>11</v>
      </c>
      <c r="G226" s="4">
        <v>1.56</v>
      </c>
      <c r="H226" s="4">
        <v>31.25</v>
      </c>
      <c r="I226" s="5">
        <v>0.41</v>
      </c>
    </row>
    <row r="227" spans="2:9" x14ac:dyDescent="0.3">
      <c r="B227" s="99" t="s">
        <v>278</v>
      </c>
      <c r="C227" s="4">
        <v>500</v>
      </c>
      <c r="D227" s="4">
        <v>2</v>
      </c>
      <c r="E227" s="4">
        <v>15</v>
      </c>
      <c r="F227" s="4">
        <v>13</v>
      </c>
      <c r="G227" s="4">
        <v>1.42</v>
      </c>
      <c r="H227" s="4">
        <v>13.33</v>
      </c>
      <c r="I227" s="5">
        <v>0.12</v>
      </c>
    </row>
    <row r="228" spans="2:9" x14ac:dyDescent="0.3">
      <c r="B228" s="99" t="s">
        <v>289</v>
      </c>
      <c r="C228" s="4">
        <v>500</v>
      </c>
      <c r="D228" s="4">
        <v>11</v>
      </c>
      <c r="E228" s="4">
        <v>17</v>
      </c>
      <c r="F228" s="4">
        <v>6</v>
      </c>
      <c r="G228" s="4">
        <v>0.02</v>
      </c>
      <c r="H228" s="4">
        <v>64.709999999999994</v>
      </c>
      <c r="I228" s="5">
        <v>0.83</v>
      </c>
    </row>
    <row r="229" spans="2:9" x14ac:dyDescent="0.3">
      <c r="B229" s="99" t="s">
        <v>289</v>
      </c>
      <c r="C229" s="4">
        <v>500</v>
      </c>
      <c r="D229" s="4">
        <v>8</v>
      </c>
      <c r="E229" s="4">
        <v>17</v>
      </c>
      <c r="F229" s="4">
        <v>9</v>
      </c>
      <c r="G229" s="4">
        <v>0.03</v>
      </c>
      <c r="H229" s="4">
        <v>47.06</v>
      </c>
      <c r="I229" s="5">
        <v>0.64</v>
      </c>
    </row>
    <row r="230" spans="2:9" x14ac:dyDescent="0.3">
      <c r="B230" s="99" t="s">
        <v>289</v>
      </c>
      <c r="C230" s="4">
        <v>500</v>
      </c>
      <c r="D230" s="4">
        <v>4</v>
      </c>
      <c r="E230" s="4">
        <v>17</v>
      </c>
      <c r="F230" s="4">
        <v>13</v>
      </c>
      <c r="G230" s="4">
        <v>0.01</v>
      </c>
      <c r="H230" s="4">
        <v>23.53</v>
      </c>
      <c r="I230" s="5">
        <v>0.84</v>
      </c>
    </row>
    <row r="231" spans="2:9" x14ac:dyDescent="0.3">
      <c r="B231" s="99" t="s">
        <v>289</v>
      </c>
      <c r="C231" s="4">
        <v>500</v>
      </c>
      <c r="D231" s="4">
        <v>6</v>
      </c>
      <c r="E231" s="4">
        <v>17</v>
      </c>
      <c r="F231" s="4">
        <v>11</v>
      </c>
      <c r="G231" s="4">
        <v>0.03</v>
      </c>
      <c r="H231" s="4">
        <v>35.29</v>
      </c>
      <c r="I231" s="5">
        <v>0.48</v>
      </c>
    </row>
    <row r="232" spans="2:9" x14ac:dyDescent="0.3">
      <c r="B232" s="99" t="s">
        <v>289</v>
      </c>
      <c r="C232" s="4">
        <v>500</v>
      </c>
      <c r="D232" s="4">
        <v>13</v>
      </c>
      <c r="E232" s="4">
        <v>17</v>
      </c>
      <c r="F232" s="4">
        <v>4</v>
      </c>
      <c r="G232" s="4">
        <v>0.08</v>
      </c>
      <c r="H232" s="4">
        <v>76.47</v>
      </c>
      <c r="I232" s="5">
        <v>0.66</v>
      </c>
    </row>
    <row r="233" spans="2:9" x14ac:dyDescent="0.3">
      <c r="B233" s="99" t="s">
        <v>289</v>
      </c>
      <c r="C233" s="4">
        <v>500</v>
      </c>
      <c r="D233" s="4">
        <v>8</v>
      </c>
      <c r="E233" s="4">
        <v>17</v>
      </c>
      <c r="F233" s="4">
        <v>9</v>
      </c>
      <c r="G233" s="4">
        <v>0.04</v>
      </c>
      <c r="H233" s="4">
        <v>47.06</v>
      </c>
      <c r="I233" s="5">
        <v>0.77</v>
      </c>
    </row>
    <row r="234" spans="2:9" x14ac:dyDescent="0.3">
      <c r="B234" s="99" t="s">
        <v>289</v>
      </c>
      <c r="C234" s="4">
        <v>500</v>
      </c>
      <c r="D234" s="4">
        <v>11</v>
      </c>
      <c r="E234" s="4">
        <v>17</v>
      </c>
      <c r="F234" s="4">
        <v>6</v>
      </c>
      <c r="G234" s="4">
        <v>0.4</v>
      </c>
      <c r="H234" s="4">
        <v>64.709999999999994</v>
      </c>
      <c r="I234" s="5">
        <v>0.93</v>
      </c>
    </row>
    <row r="235" spans="2:9" x14ac:dyDescent="0.3">
      <c r="B235" s="99" t="s">
        <v>289</v>
      </c>
      <c r="C235" s="4">
        <v>500</v>
      </c>
      <c r="D235" s="4">
        <v>9</v>
      </c>
      <c r="E235" s="4">
        <v>16</v>
      </c>
      <c r="F235" s="4">
        <v>7</v>
      </c>
      <c r="G235" s="4">
        <v>0.57999999999999996</v>
      </c>
      <c r="H235" s="4">
        <v>56.25</v>
      </c>
      <c r="I235" s="5">
        <v>0.89</v>
      </c>
    </row>
    <row r="236" spans="2:9" x14ac:dyDescent="0.3">
      <c r="B236" s="99" t="s">
        <v>298</v>
      </c>
      <c r="C236" s="4">
        <v>500</v>
      </c>
      <c r="D236" s="4">
        <v>2</v>
      </c>
      <c r="E236" s="4">
        <v>17</v>
      </c>
      <c r="F236" s="4">
        <v>15</v>
      </c>
      <c r="G236" s="4">
        <v>0.05</v>
      </c>
      <c r="H236" s="4">
        <v>11.76</v>
      </c>
      <c r="I236" s="5">
        <v>-0.1</v>
      </c>
    </row>
    <row r="237" spans="2:9" x14ac:dyDescent="0.3">
      <c r="B237" s="99" t="s">
        <v>298</v>
      </c>
      <c r="C237" s="4">
        <v>500</v>
      </c>
      <c r="D237" s="4">
        <v>2</v>
      </c>
      <c r="E237" s="4">
        <v>16</v>
      </c>
      <c r="F237" s="4">
        <v>14</v>
      </c>
      <c r="G237" s="4">
        <v>0.06</v>
      </c>
      <c r="H237" s="4">
        <v>12.5</v>
      </c>
      <c r="I237" s="5">
        <v>0.06</v>
      </c>
    </row>
    <row r="238" spans="2:9" x14ac:dyDescent="0.3">
      <c r="B238" s="99" t="s">
        <v>298</v>
      </c>
      <c r="C238" s="4">
        <v>500</v>
      </c>
      <c r="D238" s="4">
        <v>3</v>
      </c>
      <c r="E238" s="4">
        <v>17</v>
      </c>
      <c r="F238" s="4">
        <v>14</v>
      </c>
      <c r="G238" s="4">
        <v>7.0000000000000007E-2</v>
      </c>
      <c r="H238" s="4">
        <v>17.649999999999999</v>
      </c>
      <c r="I238" s="5">
        <v>-0.04</v>
      </c>
    </row>
    <row r="239" spans="2:9" x14ac:dyDescent="0.3">
      <c r="B239" s="99" t="s">
        <v>298</v>
      </c>
      <c r="C239" s="4">
        <v>500</v>
      </c>
      <c r="D239" s="4">
        <v>0</v>
      </c>
      <c r="E239" s="4">
        <v>10</v>
      </c>
      <c r="F239" s="4">
        <v>10</v>
      </c>
      <c r="G239" s="4">
        <v>0.1</v>
      </c>
      <c r="H239" s="4">
        <v>0</v>
      </c>
      <c r="I239" s="5">
        <v>-0.11</v>
      </c>
    </row>
    <row r="240" spans="2:9" x14ac:dyDescent="0.3">
      <c r="B240" s="99" t="s">
        <v>303</v>
      </c>
      <c r="C240" s="4">
        <v>500</v>
      </c>
      <c r="D240" s="4">
        <v>2</v>
      </c>
      <c r="E240" s="4">
        <v>17</v>
      </c>
      <c r="F240" s="4">
        <v>15</v>
      </c>
      <c r="G240" s="4">
        <v>0.03</v>
      </c>
      <c r="H240" s="4">
        <v>11.76</v>
      </c>
      <c r="I240" s="5">
        <v>0.35</v>
      </c>
    </row>
    <row r="241" spans="2:9" x14ac:dyDescent="0.3">
      <c r="B241" s="99" t="s">
        <v>303</v>
      </c>
      <c r="C241" s="4">
        <v>500</v>
      </c>
      <c r="D241" s="4">
        <v>4</v>
      </c>
      <c r="E241" s="4">
        <v>17</v>
      </c>
      <c r="F241" s="4">
        <v>13</v>
      </c>
      <c r="G241" s="4">
        <v>0.102840237</v>
      </c>
      <c r="H241" s="4">
        <v>23.53</v>
      </c>
      <c r="I241" s="5">
        <v>-0.53</v>
      </c>
    </row>
    <row r="242" spans="2:9" x14ac:dyDescent="0.3">
      <c r="B242" s="99" t="s">
        <v>303</v>
      </c>
      <c r="C242" s="4">
        <v>500</v>
      </c>
      <c r="D242" s="4">
        <v>2</v>
      </c>
      <c r="E242" s="4">
        <v>17</v>
      </c>
      <c r="F242" s="4">
        <v>15</v>
      </c>
      <c r="G242" s="4">
        <v>0.09</v>
      </c>
      <c r="H242" s="4">
        <v>11.76</v>
      </c>
      <c r="I242" s="5">
        <v>-0.44</v>
      </c>
    </row>
    <row r="243" spans="2:9" x14ac:dyDescent="0.3">
      <c r="B243" s="99" t="s">
        <v>303</v>
      </c>
      <c r="C243" s="4">
        <v>500</v>
      </c>
      <c r="D243" s="4">
        <v>1</v>
      </c>
      <c r="E243" s="4">
        <v>17</v>
      </c>
      <c r="F243" s="4">
        <v>17</v>
      </c>
      <c r="G243" s="4">
        <v>7.0000000000000007E-2</v>
      </c>
      <c r="H243" s="4">
        <v>5.88</v>
      </c>
      <c r="I243" s="5">
        <v>0.3</v>
      </c>
    </row>
    <row r="244" spans="2:9" x14ac:dyDescent="0.3">
      <c r="B244" s="99" t="s">
        <v>328</v>
      </c>
      <c r="C244" s="4">
        <v>500</v>
      </c>
      <c r="D244" s="4">
        <v>1</v>
      </c>
      <c r="E244" s="4">
        <v>17</v>
      </c>
      <c r="F244" s="4">
        <v>16</v>
      </c>
      <c r="G244" s="4">
        <v>0.04</v>
      </c>
      <c r="H244" s="4">
        <v>5.88</v>
      </c>
      <c r="I244" s="5">
        <v>0.27</v>
      </c>
    </row>
    <row r="245" spans="2:9" x14ac:dyDescent="0.3">
      <c r="B245" s="99" t="s">
        <v>328</v>
      </c>
      <c r="C245" s="4">
        <v>500</v>
      </c>
      <c r="D245" s="4">
        <v>2</v>
      </c>
      <c r="E245" s="4">
        <v>18</v>
      </c>
      <c r="F245" s="4">
        <v>16</v>
      </c>
      <c r="G245" s="4">
        <v>0.02</v>
      </c>
      <c r="H245" s="4">
        <v>11.11</v>
      </c>
      <c r="I245" s="5">
        <v>0.34</v>
      </c>
    </row>
    <row r="246" spans="2:9" x14ac:dyDescent="0.3">
      <c r="B246" s="99" t="s">
        <v>338</v>
      </c>
      <c r="C246" s="4">
        <v>500</v>
      </c>
      <c r="D246" s="4">
        <v>9</v>
      </c>
      <c r="E246" s="4">
        <v>17</v>
      </c>
      <c r="F246" s="4">
        <v>8</v>
      </c>
      <c r="G246" s="4">
        <v>0.03</v>
      </c>
      <c r="H246" s="4">
        <v>52.94</v>
      </c>
      <c r="I246" s="5">
        <v>0.75</v>
      </c>
    </row>
    <row r="247" spans="2:9" x14ac:dyDescent="0.3">
      <c r="B247" s="99" t="s">
        <v>338</v>
      </c>
      <c r="C247" s="4">
        <v>500</v>
      </c>
      <c r="D247" s="4">
        <v>7</v>
      </c>
      <c r="E247" s="4">
        <v>17</v>
      </c>
      <c r="F247" s="4">
        <v>10</v>
      </c>
      <c r="G247" s="4">
        <v>0.02</v>
      </c>
      <c r="H247" s="4">
        <v>41.18</v>
      </c>
      <c r="I247" s="5">
        <v>0.62</v>
      </c>
    </row>
    <row r="248" spans="2:9" x14ac:dyDescent="0.3">
      <c r="B248" s="99" t="s">
        <v>356</v>
      </c>
      <c r="C248" s="4">
        <v>500</v>
      </c>
      <c r="D248" s="4">
        <v>15</v>
      </c>
      <c r="E248" s="4">
        <v>17</v>
      </c>
      <c r="F248" s="4">
        <v>2</v>
      </c>
      <c r="G248" s="4">
        <v>0.2</v>
      </c>
      <c r="H248" s="4">
        <v>88.24</v>
      </c>
      <c r="I248" s="5">
        <v>0.98</v>
      </c>
    </row>
    <row r="249" spans="2:9" x14ac:dyDescent="0.3">
      <c r="B249" s="99" t="s">
        <v>356</v>
      </c>
      <c r="C249" s="4">
        <v>500</v>
      </c>
      <c r="D249" s="4">
        <v>17</v>
      </c>
      <c r="E249" s="4">
        <v>17</v>
      </c>
      <c r="F249" s="4">
        <v>0</v>
      </c>
      <c r="G249" s="4">
        <v>0</v>
      </c>
      <c r="H249" s="4">
        <v>100</v>
      </c>
      <c r="I249" s="5">
        <v>1</v>
      </c>
    </row>
    <row r="250" spans="2:9" x14ac:dyDescent="0.3">
      <c r="B250" s="99" t="s">
        <v>356</v>
      </c>
      <c r="C250" s="4">
        <v>500</v>
      </c>
      <c r="D250" s="4">
        <v>14</v>
      </c>
      <c r="E250" s="4">
        <v>16</v>
      </c>
      <c r="F250" s="4">
        <v>2</v>
      </c>
      <c r="G250" s="4">
        <v>0.15</v>
      </c>
      <c r="H250" s="4">
        <v>87.5</v>
      </c>
      <c r="I250" s="5">
        <v>0.98</v>
      </c>
    </row>
    <row r="251" spans="2:9" x14ac:dyDescent="0.3">
      <c r="B251" s="99" t="s">
        <v>356</v>
      </c>
      <c r="C251" s="4">
        <v>500</v>
      </c>
      <c r="D251" s="4">
        <v>13</v>
      </c>
      <c r="E251" s="4">
        <v>17</v>
      </c>
      <c r="F251" s="4">
        <v>4</v>
      </c>
      <c r="G251" s="4">
        <v>0.3</v>
      </c>
      <c r="H251" s="4">
        <v>76.47</v>
      </c>
      <c r="I251" s="5">
        <v>0.93</v>
      </c>
    </row>
    <row r="252" spans="2:9" x14ac:dyDescent="0.3">
      <c r="B252" s="99" t="s">
        <v>356</v>
      </c>
      <c r="C252" s="4">
        <v>500</v>
      </c>
      <c r="D252" s="4">
        <v>13</v>
      </c>
      <c r="E252" s="4">
        <v>17</v>
      </c>
      <c r="F252" s="4">
        <v>4</v>
      </c>
      <c r="G252" s="4">
        <v>0.19</v>
      </c>
      <c r="H252" s="4">
        <v>76.47</v>
      </c>
      <c r="I252" s="5">
        <v>0.93</v>
      </c>
    </row>
    <row r="253" spans="2:9" x14ac:dyDescent="0.3">
      <c r="B253" s="99" t="s">
        <v>356</v>
      </c>
      <c r="C253" s="4">
        <v>500</v>
      </c>
      <c r="D253" s="4">
        <v>15</v>
      </c>
      <c r="E253" s="4">
        <v>17</v>
      </c>
      <c r="F253" s="4">
        <v>2</v>
      </c>
      <c r="G253" s="4">
        <v>0.23</v>
      </c>
      <c r="H253" s="4">
        <v>88.24</v>
      </c>
      <c r="I253" s="5">
        <v>0.96</v>
      </c>
    </row>
    <row r="254" spans="2:9" x14ac:dyDescent="0.3">
      <c r="B254" s="99" t="s">
        <v>356</v>
      </c>
      <c r="C254" s="4">
        <v>500</v>
      </c>
      <c r="D254" s="4">
        <v>16</v>
      </c>
      <c r="E254" s="4">
        <v>17</v>
      </c>
      <c r="F254" s="4">
        <v>1</v>
      </c>
      <c r="G254" s="4">
        <v>0.28999999999999998</v>
      </c>
      <c r="H254" s="4">
        <v>94.12</v>
      </c>
      <c r="I254" s="5">
        <v>0.97</v>
      </c>
    </row>
    <row r="255" spans="2:9" x14ac:dyDescent="0.3">
      <c r="B255" s="99" t="s">
        <v>356</v>
      </c>
      <c r="C255" s="4">
        <v>500</v>
      </c>
      <c r="D255" s="4">
        <v>12</v>
      </c>
      <c r="E255" s="4">
        <v>17</v>
      </c>
      <c r="F255" s="4">
        <v>5</v>
      </c>
      <c r="G255" s="4">
        <v>0.23</v>
      </c>
      <c r="H255" s="4">
        <v>70.59</v>
      </c>
      <c r="I255" s="5">
        <v>0.89</v>
      </c>
    </row>
    <row r="256" spans="2:9" x14ac:dyDescent="0.3">
      <c r="B256" s="99" t="s">
        <v>360</v>
      </c>
      <c r="C256" s="4">
        <v>500</v>
      </c>
      <c r="D256" s="4">
        <v>15</v>
      </c>
      <c r="E256" s="4">
        <v>17</v>
      </c>
      <c r="F256" s="4">
        <v>2</v>
      </c>
      <c r="G256" s="4">
        <v>0.05</v>
      </c>
      <c r="H256" s="4">
        <v>88.24</v>
      </c>
      <c r="I256" s="5">
        <v>0.99</v>
      </c>
    </row>
    <row r="257" spans="2:9" x14ac:dyDescent="0.3">
      <c r="B257" s="99" t="s">
        <v>360</v>
      </c>
      <c r="C257" s="4">
        <v>500</v>
      </c>
      <c r="D257" s="4">
        <v>16</v>
      </c>
      <c r="E257" s="4">
        <v>17</v>
      </c>
      <c r="F257" s="4">
        <v>1</v>
      </c>
      <c r="G257" s="4">
        <v>0.1</v>
      </c>
      <c r="H257" s="4">
        <v>94.12</v>
      </c>
      <c r="I257" s="5">
        <v>0.99</v>
      </c>
    </row>
    <row r="258" spans="2:9" x14ac:dyDescent="0.3">
      <c r="B258" s="99" t="s">
        <v>360</v>
      </c>
      <c r="C258" s="4">
        <v>500</v>
      </c>
      <c r="D258" s="4">
        <v>14</v>
      </c>
      <c r="E258" s="4">
        <v>18</v>
      </c>
      <c r="F258" s="4">
        <v>4</v>
      </c>
      <c r="G258" s="4">
        <v>0.33</v>
      </c>
      <c r="H258" s="4">
        <v>77.78</v>
      </c>
      <c r="I258" s="5">
        <v>0.88</v>
      </c>
    </row>
    <row r="259" spans="2:9" x14ac:dyDescent="0.3">
      <c r="B259" s="99" t="s">
        <v>360</v>
      </c>
      <c r="C259" s="4">
        <v>500</v>
      </c>
      <c r="D259" s="4">
        <v>15</v>
      </c>
      <c r="E259" s="4">
        <v>17</v>
      </c>
      <c r="F259" s="4">
        <v>2</v>
      </c>
      <c r="G259" s="4">
        <v>0.24</v>
      </c>
      <c r="H259" s="4">
        <v>88.24</v>
      </c>
      <c r="I259" s="5">
        <v>0.95</v>
      </c>
    </row>
    <row r="260" spans="2:9" x14ac:dyDescent="0.3">
      <c r="B260" s="99" t="s">
        <v>346</v>
      </c>
      <c r="C260" s="4">
        <v>500</v>
      </c>
      <c r="D260" s="4">
        <v>17</v>
      </c>
      <c r="E260" s="4">
        <v>18</v>
      </c>
      <c r="F260" s="4">
        <v>1</v>
      </c>
      <c r="G260" s="4">
        <v>0.2</v>
      </c>
      <c r="H260" s="4">
        <v>94.44</v>
      </c>
      <c r="I260" s="5">
        <v>0.77</v>
      </c>
    </row>
    <row r="261" spans="2:9" x14ac:dyDescent="0.3">
      <c r="B261" s="99" t="s">
        <v>346</v>
      </c>
      <c r="C261" s="4">
        <v>500</v>
      </c>
      <c r="D261" s="4">
        <v>16</v>
      </c>
      <c r="E261" s="4">
        <v>18</v>
      </c>
      <c r="F261" s="4">
        <v>2</v>
      </c>
      <c r="G261" s="4">
        <v>0.09</v>
      </c>
      <c r="H261" s="4">
        <v>88.89</v>
      </c>
      <c r="I261" s="5">
        <v>0.69</v>
      </c>
    </row>
    <row r="262" spans="2:9" x14ac:dyDescent="0.3">
      <c r="B262" s="99" t="s">
        <v>346</v>
      </c>
      <c r="C262" s="4">
        <v>500</v>
      </c>
      <c r="D262" s="4">
        <v>9</v>
      </c>
      <c r="E262" s="4">
        <v>13</v>
      </c>
      <c r="F262" s="4">
        <v>4</v>
      </c>
      <c r="G262" s="4">
        <v>0.06</v>
      </c>
      <c r="H262" s="4">
        <v>69.23</v>
      </c>
      <c r="I262" s="5">
        <v>0.6</v>
      </c>
    </row>
    <row r="263" spans="2:9" x14ac:dyDescent="0.3">
      <c r="B263" s="99" t="s">
        <v>346</v>
      </c>
      <c r="C263" s="4">
        <v>500</v>
      </c>
      <c r="D263" s="4">
        <v>12</v>
      </c>
      <c r="E263" s="4">
        <v>17</v>
      </c>
      <c r="F263" s="4">
        <v>5</v>
      </c>
      <c r="G263" s="4">
        <v>0.06</v>
      </c>
      <c r="H263" s="4">
        <v>70.59</v>
      </c>
      <c r="I263" s="5">
        <v>0.62</v>
      </c>
    </row>
    <row r="264" spans="2:9" x14ac:dyDescent="0.3">
      <c r="B264" s="99" t="s">
        <v>346</v>
      </c>
      <c r="C264" s="4">
        <v>500</v>
      </c>
      <c r="D264" s="4">
        <v>16</v>
      </c>
      <c r="E264" s="4">
        <v>17</v>
      </c>
      <c r="F264" s="4">
        <v>1</v>
      </c>
      <c r="G264" s="4">
        <v>0.31</v>
      </c>
      <c r="H264" s="4">
        <v>94.12</v>
      </c>
      <c r="I264" s="5">
        <v>0.73</v>
      </c>
    </row>
    <row r="265" spans="2:9" x14ac:dyDescent="0.3">
      <c r="B265" s="99" t="s">
        <v>351</v>
      </c>
      <c r="C265" s="4">
        <v>500</v>
      </c>
      <c r="D265" s="4">
        <v>15</v>
      </c>
      <c r="E265" s="4">
        <v>17</v>
      </c>
      <c r="F265" s="4">
        <v>2</v>
      </c>
      <c r="G265" s="4">
        <v>0.09</v>
      </c>
      <c r="H265" s="4">
        <v>88.24</v>
      </c>
      <c r="I265" s="5">
        <v>0.79</v>
      </c>
    </row>
    <row r="266" spans="2:9" x14ac:dyDescent="0.3">
      <c r="B266" s="99" t="s">
        <v>351</v>
      </c>
      <c r="C266" s="4">
        <v>500</v>
      </c>
      <c r="D266" s="4">
        <v>15</v>
      </c>
      <c r="E266" s="4">
        <v>17</v>
      </c>
      <c r="F266" s="4">
        <v>2</v>
      </c>
      <c r="G266" s="4">
        <v>0.1</v>
      </c>
      <c r="H266" s="4">
        <v>88.24</v>
      </c>
      <c r="I266" s="5">
        <v>0.64</v>
      </c>
    </row>
    <row r="267" spans="2:9" x14ac:dyDescent="0.3">
      <c r="B267" s="99" t="s">
        <v>351</v>
      </c>
      <c r="C267" s="4">
        <v>500</v>
      </c>
      <c r="D267" s="4">
        <v>13</v>
      </c>
      <c r="E267" s="4">
        <v>15</v>
      </c>
      <c r="F267" s="4">
        <v>2</v>
      </c>
      <c r="G267" s="4">
        <v>0.08</v>
      </c>
      <c r="H267" s="4">
        <v>86.67</v>
      </c>
      <c r="I267" s="5">
        <v>0.75</v>
      </c>
    </row>
    <row r="268" spans="2:9" x14ac:dyDescent="0.3">
      <c r="B268" s="99" t="s">
        <v>351</v>
      </c>
      <c r="C268" s="4">
        <v>500</v>
      </c>
      <c r="D268" s="4">
        <v>13</v>
      </c>
      <c r="E268" s="4">
        <v>17</v>
      </c>
      <c r="F268" s="4">
        <v>4</v>
      </c>
      <c r="G268" s="4">
        <v>0.05</v>
      </c>
      <c r="H268" s="4">
        <v>76.47</v>
      </c>
      <c r="I268" s="5">
        <v>0.76</v>
      </c>
    </row>
    <row r="269" spans="2:9" x14ac:dyDescent="0.3">
      <c r="B269" s="99" t="s">
        <v>351</v>
      </c>
      <c r="C269" s="4">
        <v>500</v>
      </c>
      <c r="D269" s="4">
        <v>7</v>
      </c>
      <c r="E269" s="4">
        <v>11</v>
      </c>
      <c r="F269" s="4">
        <v>4</v>
      </c>
      <c r="G269" s="4">
        <v>7.0000000000000007E-2</v>
      </c>
      <c r="H269" s="4">
        <v>63.64</v>
      </c>
      <c r="I269" s="5">
        <v>0.4</v>
      </c>
    </row>
    <row r="270" spans="2:9" x14ac:dyDescent="0.3">
      <c r="B270" s="99" t="s">
        <v>351</v>
      </c>
      <c r="C270" s="4">
        <v>500</v>
      </c>
      <c r="D270" s="4">
        <v>10</v>
      </c>
      <c r="E270" s="4">
        <v>17</v>
      </c>
      <c r="F270" s="4">
        <v>7</v>
      </c>
      <c r="G270" s="4">
        <v>0.04</v>
      </c>
      <c r="H270" s="4">
        <v>58.82</v>
      </c>
      <c r="I270" s="5">
        <v>0.78</v>
      </c>
    </row>
    <row r="271" spans="2:9" x14ac:dyDescent="0.3">
      <c r="B271" s="99" t="s">
        <v>351</v>
      </c>
      <c r="C271" s="4">
        <v>500</v>
      </c>
      <c r="D271" s="4">
        <v>13</v>
      </c>
      <c r="E271" s="4">
        <v>17</v>
      </c>
      <c r="F271" s="4">
        <v>4</v>
      </c>
      <c r="G271" s="4">
        <v>0.34</v>
      </c>
      <c r="H271" s="4">
        <v>76.47</v>
      </c>
      <c r="I271" s="5">
        <v>0.93</v>
      </c>
    </row>
    <row r="272" spans="2:9" x14ac:dyDescent="0.3">
      <c r="B272" s="99" t="s">
        <v>351</v>
      </c>
      <c r="C272" s="4">
        <v>500</v>
      </c>
      <c r="D272" s="4">
        <v>12</v>
      </c>
      <c r="E272" s="4">
        <v>17</v>
      </c>
      <c r="F272" s="4">
        <v>5</v>
      </c>
      <c r="G272" s="4">
        <v>0.37</v>
      </c>
      <c r="H272" s="4">
        <v>70.59</v>
      </c>
      <c r="I272" s="5">
        <v>0.91</v>
      </c>
    </row>
    <row r="273" spans="2:9" x14ac:dyDescent="0.3">
      <c r="B273" s="99" t="s">
        <v>369</v>
      </c>
      <c r="C273" s="4">
        <v>500</v>
      </c>
      <c r="D273" s="4">
        <v>2</v>
      </c>
      <c r="E273" s="4">
        <v>16</v>
      </c>
      <c r="F273" s="4">
        <v>14</v>
      </c>
      <c r="G273" s="4">
        <v>0.05</v>
      </c>
      <c r="H273" s="4">
        <v>12.5</v>
      </c>
      <c r="I273" s="5">
        <v>0.09</v>
      </c>
    </row>
    <row r="274" spans="2:9" x14ac:dyDescent="0.3">
      <c r="B274" s="99" t="s">
        <v>369</v>
      </c>
      <c r="C274" s="4">
        <v>500</v>
      </c>
      <c r="D274" s="4">
        <v>2</v>
      </c>
      <c r="E274" s="4">
        <v>17</v>
      </c>
      <c r="F274" s="4">
        <v>15</v>
      </c>
      <c r="G274" s="4">
        <v>0.04</v>
      </c>
      <c r="H274" s="4">
        <v>11.76</v>
      </c>
      <c r="I274" s="5">
        <v>-0.01</v>
      </c>
    </row>
    <row r="275" spans="2:9" x14ac:dyDescent="0.3">
      <c r="B275" s="99" t="s">
        <v>379</v>
      </c>
      <c r="C275" s="4">
        <v>500</v>
      </c>
      <c r="D275" s="4">
        <v>3</v>
      </c>
      <c r="E275" s="4">
        <v>17</v>
      </c>
      <c r="F275" s="4">
        <v>14</v>
      </c>
      <c r="G275" s="4">
        <v>0.03</v>
      </c>
      <c r="H275" s="4">
        <v>17.649999999999999</v>
      </c>
      <c r="I275" s="5">
        <v>0.46</v>
      </c>
    </row>
    <row r="276" spans="2:9" x14ac:dyDescent="0.3">
      <c r="B276" s="99" t="s">
        <v>379</v>
      </c>
      <c r="C276" s="4">
        <v>500</v>
      </c>
      <c r="D276" s="4">
        <v>2</v>
      </c>
      <c r="E276" s="4">
        <v>17</v>
      </c>
      <c r="F276" s="4">
        <v>15</v>
      </c>
      <c r="G276" s="4">
        <v>0.04</v>
      </c>
      <c r="H276" s="4">
        <v>11.76</v>
      </c>
      <c r="I276" s="5">
        <v>-7.0000000000000007E-2</v>
      </c>
    </row>
    <row r="277" spans="2:9" x14ac:dyDescent="0.3">
      <c r="B277" s="99" t="s">
        <v>384</v>
      </c>
      <c r="C277" s="4">
        <v>500</v>
      </c>
      <c r="D277" s="4">
        <v>3</v>
      </c>
      <c r="E277" s="4">
        <v>17</v>
      </c>
      <c r="F277" s="4">
        <v>14</v>
      </c>
      <c r="G277" s="4">
        <v>0.03</v>
      </c>
      <c r="H277" s="4">
        <v>17.649999999999999</v>
      </c>
      <c r="I277" s="5">
        <v>0.49</v>
      </c>
    </row>
    <row r="278" spans="2:9" x14ac:dyDescent="0.3">
      <c r="B278" s="99" t="s">
        <v>384</v>
      </c>
      <c r="C278" s="4">
        <v>500</v>
      </c>
      <c r="D278" s="4">
        <v>3</v>
      </c>
      <c r="E278" s="4">
        <v>17</v>
      </c>
      <c r="F278" s="4">
        <v>14</v>
      </c>
      <c r="G278" s="4">
        <v>0.03</v>
      </c>
      <c r="H278" s="4">
        <v>17.649999999999999</v>
      </c>
      <c r="I278" s="5">
        <v>0.23</v>
      </c>
    </row>
    <row r="279" spans="2:9" x14ac:dyDescent="0.3">
      <c r="B279" s="99" t="s">
        <v>429</v>
      </c>
      <c r="C279" s="4">
        <v>500</v>
      </c>
      <c r="D279" s="4">
        <v>10</v>
      </c>
      <c r="E279" s="4">
        <v>17</v>
      </c>
      <c r="F279" s="4">
        <v>7</v>
      </c>
      <c r="G279" s="4">
        <v>0.05</v>
      </c>
      <c r="H279" s="4">
        <v>58.82</v>
      </c>
      <c r="I279" s="5">
        <v>0.6</v>
      </c>
    </row>
    <row r="280" spans="2:9" x14ac:dyDescent="0.3">
      <c r="B280" s="99" t="s">
        <v>429</v>
      </c>
      <c r="C280" s="4">
        <v>500</v>
      </c>
      <c r="D280" s="4">
        <v>5</v>
      </c>
      <c r="E280" s="4">
        <v>17</v>
      </c>
      <c r="F280" s="4">
        <v>12</v>
      </c>
      <c r="G280" s="4">
        <v>0.02</v>
      </c>
      <c r="H280" s="4">
        <v>29.41</v>
      </c>
      <c r="I280" s="5">
        <v>0.55000000000000004</v>
      </c>
    </row>
    <row r="281" spans="2:9" x14ac:dyDescent="0.3">
      <c r="B281" s="99" t="s">
        <v>819</v>
      </c>
      <c r="C281" s="4">
        <v>500</v>
      </c>
      <c r="D281" s="4">
        <v>3</v>
      </c>
      <c r="E281" s="4">
        <v>17</v>
      </c>
      <c r="F281" s="4">
        <v>14</v>
      </c>
      <c r="G281" s="4">
        <v>0.43</v>
      </c>
      <c r="H281" s="4">
        <v>17.649999999999999</v>
      </c>
      <c r="I281" s="5">
        <v>0.76</v>
      </c>
    </row>
    <row r="282" spans="2:9" x14ac:dyDescent="0.3">
      <c r="B282" s="99" t="s">
        <v>819</v>
      </c>
      <c r="C282" s="4">
        <v>500</v>
      </c>
      <c r="D282" s="4">
        <v>4</v>
      </c>
      <c r="E282" s="4">
        <v>17</v>
      </c>
      <c r="F282" s="4">
        <v>13</v>
      </c>
      <c r="G282" s="4">
        <v>0.4</v>
      </c>
      <c r="H282" s="4">
        <v>23.53</v>
      </c>
      <c r="I282" s="5">
        <v>0.75</v>
      </c>
    </row>
    <row r="283" spans="2:9" x14ac:dyDescent="0.3">
      <c r="B283" s="99" t="s">
        <v>480</v>
      </c>
      <c r="C283" s="4">
        <v>500</v>
      </c>
      <c r="D283" s="4">
        <v>15</v>
      </c>
      <c r="E283" s="4">
        <v>17</v>
      </c>
      <c r="F283" s="4">
        <v>2</v>
      </c>
      <c r="G283" s="4">
        <v>0.38</v>
      </c>
      <c r="H283" s="4">
        <v>88.24</v>
      </c>
      <c r="I283" s="5">
        <v>0.98</v>
      </c>
    </row>
    <row r="284" spans="2:9" x14ac:dyDescent="0.3">
      <c r="B284" s="99" t="s">
        <v>480</v>
      </c>
      <c r="C284" s="4">
        <v>500</v>
      </c>
      <c r="D284" s="4">
        <v>12</v>
      </c>
      <c r="E284" s="4">
        <v>17</v>
      </c>
      <c r="F284" s="4">
        <v>5</v>
      </c>
      <c r="G284" s="4">
        <v>0.36</v>
      </c>
      <c r="H284" s="4">
        <v>70.59</v>
      </c>
      <c r="I284" s="5">
        <v>0.93</v>
      </c>
    </row>
    <row r="285" spans="2:9" x14ac:dyDescent="0.3">
      <c r="B285" s="99" t="s">
        <v>480</v>
      </c>
      <c r="C285" s="4">
        <v>500</v>
      </c>
      <c r="D285" s="4">
        <v>16</v>
      </c>
      <c r="E285" s="4">
        <v>17</v>
      </c>
      <c r="F285" s="4">
        <v>1</v>
      </c>
      <c r="G285" s="4">
        <v>0.33</v>
      </c>
      <c r="H285" s="4">
        <v>94.12</v>
      </c>
      <c r="I285" s="5">
        <v>0.98</v>
      </c>
    </row>
    <row r="286" spans="2:9" x14ac:dyDescent="0.3">
      <c r="B286" s="99" t="s">
        <v>480</v>
      </c>
      <c r="C286" s="4">
        <v>500</v>
      </c>
      <c r="D286" s="4">
        <v>14</v>
      </c>
      <c r="E286" s="4">
        <v>18</v>
      </c>
      <c r="F286" s="4">
        <v>4</v>
      </c>
      <c r="G286" s="4">
        <v>0.32</v>
      </c>
      <c r="H286" s="4">
        <v>77.78</v>
      </c>
      <c r="I286" s="5">
        <v>0.93</v>
      </c>
    </row>
    <row r="287" spans="2:9" x14ac:dyDescent="0.3">
      <c r="B287" s="99" t="s">
        <v>480</v>
      </c>
      <c r="C287" s="4">
        <v>500</v>
      </c>
      <c r="D287" s="4">
        <v>15</v>
      </c>
      <c r="E287" s="4">
        <v>17</v>
      </c>
      <c r="F287" s="4">
        <v>2</v>
      </c>
      <c r="G287" s="4">
        <v>0.7</v>
      </c>
      <c r="H287" s="4">
        <v>88.24</v>
      </c>
      <c r="I287" s="5">
        <v>0.96</v>
      </c>
    </row>
    <row r="288" spans="2:9" x14ac:dyDescent="0.3">
      <c r="B288" s="99" t="s">
        <v>480</v>
      </c>
      <c r="C288" s="4">
        <v>500</v>
      </c>
      <c r="D288" s="4">
        <v>17</v>
      </c>
      <c r="E288" s="4">
        <v>17</v>
      </c>
      <c r="F288" s="4">
        <v>0</v>
      </c>
      <c r="G288" s="4">
        <v>0</v>
      </c>
      <c r="H288" s="4">
        <v>100</v>
      </c>
      <c r="I288" s="5">
        <v>1</v>
      </c>
    </row>
    <row r="289" spans="2:9" x14ac:dyDescent="0.3">
      <c r="B289" s="99" t="s">
        <v>480</v>
      </c>
      <c r="C289" s="4">
        <v>500</v>
      </c>
      <c r="D289" s="4">
        <v>13</v>
      </c>
      <c r="E289" s="4">
        <v>14</v>
      </c>
      <c r="F289" s="4">
        <v>1</v>
      </c>
      <c r="G289" s="4">
        <v>0.38</v>
      </c>
      <c r="H289" s="4">
        <v>92.86</v>
      </c>
      <c r="I289" s="5">
        <v>0.73</v>
      </c>
    </row>
    <row r="290" spans="2:9" x14ac:dyDescent="0.3">
      <c r="B290" s="99" t="s">
        <v>480</v>
      </c>
      <c r="C290" s="4">
        <v>500</v>
      </c>
      <c r="D290" s="4">
        <v>17</v>
      </c>
      <c r="E290" s="4">
        <v>17</v>
      </c>
      <c r="F290" s="4">
        <v>0</v>
      </c>
      <c r="G290" s="4">
        <v>0</v>
      </c>
      <c r="H290" s="4">
        <v>100</v>
      </c>
      <c r="I290" s="5">
        <v>1</v>
      </c>
    </row>
    <row r="291" spans="2:9" x14ac:dyDescent="0.3">
      <c r="B291" s="99" t="s">
        <v>480</v>
      </c>
      <c r="C291" s="4">
        <v>500</v>
      </c>
      <c r="D291" s="4">
        <v>16</v>
      </c>
      <c r="E291" s="4">
        <v>17</v>
      </c>
      <c r="F291" s="4">
        <v>1</v>
      </c>
      <c r="G291" s="4">
        <v>0.47</v>
      </c>
      <c r="H291" s="4">
        <v>94.12</v>
      </c>
      <c r="I291" s="5">
        <v>0.99</v>
      </c>
    </row>
    <row r="292" spans="2:9" x14ac:dyDescent="0.3">
      <c r="B292" s="99" t="s">
        <v>480</v>
      </c>
      <c r="C292" s="4">
        <v>500</v>
      </c>
      <c r="D292" s="4">
        <v>17</v>
      </c>
      <c r="E292" s="4">
        <v>17</v>
      </c>
      <c r="F292" s="4">
        <v>0</v>
      </c>
      <c r="G292" s="4">
        <v>0</v>
      </c>
      <c r="H292" s="4">
        <v>100</v>
      </c>
      <c r="I292" s="5">
        <v>1</v>
      </c>
    </row>
    <row r="293" spans="2:9" x14ac:dyDescent="0.3">
      <c r="B293" s="99" t="s">
        <v>480</v>
      </c>
      <c r="C293" s="4">
        <v>500</v>
      </c>
      <c r="D293" s="4">
        <v>15</v>
      </c>
      <c r="E293" s="4">
        <v>15</v>
      </c>
      <c r="F293" s="4">
        <v>0</v>
      </c>
      <c r="G293" s="4">
        <v>0</v>
      </c>
      <c r="H293" s="4">
        <v>100</v>
      </c>
      <c r="I293" s="5">
        <v>1</v>
      </c>
    </row>
    <row r="294" spans="2:9" x14ac:dyDescent="0.3">
      <c r="B294" s="99" t="s">
        <v>480</v>
      </c>
      <c r="C294" s="4">
        <v>500</v>
      </c>
      <c r="D294" s="4">
        <v>14</v>
      </c>
      <c r="E294" s="4">
        <v>15</v>
      </c>
      <c r="F294" s="4">
        <v>1</v>
      </c>
      <c r="G294" s="4">
        <v>0.14000000000000001</v>
      </c>
      <c r="H294" s="4">
        <v>93.33</v>
      </c>
      <c r="I294" s="5">
        <v>1</v>
      </c>
    </row>
    <row r="295" spans="2:9" x14ac:dyDescent="0.3">
      <c r="B295" s="99" t="s">
        <v>480</v>
      </c>
      <c r="C295" s="4">
        <v>500</v>
      </c>
      <c r="D295" s="4">
        <v>17</v>
      </c>
      <c r="E295" s="4">
        <v>17</v>
      </c>
      <c r="F295" s="4">
        <v>0</v>
      </c>
      <c r="G295" s="4">
        <v>0</v>
      </c>
      <c r="H295" s="4">
        <v>100</v>
      </c>
      <c r="I295" s="5">
        <v>1</v>
      </c>
    </row>
    <row r="296" spans="2:9" x14ac:dyDescent="0.3">
      <c r="B296" s="99" t="s">
        <v>480</v>
      </c>
      <c r="C296" s="4">
        <v>500</v>
      </c>
      <c r="D296" s="4">
        <v>18</v>
      </c>
      <c r="E296" s="4">
        <v>18</v>
      </c>
      <c r="F296" s="4">
        <v>0</v>
      </c>
      <c r="G296" s="4">
        <v>0</v>
      </c>
      <c r="H296" s="4">
        <v>100</v>
      </c>
      <c r="I296" s="5">
        <v>1</v>
      </c>
    </row>
    <row r="297" spans="2:9" x14ac:dyDescent="0.3">
      <c r="B297" s="99" t="s">
        <v>480</v>
      </c>
      <c r="C297" s="4">
        <v>500</v>
      </c>
      <c r="D297" s="4">
        <v>15</v>
      </c>
      <c r="E297" s="4">
        <v>17</v>
      </c>
      <c r="F297" s="4">
        <v>2</v>
      </c>
      <c r="G297" s="4">
        <v>0.37</v>
      </c>
      <c r="H297" s="4">
        <v>88.24</v>
      </c>
      <c r="I297" s="5">
        <v>0.97</v>
      </c>
    </row>
    <row r="298" spans="2:9" x14ac:dyDescent="0.3">
      <c r="B298" s="99" t="s">
        <v>480</v>
      </c>
      <c r="C298" s="4">
        <v>500</v>
      </c>
      <c r="D298" s="4">
        <v>17</v>
      </c>
      <c r="E298" s="4">
        <v>17</v>
      </c>
      <c r="F298" s="4">
        <v>0</v>
      </c>
      <c r="G298" s="4">
        <v>0</v>
      </c>
      <c r="H298" s="4">
        <v>100</v>
      </c>
      <c r="I298" s="5">
        <v>1</v>
      </c>
    </row>
    <row r="299" spans="2:9" x14ac:dyDescent="0.3">
      <c r="B299" s="99" t="s">
        <v>484</v>
      </c>
      <c r="C299" s="4">
        <v>500</v>
      </c>
      <c r="D299" s="4">
        <v>13</v>
      </c>
      <c r="E299" s="4">
        <v>17</v>
      </c>
      <c r="F299" s="4">
        <v>4</v>
      </c>
      <c r="G299" s="4">
        <v>0.33</v>
      </c>
      <c r="H299" s="4">
        <v>76.47</v>
      </c>
      <c r="I299" s="5">
        <v>0.97</v>
      </c>
    </row>
    <row r="300" spans="2:9" x14ac:dyDescent="0.3">
      <c r="B300" s="99" t="s">
        <v>484</v>
      </c>
      <c r="C300" s="4">
        <v>500</v>
      </c>
      <c r="D300" s="4">
        <v>14</v>
      </c>
      <c r="E300" s="4">
        <v>17</v>
      </c>
      <c r="F300" s="4">
        <v>3</v>
      </c>
      <c r="G300" s="4">
        <v>0.21</v>
      </c>
      <c r="H300" s="4">
        <v>82.35</v>
      </c>
      <c r="I300" s="5">
        <v>0.98</v>
      </c>
    </row>
    <row r="301" spans="2:9" x14ac:dyDescent="0.3">
      <c r="B301" s="99" t="s">
        <v>484</v>
      </c>
      <c r="C301" s="4">
        <v>500</v>
      </c>
      <c r="D301" s="4">
        <v>15</v>
      </c>
      <c r="E301" s="4">
        <v>17</v>
      </c>
      <c r="F301" s="4">
        <v>2</v>
      </c>
      <c r="G301" s="4">
        <v>0.39</v>
      </c>
      <c r="H301" s="4">
        <v>88.24</v>
      </c>
      <c r="I301" s="5">
        <v>0.95</v>
      </c>
    </row>
    <row r="302" spans="2:9" x14ac:dyDescent="0.3">
      <c r="B302" s="99" t="s">
        <v>484</v>
      </c>
      <c r="C302" s="4">
        <v>500</v>
      </c>
      <c r="D302" s="4">
        <v>16</v>
      </c>
      <c r="E302" s="4">
        <v>17</v>
      </c>
      <c r="F302" s="4">
        <v>1</v>
      </c>
      <c r="G302" s="4">
        <v>0.2</v>
      </c>
      <c r="H302" s="4">
        <v>94.12</v>
      </c>
      <c r="I302" s="5">
        <v>0.99</v>
      </c>
    </row>
    <row r="303" spans="2:9" x14ac:dyDescent="0.3">
      <c r="B303" s="99" t="s">
        <v>484</v>
      </c>
      <c r="C303" s="4">
        <v>500</v>
      </c>
      <c r="D303" s="4">
        <v>16</v>
      </c>
      <c r="E303" s="4">
        <v>17</v>
      </c>
      <c r="F303" s="4">
        <v>1</v>
      </c>
      <c r="G303" s="4">
        <v>0.5</v>
      </c>
      <c r="H303" s="4">
        <v>94.12</v>
      </c>
      <c r="I303" s="5">
        <v>0.98</v>
      </c>
    </row>
    <row r="304" spans="2:9" x14ac:dyDescent="0.3">
      <c r="B304" s="99" t="s">
        <v>484</v>
      </c>
      <c r="C304" s="4">
        <v>500</v>
      </c>
      <c r="D304" s="4">
        <v>16</v>
      </c>
      <c r="E304" s="4">
        <v>17</v>
      </c>
      <c r="F304" s="4">
        <v>1</v>
      </c>
      <c r="G304" s="4">
        <v>0.28999999999999998</v>
      </c>
      <c r="H304" s="4">
        <v>94.12</v>
      </c>
      <c r="I304" s="5">
        <v>0.99</v>
      </c>
    </row>
    <row r="305" spans="2:9" x14ac:dyDescent="0.3">
      <c r="B305" s="99" t="s">
        <v>484</v>
      </c>
      <c r="C305" s="4">
        <v>500</v>
      </c>
      <c r="D305" s="4">
        <v>16</v>
      </c>
      <c r="E305" s="4">
        <v>17</v>
      </c>
      <c r="F305" s="4">
        <v>1</v>
      </c>
      <c r="G305" s="4">
        <v>0.23</v>
      </c>
      <c r="H305" s="4">
        <v>94.12</v>
      </c>
      <c r="I305" s="5">
        <v>0.87</v>
      </c>
    </row>
    <row r="306" spans="2:9" x14ac:dyDescent="0.3">
      <c r="B306" s="99" t="s">
        <v>484</v>
      </c>
      <c r="C306" s="4">
        <v>500</v>
      </c>
      <c r="D306" s="4">
        <v>15</v>
      </c>
      <c r="E306" s="4">
        <v>15</v>
      </c>
      <c r="F306" s="4">
        <v>0</v>
      </c>
      <c r="G306" s="4">
        <v>0</v>
      </c>
      <c r="H306" s="4">
        <v>100</v>
      </c>
      <c r="I306" s="5">
        <v>1</v>
      </c>
    </row>
    <row r="307" spans="2:9" x14ac:dyDescent="0.3">
      <c r="B307" s="99" t="s">
        <v>484</v>
      </c>
      <c r="C307" s="4">
        <v>500</v>
      </c>
      <c r="D307" s="4">
        <v>17</v>
      </c>
      <c r="E307" s="4">
        <v>17</v>
      </c>
      <c r="F307" s="4">
        <v>0</v>
      </c>
      <c r="G307" s="4"/>
      <c r="H307" s="4">
        <v>100</v>
      </c>
      <c r="I307" s="5">
        <v>1</v>
      </c>
    </row>
    <row r="308" spans="2:9" x14ac:dyDescent="0.3">
      <c r="B308" s="99" t="s">
        <v>484</v>
      </c>
      <c r="C308" s="4">
        <v>500</v>
      </c>
      <c r="D308" s="4">
        <v>15</v>
      </c>
      <c r="E308" s="4">
        <v>15</v>
      </c>
      <c r="F308" s="4">
        <v>0</v>
      </c>
      <c r="G308" s="4">
        <v>0</v>
      </c>
      <c r="H308" s="4">
        <v>100</v>
      </c>
      <c r="I308" s="5">
        <v>1</v>
      </c>
    </row>
    <row r="309" spans="2:9" x14ac:dyDescent="0.3">
      <c r="B309" s="99" t="s">
        <v>484</v>
      </c>
      <c r="C309" s="4">
        <v>500</v>
      </c>
      <c r="D309" s="4">
        <v>17</v>
      </c>
      <c r="E309" s="4">
        <v>17</v>
      </c>
      <c r="F309" s="4">
        <v>0</v>
      </c>
      <c r="G309" s="4">
        <v>0</v>
      </c>
      <c r="H309" s="4">
        <v>100</v>
      </c>
      <c r="I309" s="5">
        <v>1</v>
      </c>
    </row>
    <row r="310" spans="2:9" x14ac:dyDescent="0.3">
      <c r="B310" s="99" t="s">
        <v>484</v>
      </c>
      <c r="C310" s="4">
        <v>500</v>
      </c>
      <c r="D310" s="4">
        <v>17</v>
      </c>
      <c r="E310" s="4">
        <v>17</v>
      </c>
      <c r="F310" s="4">
        <v>0</v>
      </c>
      <c r="G310" s="4">
        <v>0</v>
      </c>
      <c r="H310" s="4">
        <v>100</v>
      </c>
      <c r="I310" s="5">
        <v>1</v>
      </c>
    </row>
    <row r="311" spans="2:9" x14ac:dyDescent="0.3">
      <c r="B311" s="99" t="s">
        <v>484</v>
      </c>
      <c r="C311" s="4">
        <v>500</v>
      </c>
      <c r="D311" s="4">
        <v>17</v>
      </c>
      <c r="E311" s="4">
        <v>17</v>
      </c>
      <c r="F311" s="4">
        <v>0</v>
      </c>
      <c r="G311" s="4">
        <v>0</v>
      </c>
      <c r="H311" s="4">
        <v>100</v>
      </c>
      <c r="I311" s="5">
        <v>1</v>
      </c>
    </row>
    <row r="312" spans="2:9" x14ac:dyDescent="0.3">
      <c r="B312" s="99" t="s">
        <v>484</v>
      </c>
      <c r="C312" s="4">
        <v>500</v>
      </c>
      <c r="D312" s="4">
        <v>18</v>
      </c>
      <c r="E312" s="4">
        <v>18</v>
      </c>
      <c r="F312" s="4">
        <v>0</v>
      </c>
      <c r="G312" s="4">
        <v>0</v>
      </c>
      <c r="H312" s="4">
        <v>100</v>
      </c>
      <c r="I312" s="5">
        <v>1</v>
      </c>
    </row>
    <row r="313" spans="2:9" x14ac:dyDescent="0.3">
      <c r="B313" s="99" t="s">
        <v>484</v>
      </c>
      <c r="C313" s="4">
        <v>500</v>
      </c>
      <c r="D313" s="4">
        <v>17</v>
      </c>
      <c r="E313" s="4">
        <v>17</v>
      </c>
      <c r="F313" s="4">
        <v>0</v>
      </c>
      <c r="G313" s="4">
        <v>0</v>
      </c>
      <c r="H313" s="4">
        <v>100</v>
      </c>
      <c r="I313" s="5">
        <v>1</v>
      </c>
    </row>
    <row r="314" spans="2:9" x14ac:dyDescent="0.3">
      <c r="B314" s="99" t="s">
        <v>484</v>
      </c>
      <c r="C314" s="4">
        <v>500</v>
      </c>
      <c r="D314" s="4">
        <v>17</v>
      </c>
      <c r="E314" s="4">
        <v>17</v>
      </c>
      <c r="F314" s="4">
        <v>0</v>
      </c>
      <c r="G314" s="4">
        <v>0</v>
      </c>
      <c r="H314" s="4">
        <v>100</v>
      </c>
      <c r="I314" s="5">
        <v>1</v>
      </c>
    </row>
    <row r="315" spans="2:9" x14ac:dyDescent="0.3">
      <c r="B315" s="99" t="s">
        <v>454</v>
      </c>
      <c r="C315" s="4">
        <v>500</v>
      </c>
      <c r="D315" s="4">
        <v>17</v>
      </c>
      <c r="E315" s="4">
        <v>17</v>
      </c>
      <c r="F315" s="4">
        <v>0</v>
      </c>
      <c r="G315" s="4">
        <v>0</v>
      </c>
      <c r="H315" s="4">
        <v>100</v>
      </c>
      <c r="I315" s="5">
        <v>1</v>
      </c>
    </row>
    <row r="316" spans="2:9" x14ac:dyDescent="0.3">
      <c r="B316" s="99" t="s">
        <v>454</v>
      </c>
      <c r="C316" s="4">
        <v>500</v>
      </c>
      <c r="D316" s="4">
        <v>14</v>
      </c>
      <c r="E316" s="4">
        <v>17</v>
      </c>
      <c r="F316" s="4">
        <v>3</v>
      </c>
      <c r="G316" s="4">
        <v>0.3</v>
      </c>
      <c r="H316" s="4">
        <v>82.35</v>
      </c>
      <c r="I316" s="5">
        <v>0.95</v>
      </c>
    </row>
    <row r="317" spans="2:9" x14ac:dyDescent="0.3">
      <c r="B317" s="99" t="s">
        <v>454</v>
      </c>
      <c r="C317" s="4">
        <v>500</v>
      </c>
      <c r="D317" s="4">
        <v>13</v>
      </c>
      <c r="E317" s="4">
        <v>17</v>
      </c>
      <c r="F317" s="4">
        <v>4</v>
      </c>
      <c r="G317" s="4">
        <v>0.89</v>
      </c>
      <c r="H317" s="4">
        <v>76.47</v>
      </c>
      <c r="I317" s="5">
        <v>0.94</v>
      </c>
    </row>
    <row r="318" spans="2:9" x14ac:dyDescent="0.3">
      <c r="B318" s="99" t="s">
        <v>454</v>
      </c>
      <c r="C318" s="4">
        <v>500</v>
      </c>
      <c r="D318" s="4">
        <v>13</v>
      </c>
      <c r="E318" s="4">
        <v>15</v>
      </c>
      <c r="F318" s="4">
        <v>2</v>
      </c>
      <c r="G318" s="4">
        <v>0.17</v>
      </c>
      <c r="H318" s="4">
        <v>86.67</v>
      </c>
      <c r="I318" s="5">
        <v>0.99</v>
      </c>
    </row>
    <row r="319" spans="2:9" x14ac:dyDescent="0.3">
      <c r="B319" s="99" t="s">
        <v>454</v>
      </c>
      <c r="C319" s="4">
        <v>500</v>
      </c>
      <c r="D319" s="4">
        <v>16</v>
      </c>
      <c r="E319" s="4">
        <v>17</v>
      </c>
      <c r="F319" s="4">
        <v>1</v>
      </c>
      <c r="G319" s="4">
        <v>0.17</v>
      </c>
      <c r="H319" s="4">
        <v>94.12</v>
      </c>
      <c r="I319" s="5">
        <v>0.99</v>
      </c>
    </row>
    <row r="320" spans="2:9" x14ac:dyDescent="0.3">
      <c r="B320" s="99" t="s">
        <v>454</v>
      </c>
      <c r="C320" s="4">
        <v>500</v>
      </c>
      <c r="D320" s="4">
        <v>12</v>
      </c>
      <c r="E320" s="4">
        <v>16</v>
      </c>
      <c r="F320" s="4">
        <v>4</v>
      </c>
      <c r="G320" s="4">
        <v>0.28999999999999998</v>
      </c>
      <c r="H320" s="4">
        <v>75</v>
      </c>
      <c r="I320" s="5">
        <v>0.96</v>
      </c>
    </row>
    <row r="321" spans="2:9" x14ac:dyDescent="0.3">
      <c r="B321" s="99" t="s">
        <v>453</v>
      </c>
      <c r="C321" s="4">
        <v>500</v>
      </c>
      <c r="D321" s="4">
        <v>13</v>
      </c>
      <c r="E321" s="4">
        <v>17</v>
      </c>
      <c r="F321" s="4">
        <v>4</v>
      </c>
      <c r="G321" s="4">
        <v>0.89</v>
      </c>
      <c r="H321" s="4">
        <v>76.47</v>
      </c>
      <c r="I321" s="5">
        <v>0.94</v>
      </c>
    </row>
    <row r="322" spans="2:9" x14ac:dyDescent="0.3">
      <c r="B322" s="99" t="s">
        <v>453</v>
      </c>
      <c r="C322" s="4">
        <v>500</v>
      </c>
      <c r="D322" s="4">
        <v>13</v>
      </c>
      <c r="E322" s="4">
        <v>15</v>
      </c>
      <c r="F322" s="4">
        <v>2</v>
      </c>
      <c r="G322" s="4">
        <v>0.17</v>
      </c>
      <c r="H322" s="4">
        <v>86.67</v>
      </c>
      <c r="I322" s="5">
        <v>0.99</v>
      </c>
    </row>
    <row r="323" spans="2:9" x14ac:dyDescent="0.3">
      <c r="B323" s="99" t="s">
        <v>453</v>
      </c>
      <c r="C323" s="4">
        <v>500</v>
      </c>
      <c r="D323" s="4">
        <v>16</v>
      </c>
      <c r="E323" s="4">
        <v>17</v>
      </c>
      <c r="F323" s="4">
        <v>1</v>
      </c>
      <c r="G323" s="4">
        <v>0.17</v>
      </c>
      <c r="H323" s="4">
        <v>94.12</v>
      </c>
      <c r="I323" s="5">
        <v>0.99</v>
      </c>
    </row>
    <row r="324" spans="2:9" x14ac:dyDescent="0.3">
      <c r="B324" s="99" t="s">
        <v>453</v>
      </c>
      <c r="C324" s="4">
        <v>500</v>
      </c>
      <c r="D324" s="4">
        <v>12</v>
      </c>
      <c r="E324" s="4">
        <v>16</v>
      </c>
      <c r="F324" s="4">
        <v>4</v>
      </c>
      <c r="G324" s="4">
        <v>0.28999999999999998</v>
      </c>
      <c r="H324" s="4">
        <v>75</v>
      </c>
      <c r="I324" s="5">
        <v>0.96</v>
      </c>
    </row>
    <row r="325" spans="2:9" x14ac:dyDescent="0.3">
      <c r="B325" s="99" t="s">
        <v>453</v>
      </c>
      <c r="C325" s="4">
        <v>500</v>
      </c>
      <c r="D325" s="4">
        <v>17</v>
      </c>
      <c r="E325" s="4">
        <v>17</v>
      </c>
      <c r="F325" s="4">
        <v>0</v>
      </c>
      <c r="G325" s="4">
        <v>0</v>
      </c>
      <c r="H325" s="4">
        <v>100</v>
      </c>
      <c r="I325" s="5">
        <v>1</v>
      </c>
    </row>
    <row r="326" spans="2:9" x14ac:dyDescent="0.3">
      <c r="B326" s="99" t="s">
        <v>453</v>
      </c>
      <c r="C326" s="4">
        <v>500</v>
      </c>
      <c r="D326" s="4">
        <v>14</v>
      </c>
      <c r="E326" s="4">
        <v>17</v>
      </c>
      <c r="F326" s="4">
        <v>3</v>
      </c>
      <c r="G326" s="4">
        <v>0.3</v>
      </c>
      <c r="H326" s="4">
        <v>82.35</v>
      </c>
      <c r="I326" s="5">
        <v>0.95</v>
      </c>
    </row>
    <row r="327" spans="2:9" x14ac:dyDescent="0.3">
      <c r="B327" s="99" t="s">
        <v>453</v>
      </c>
      <c r="C327" s="4">
        <v>500</v>
      </c>
      <c r="D327" s="4">
        <v>8</v>
      </c>
      <c r="E327" s="4">
        <v>17</v>
      </c>
      <c r="F327" s="4">
        <v>9</v>
      </c>
      <c r="G327" s="4">
        <v>0.25</v>
      </c>
      <c r="H327" s="4">
        <v>47.06</v>
      </c>
      <c r="I327" s="5">
        <v>0.86</v>
      </c>
    </row>
    <row r="328" spans="2:9" x14ac:dyDescent="0.3">
      <c r="B328" s="99" t="s">
        <v>453</v>
      </c>
      <c r="C328" s="4">
        <v>500</v>
      </c>
      <c r="D328" s="4">
        <v>12</v>
      </c>
      <c r="E328" s="4">
        <v>16</v>
      </c>
      <c r="F328" s="4">
        <v>4</v>
      </c>
      <c r="G328" s="4">
        <v>0.25</v>
      </c>
      <c r="H328" s="4">
        <v>75</v>
      </c>
      <c r="I328" s="5">
        <v>0.93</v>
      </c>
    </row>
    <row r="329" spans="2:9" x14ac:dyDescent="0.3">
      <c r="B329" s="99" t="s">
        <v>453</v>
      </c>
      <c r="C329" s="4">
        <v>500</v>
      </c>
      <c r="D329" s="4">
        <v>15</v>
      </c>
      <c r="E329" s="4">
        <v>17</v>
      </c>
      <c r="F329" s="4">
        <v>2</v>
      </c>
      <c r="G329" s="4">
        <v>0.15</v>
      </c>
      <c r="H329" s="4">
        <v>88.24</v>
      </c>
      <c r="I329" s="5">
        <v>0.99</v>
      </c>
    </row>
    <row r="330" spans="2:9" x14ac:dyDescent="0.3">
      <c r="B330" s="99" t="s">
        <v>453</v>
      </c>
      <c r="C330" s="4">
        <v>500</v>
      </c>
      <c r="D330" s="4">
        <v>12</v>
      </c>
      <c r="E330" s="4">
        <v>17</v>
      </c>
      <c r="F330" s="4">
        <v>5</v>
      </c>
      <c r="G330" s="4">
        <v>0.38</v>
      </c>
      <c r="H330" s="4">
        <v>70.59</v>
      </c>
      <c r="I330" s="5">
        <v>0.92</v>
      </c>
    </row>
    <row r="331" spans="2:9" x14ac:dyDescent="0.3">
      <c r="B331" s="99" t="s">
        <v>453</v>
      </c>
      <c r="C331" s="4">
        <v>500</v>
      </c>
      <c r="D331" s="4">
        <v>15</v>
      </c>
      <c r="E331" s="4">
        <v>17</v>
      </c>
      <c r="F331" s="4">
        <v>2</v>
      </c>
      <c r="G331" s="4">
        <v>0.26</v>
      </c>
      <c r="H331" s="4">
        <v>88.24</v>
      </c>
      <c r="I331" s="5">
        <v>0.98</v>
      </c>
    </row>
    <row r="332" spans="2:9" x14ac:dyDescent="0.3">
      <c r="B332" s="99" t="s">
        <v>453</v>
      </c>
      <c r="C332" s="4">
        <v>500</v>
      </c>
      <c r="D332" s="4">
        <v>10</v>
      </c>
      <c r="E332" s="4">
        <v>17</v>
      </c>
      <c r="F332" s="4">
        <v>7</v>
      </c>
      <c r="G332" s="4">
        <v>0.19</v>
      </c>
      <c r="H332" s="4">
        <v>58.82</v>
      </c>
      <c r="I332" s="5">
        <v>0.96</v>
      </c>
    </row>
    <row r="333" spans="2:9" x14ac:dyDescent="0.3">
      <c r="B333" s="99" t="s">
        <v>453</v>
      </c>
      <c r="C333" s="4">
        <v>500</v>
      </c>
      <c r="D333" s="4">
        <v>13</v>
      </c>
      <c r="E333" s="4">
        <v>17</v>
      </c>
      <c r="F333" s="4">
        <v>4</v>
      </c>
      <c r="G333" s="4">
        <v>0.24</v>
      </c>
      <c r="H333" s="4">
        <v>76.47</v>
      </c>
      <c r="I333" s="5">
        <v>0.96</v>
      </c>
    </row>
    <row r="334" spans="2:9" x14ac:dyDescent="0.3">
      <c r="B334" s="99" t="s">
        <v>453</v>
      </c>
      <c r="C334" s="4">
        <v>500</v>
      </c>
      <c r="D334" s="4">
        <v>16</v>
      </c>
      <c r="E334" s="4">
        <v>17</v>
      </c>
      <c r="F334" s="4">
        <v>1</v>
      </c>
      <c r="G334" s="4">
        <v>0.18</v>
      </c>
      <c r="H334" s="4">
        <v>94.12</v>
      </c>
      <c r="I334" s="5">
        <v>0.99</v>
      </c>
    </row>
    <row r="335" spans="2:9" x14ac:dyDescent="0.3">
      <c r="B335" s="99" t="s">
        <v>453</v>
      </c>
      <c r="C335" s="4">
        <v>500</v>
      </c>
      <c r="D335" s="4">
        <v>17</v>
      </c>
      <c r="E335" s="4">
        <v>17</v>
      </c>
      <c r="F335" s="4">
        <v>0</v>
      </c>
      <c r="G335" s="4">
        <v>0</v>
      </c>
      <c r="H335" s="4">
        <v>100</v>
      </c>
      <c r="I335" s="5">
        <v>1</v>
      </c>
    </row>
    <row r="336" spans="2:9" x14ac:dyDescent="0.3">
      <c r="B336" s="99" t="s">
        <v>453</v>
      </c>
      <c r="C336" s="4">
        <v>500</v>
      </c>
      <c r="D336" s="4">
        <v>16</v>
      </c>
      <c r="E336" s="4">
        <v>17</v>
      </c>
      <c r="F336" s="4">
        <v>1</v>
      </c>
      <c r="G336" s="4">
        <v>0.39</v>
      </c>
      <c r="H336" s="4">
        <v>94.12</v>
      </c>
      <c r="I336" s="5">
        <v>0.78</v>
      </c>
    </row>
    <row r="337" spans="2:9" x14ac:dyDescent="0.3">
      <c r="B337" s="99" t="s">
        <v>453</v>
      </c>
      <c r="C337" s="4">
        <v>500</v>
      </c>
      <c r="D337" s="4">
        <v>14</v>
      </c>
      <c r="E337" s="4">
        <v>17</v>
      </c>
      <c r="F337" s="4">
        <v>3</v>
      </c>
      <c r="G337" s="4">
        <v>0.22</v>
      </c>
      <c r="H337" s="4">
        <v>82.35</v>
      </c>
      <c r="I337" s="5">
        <v>0.89</v>
      </c>
    </row>
    <row r="338" spans="2:9" x14ac:dyDescent="0.3">
      <c r="B338" s="99" t="s">
        <v>453</v>
      </c>
      <c r="C338" s="4">
        <v>500</v>
      </c>
      <c r="D338" s="4">
        <v>13</v>
      </c>
      <c r="E338" s="4">
        <v>18</v>
      </c>
      <c r="F338" s="4">
        <v>5</v>
      </c>
      <c r="G338" s="4">
        <v>0.14000000000000001</v>
      </c>
      <c r="H338" s="4">
        <v>72.22</v>
      </c>
      <c r="I338" s="5">
        <v>0.91</v>
      </c>
    </row>
    <row r="339" spans="2:9" x14ac:dyDescent="0.3">
      <c r="B339" s="99" t="s">
        <v>453</v>
      </c>
      <c r="C339" s="4">
        <v>500</v>
      </c>
      <c r="D339" s="4">
        <v>17</v>
      </c>
      <c r="E339" s="4">
        <v>17</v>
      </c>
      <c r="F339" s="4">
        <v>0</v>
      </c>
      <c r="G339" s="4">
        <v>0</v>
      </c>
      <c r="H339" s="4">
        <v>100</v>
      </c>
      <c r="I339" s="5">
        <v>1</v>
      </c>
    </row>
    <row r="340" spans="2:9" x14ac:dyDescent="0.3">
      <c r="B340" s="99" t="s">
        <v>453</v>
      </c>
      <c r="C340" s="4">
        <v>500</v>
      </c>
      <c r="D340" s="4">
        <v>12</v>
      </c>
      <c r="E340" s="4">
        <v>17</v>
      </c>
      <c r="F340" s="4">
        <v>5</v>
      </c>
      <c r="G340" s="4">
        <v>0.28999999999999998</v>
      </c>
      <c r="H340" s="4">
        <v>70.59</v>
      </c>
      <c r="I340" s="5">
        <v>0.96</v>
      </c>
    </row>
    <row r="341" spans="2:9" x14ac:dyDescent="0.3">
      <c r="B341" s="99" t="s">
        <v>467</v>
      </c>
      <c r="C341" s="4">
        <v>500</v>
      </c>
      <c r="D341" s="4">
        <v>14</v>
      </c>
      <c r="E341" s="4">
        <v>17</v>
      </c>
      <c r="F341" s="4">
        <v>3</v>
      </c>
      <c r="G341" s="4">
        <v>0.53</v>
      </c>
      <c r="H341" s="4">
        <v>82.35</v>
      </c>
      <c r="I341" s="5">
        <v>0.93</v>
      </c>
    </row>
    <row r="342" spans="2:9" x14ac:dyDescent="0.3">
      <c r="B342" s="99" t="s">
        <v>467</v>
      </c>
      <c r="C342" s="4">
        <v>500</v>
      </c>
      <c r="D342" s="4">
        <v>14</v>
      </c>
      <c r="E342" s="4">
        <v>18</v>
      </c>
      <c r="F342" s="4">
        <v>4</v>
      </c>
      <c r="G342" s="4">
        <v>0.25</v>
      </c>
      <c r="H342" s="4">
        <v>77.78</v>
      </c>
      <c r="I342" s="5">
        <v>0.95</v>
      </c>
    </row>
    <row r="343" spans="2:9" x14ac:dyDescent="0.3">
      <c r="B343" s="99" t="s">
        <v>467</v>
      </c>
      <c r="C343" s="4">
        <v>500</v>
      </c>
      <c r="D343" s="4">
        <v>8</v>
      </c>
      <c r="E343" s="4">
        <v>17</v>
      </c>
      <c r="F343" s="4">
        <v>9</v>
      </c>
      <c r="G343" s="4">
        <v>0.28999999999999998</v>
      </c>
      <c r="H343" s="4">
        <v>47.06</v>
      </c>
      <c r="I343" s="5">
        <v>0.86</v>
      </c>
    </row>
    <row r="344" spans="2:9" x14ac:dyDescent="0.3">
      <c r="B344" s="99" t="s">
        <v>467</v>
      </c>
      <c r="C344" s="4">
        <v>500</v>
      </c>
      <c r="D344" s="4">
        <v>9</v>
      </c>
      <c r="E344" s="4">
        <v>17</v>
      </c>
      <c r="F344" s="4">
        <v>8</v>
      </c>
      <c r="G344" s="4">
        <v>0.46</v>
      </c>
      <c r="H344" s="4">
        <v>52.94</v>
      </c>
      <c r="I344" s="5">
        <v>0.83</v>
      </c>
    </row>
    <row r="345" spans="2:9" x14ac:dyDescent="0.3">
      <c r="B345" s="99" t="s">
        <v>467</v>
      </c>
      <c r="C345" s="4">
        <v>500</v>
      </c>
      <c r="D345" s="4">
        <v>15</v>
      </c>
      <c r="E345" s="4">
        <v>18</v>
      </c>
      <c r="F345" s="4">
        <v>3</v>
      </c>
      <c r="G345" s="4">
        <v>0.27</v>
      </c>
      <c r="H345" s="4">
        <v>83.33</v>
      </c>
      <c r="I345" s="5">
        <v>0.98</v>
      </c>
    </row>
    <row r="346" spans="2:9" x14ac:dyDescent="0.3">
      <c r="B346" s="99" t="s">
        <v>467</v>
      </c>
      <c r="C346" s="4">
        <v>500</v>
      </c>
      <c r="D346" s="4">
        <v>12</v>
      </c>
      <c r="E346" s="4">
        <v>15</v>
      </c>
      <c r="F346" s="4">
        <v>3</v>
      </c>
      <c r="G346" s="4">
        <v>0.92</v>
      </c>
      <c r="H346" s="4">
        <v>80</v>
      </c>
      <c r="I346" s="5">
        <v>0.91</v>
      </c>
    </row>
    <row r="347" spans="2:9" x14ac:dyDescent="0.3">
      <c r="B347" s="99" t="s">
        <v>467</v>
      </c>
      <c r="C347" s="4">
        <v>500</v>
      </c>
      <c r="D347" s="4">
        <v>13</v>
      </c>
      <c r="E347" s="4">
        <v>17</v>
      </c>
      <c r="F347" s="4">
        <v>4</v>
      </c>
      <c r="G347" s="4">
        <v>0.96</v>
      </c>
      <c r="H347" s="4">
        <v>76.47</v>
      </c>
      <c r="I347" s="5">
        <v>0.8</v>
      </c>
    </row>
    <row r="348" spans="2:9" x14ac:dyDescent="0.3">
      <c r="B348" s="99" t="s">
        <v>467</v>
      </c>
      <c r="C348" s="4">
        <v>500</v>
      </c>
      <c r="D348" s="4">
        <v>11</v>
      </c>
      <c r="E348" s="4">
        <v>17</v>
      </c>
      <c r="F348" s="4">
        <v>6</v>
      </c>
      <c r="G348" s="4">
        <v>0.48</v>
      </c>
      <c r="H348" s="4">
        <v>64.709999999999994</v>
      </c>
      <c r="I348" s="5">
        <v>0.85</v>
      </c>
    </row>
    <row r="349" spans="2:9" x14ac:dyDescent="0.3">
      <c r="B349" s="99" t="s">
        <v>467</v>
      </c>
      <c r="C349" s="4">
        <v>500</v>
      </c>
      <c r="D349" s="4">
        <v>15</v>
      </c>
      <c r="E349" s="4">
        <v>17</v>
      </c>
      <c r="F349" s="4">
        <v>2</v>
      </c>
      <c r="G349" s="4">
        <v>0.69</v>
      </c>
      <c r="H349" s="4">
        <v>88.24</v>
      </c>
      <c r="I349" s="5">
        <v>0.93</v>
      </c>
    </row>
    <row r="350" spans="2:9" x14ac:dyDescent="0.3">
      <c r="B350" s="99" t="s">
        <v>467</v>
      </c>
      <c r="C350" s="4">
        <v>500</v>
      </c>
      <c r="D350" s="4">
        <v>12</v>
      </c>
      <c r="E350" s="4">
        <v>13</v>
      </c>
      <c r="F350" s="4">
        <v>1</v>
      </c>
      <c r="G350" s="4">
        <v>0.61</v>
      </c>
      <c r="H350" s="4">
        <v>92.31</v>
      </c>
      <c r="I350" s="5">
        <v>0.96</v>
      </c>
    </row>
    <row r="351" spans="2:9" x14ac:dyDescent="0.3">
      <c r="B351" s="99" t="s">
        <v>467</v>
      </c>
      <c r="C351" s="4">
        <v>500</v>
      </c>
      <c r="D351" s="4">
        <v>15</v>
      </c>
      <c r="E351" s="4">
        <v>18</v>
      </c>
      <c r="F351" s="4">
        <v>3</v>
      </c>
      <c r="G351" s="4">
        <v>0.87</v>
      </c>
      <c r="H351" s="4">
        <v>83.33</v>
      </c>
      <c r="I351" s="5">
        <v>0.9</v>
      </c>
    </row>
    <row r="352" spans="2:9" x14ac:dyDescent="0.3">
      <c r="B352" s="99" t="s">
        <v>467</v>
      </c>
      <c r="C352" s="4">
        <v>500</v>
      </c>
      <c r="D352" s="4">
        <v>13</v>
      </c>
      <c r="E352" s="4">
        <v>17</v>
      </c>
      <c r="F352" s="4">
        <v>4</v>
      </c>
      <c r="G352" s="4">
        <v>0.41</v>
      </c>
      <c r="H352" s="4">
        <v>76.47</v>
      </c>
      <c r="I352" s="5">
        <v>0.92</v>
      </c>
    </row>
    <row r="353" spans="2:9" x14ac:dyDescent="0.3">
      <c r="B353" s="99" t="s">
        <v>467</v>
      </c>
      <c r="C353" s="4">
        <v>500</v>
      </c>
      <c r="D353" s="4">
        <v>16</v>
      </c>
      <c r="E353" s="4">
        <v>17</v>
      </c>
      <c r="F353" s="4">
        <v>1</v>
      </c>
      <c r="G353" s="4">
        <v>0.19</v>
      </c>
      <c r="H353" s="4">
        <v>94.12</v>
      </c>
      <c r="I353" s="5">
        <v>0.99</v>
      </c>
    </row>
    <row r="354" spans="2:9" x14ac:dyDescent="0.3">
      <c r="B354" s="99" t="s">
        <v>467</v>
      </c>
      <c r="C354" s="4">
        <v>500</v>
      </c>
      <c r="D354" s="4">
        <v>11</v>
      </c>
      <c r="E354" s="4">
        <v>17</v>
      </c>
      <c r="F354" s="4">
        <v>6</v>
      </c>
      <c r="G354" s="4">
        <v>0.36</v>
      </c>
      <c r="H354" s="4">
        <v>64.709999999999994</v>
      </c>
      <c r="I354" s="5">
        <v>0.9</v>
      </c>
    </row>
    <row r="355" spans="2:9" x14ac:dyDescent="0.3">
      <c r="B355" s="99" t="s">
        <v>467</v>
      </c>
      <c r="C355" s="4">
        <v>500</v>
      </c>
      <c r="D355" s="4">
        <v>9</v>
      </c>
      <c r="E355" s="4">
        <v>17</v>
      </c>
      <c r="F355" s="4">
        <v>8</v>
      </c>
      <c r="G355" s="4">
        <v>0.42</v>
      </c>
      <c r="H355" s="4">
        <v>52.94</v>
      </c>
      <c r="I355" s="5">
        <v>0.84</v>
      </c>
    </row>
    <row r="356" spans="2:9" x14ac:dyDescent="0.3">
      <c r="B356" s="99" t="s">
        <v>467</v>
      </c>
      <c r="C356" s="4">
        <v>500</v>
      </c>
      <c r="D356" s="4">
        <v>13</v>
      </c>
      <c r="E356" s="4">
        <v>17</v>
      </c>
      <c r="F356" s="4">
        <v>4</v>
      </c>
      <c r="G356" s="4">
        <v>0.64</v>
      </c>
      <c r="H356" s="4">
        <v>76.47</v>
      </c>
      <c r="I356" s="5">
        <v>0.86</v>
      </c>
    </row>
    <row r="357" spans="2:9" x14ac:dyDescent="0.3">
      <c r="B357" s="99" t="s">
        <v>467</v>
      </c>
      <c r="C357" s="4">
        <v>500</v>
      </c>
      <c r="D357" s="4">
        <v>15</v>
      </c>
      <c r="E357" s="4">
        <v>17</v>
      </c>
      <c r="F357" s="4">
        <v>2</v>
      </c>
      <c r="G357" s="4">
        <v>0.46</v>
      </c>
      <c r="H357" s="4">
        <v>88.24</v>
      </c>
      <c r="I357" s="5">
        <v>0.97</v>
      </c>
    </row>
    <row r="358" spans="2:9" x14ac:dyDescent="0.3">
      <c r="B358" s="99" t="s">
        <v>467</v>
      </c>
      <c r="C358" s="4">
        <v>500</v>
      </c>
      <c r="D358" s="4">
        <v>14</v>
      </c>
      <c r="E358" s="4">
        <v>17</v>
      </c>
      <c r="F358" s="4">
        <v>3</v>
      </c>
      <c r="G358" s="4">
        <v>0.39</v>
      </c>
      <c r="H358" s="4">
        <v>82.35</v>
      </c>
      <c r="I358" s="5">
        <v>0.96</v>
      </c>
    </row>
    <row r="359" spans="2:9" x14ac:dyDescent="0.3">
      <c r="B359" s="99" t="s">
        <v>467</v>
      </c>
      <c r="C359" s="4">
        <v>500</v>
      </c>
      <c r="D359" s="4">
        <v>16</v>
      </c>
      <c r="E359" s="4">
        <v>17</v>
      </c>
      <c r="F359" s="4">
        <v>1</v>
      </c>
      <c r="G359" s="4">
        <v>0.36</v>
      </c>
      <c r="H359" s="4">
        <v>94.12</v>
      </c>
      <c r="I359" s="5">
        <v>0.98</v>
      </c>
    </row>
    <row r="360" spans="2:9" x14ac:dyDescent="0.3">
      <c r="B360" s="99" t="s">
        <v>467</v>
      </c>
      <c r="C360" s="4">
        <v>500</v>
      </c>
      <c r="D360" s="4">
        <v>13</v>
      </c>
      <c r="E360" s="4">
        <v>17</v>
      </c>
      <c r="F360" s="4">
        <v>4</v>
      </c>
      <c r="G360" s="4">
        <v>0.51</v>
      </c>
      <c r="H360" s="4">
        <v>76.47</v>
      </c>
      <c r="I360" s="5">
        <v>0.91</v>
      </c>
    </row>
    <row r="361" spans="2:9" x14ac:dyDescent="0.3">
      <c r="B361" s="99" t="s">
        <v>462</v>
      </c>
      <c r="C361" s="4">
        <v>500</v>
      </c>
      <c r="D361" s="4">
        <v>8</v>
      </c>
      <c r="E361" s="4">
        <v>17</v>
      </c>
      <c r="F361" s="4">
        <v>9</v>
      </c>
      <c r="G361" s="4">
        <v>0.32</v>
      </c>
      <c r="H361" s="4">
        <v>47.06</v>
      </c>
      <c r="I361" s="5">
        <v>0.91</v>
      </c>
    </row>
    <row r="362" spans="2:9" x14ac:dyDescent="0.3">
      <c r="B362" s="99" t="s">
        <v>462</v>
      </c>
      <c r="C362" s="4">
        <v>500</v>
      </c>
      <c r="D362" s="4">
        <v>14</v>
      </c>
      <c r="E362" s="4">
        <v>17</v>
      </c>
      <c r="F362" s="4">
        <v>3</v>
      </c>
      <c r="G362" s="4">
        <v>0.35</v>
      </c>
      <c r="H362" s="4">
        <v>82.35</v>
      </c>
      <c r="I362" s="5">
        <v>0.96</v>
      </c>
    </row>
    <row r="363" spans="2:9" x14ac:dyDescent="0.3">
      <c r="B363" s="99" t="s">
        <v>491</v>
      </c>
      <c r="C363" s="4">
        <v>500</v>
      </c>
      <c r="D363" s="4">
        <v>6</v>
      </c>
      <c r="E363" s="4">
        <v>17</v>
      </c>
      <c r="F363" s="4">
        <v>11</v>
      </c>
      <c r="G363" s="4">
        <v>0.02</v>
      </c>
      <c r="H363" s="4">
        <v>35.29</v>
      </c>
      <c r="I363" s="5">
        <v>0.8</v>
      </c>
    </row>
    <row r="364" spans="2:9" x14ac:dyDescent="0.3">
      <c r="B364" s="99" t="s">
        <v>491</v>
      </c>
      <c r="C364" s="4">
        <v>500</v>
      </c>
      <c r="D364" s="4">
        <v>4</v>
      </c>
      <c r="E364" s="4">
        <v>17</v>
      </c>
      <c r="F364" s="4">
        <v>13</v>
      </c>
      <c r="G364" s="4">
        <v>0.01</v>
      </c>
      <c r="H364" s="4">
        <v>23.53</v>
      </c>
      <c r="I364" s="5">
        <v>0.67</v>
      </c>
    </row>
    <row r="365" spans="2:9" x14ac:dyDescent="0.3">
      <c r="B365" s="99" t="s">
        <v>523</v>
      </c>
      <c r="C365" s="4">
        <v>500</v>
      </c>
      <c r="D365" s="4">
        <v>11</v>
      </c>
      <c r="E365" s="4">
        <v>17</v>
      </c>
      <c r="F365" s="4">
        <v>6</v>
      </c>
      <c r="G365" s="4">
        <v>0.04</v>
      </c>
      <c r="H365" s="4">
        <v>64.709999999999994</v>
      </c>
      <c r="I365" s="5">
        <v>0.68</v>
      </c>
    </row>
    <row r="366" spans="2:9" x14ac:dyDescent="0.3">
      <c r="B366" s="99" t="s">
        <v>523</v>
      </c>
      <c r="C366" s="4">
        <v>500</v>
      </c>
      <c r="D366" s="4">
        <v>7</v>
      </c>
      <c r="E366" s="4">
        <v>17</v>
      </c>
      <c r="F366" s="4">
        <v>10</v>
      </c>
      <c r="G366" s="4">
        <v>0.02</v>
      </c>
      <c r="H366" s="4">
        <v>41.18</v>
      </c>
      <c r="I366" s="5">
        <v>0.59</v>
      </c>
    </row>
    <row r="367" spans="2:9" x14ac:dyDescent="0.3">
      <c r="B367" s="99" t="s">
        <v>523</v>
      </c>
      <c r="C367" s="4">
        <v>500</v>
      </c>
      <c r="D367" s="4">
        <v>13</v>
      </c>
      <c r="E367" s="4">
        <v>17</v>
      </c>
      <c r="F367" s="4">
        <v>4</v>
      </c>
      <c r="G367" s="4">
        <v>0.36</v>
      </c>
      <c r="H367" s="4">
        <v>76.47</v>
      </c>
      <c r="I367" s="5">
        <v>0.93</v>
      </c>
    </row>
    <row r="368" spans="2:9" x14ac:dyDescent="0.3">
      <c r="B368" s="99" t="s">
        <v>523</v>
      </c>
      <c r="C368" s="4">
        <v>500</v>
      </c>
      <c r="D368" s="4">
        <v>8</v>
      </c>
      <c r="E368" s="4">
        <v>13</v>
      </c>
      <c r="F368" s="4">
        <v>5</v>
      </c>
      <c r="G368" s="4">
        <v>0.12</v>
      </c>
      <c r="H368" s="4">
        <v>61.54</v>
      </c>
      <c r="I368" s="5">
        <v>0.96</v>
      </c>
    </row>
    <row r="369" spans="2:9" x14ac:dyDescent="0.3">
      <c r="B369" s="99" t="s">
        <v>523</v>
      </c>
      <c r="C369" s="4">
        <v>500</v>
      </c>
      <c r="D369" s="4">
        <v>12</v>
      </c>
      <c r="E369" s="4">
        <v>17</v>
      </c>
      <c r="F369" s="4">
        <v>5</v>
      </c>
      <c r="G369" s="4">
        <v>0.24</v>
      </c>
      <c r="H369" s="4">
        <v>70.59</v>
      </c>
      <c r="I369" s="5">
        <v>0.94</v>
      </c>
    </row>
    <row r="370" spans="2:9" x14ac:dyDescent="0.3">
      <c r="B370" s="99" t="s">
        <v>523</v>
      </c>
      <c r="C370" s="4">
        <v>500</v>
      </c>
      <c r="D370" s="4">
        <v>7</v>
      </c>
      <c r="E370" s="4">
        <v>17</v>
      </c>
      <c r="F370" s="4">
        <v>10</v>
      </c>
      <c r="G370" s="4">
        <v>0.39</v>
      </c>
      <c r="H370" s="4">
        <v>41.18</v>
      </c>
      <c r="I370" s="5">
        <v>0.8</v>
      </c>
    </row>
    <row r="371" spans="2:9" x14ac:dyDescent="0.3">
      <c r="B371" s="99" t="s">
        <v>523</v>
      </c>
      <c r="C371" s="4">
        <v>500</v>
      </c>
      <c r="D371" s="4">
        <v>9</v>
      </c>
      <c r="E371" s="4">
        <v>19</v>
      </c>
      <c r="F371" s="4">
        <v>10</v>
      </c>
      <c r="G371" s="4">
        <v>0.41</v>
      </c>
      <c r="H371" s="4">
        <v>47.37</v>
      </c>
      <c r="I371" s="5">
        <v>0.81</v>
      </c>
    </row>
    <row r="372" spans="2:9" x14ac:dyDescent="0.3">
      <c r="B372" s="99" t="s">
        <v>523</v>
      </c>
      <c r="C372" s="4">
        <v>500</v>
      </c>
      <c r="D372" s="4">
        <v>12</v>
      </c>
      <c r="E372" s="4">
        <v>17</v>
      </c>
      <c r="F372" s="4">
        <v>5</v>
      </c>
      <c r="G372" s="4">
        <v>0.34</v>
      </c>
      <c r="H372" s="4">
        <v>70.59</v>
      </c>
      <c r="I372" s="5">
        <v>0.91</v>
      </c>
    </row>
    <row r="373" spans="2:9" x14ac:dyDescent="0.3">
      <c r="B373" s="99" t="s">
        <v>531</v>
      </c>
      <c r="C373" s="4">
        <v>500</v>
      </c>
      <c r="D373" s="4">
        <v>5</v>
      </c>
      <c r="E373" s="4">
        <v>17</v>
      </c>
      <c r="F373" s="4">
        <v>12</v>
      </c>
      <c r="G373" s="4">
        <v>0.31</v>
      </c>
      <c r="H373" s="4">
        <v>29.41</v>
      </c>
      <c r="I373" s="5">
        <v>0.88</v>
      </c>
    </row>
    <row r="374" spans="2:9" x14ac:dyDescent="0.3">
      <c r="B374" s="99" t="s">
        <v>531</v>
      </c>
      <c r="C374" s="4">
        <v>500</v>
      </c>
      <c r="D374" s="4">
        <v>10</v>
      </c>
      <c r="E374" s="4">
        <v>17</v>
      </c>
      <c r="F374" s="4">
        <v>7</v>
      </c>
      <c r="G374" s="4">
        <v>0.37</v>
      </c>
      <c r="H374" s="4">
        <v>58.82</v>
      </c>
      <c r="I374" s="5">
        <v>0.89</v>
      </c>
    </row>
    <row r="375" spans="2:9" x14ac:dyDescent="0.3">
      <c r="B375" s="99" t="s">
        <v>531</v>
      </c>
      <c r="C375" s="4">
        <v>500</v>
      </c>
      <c r="D375" s="4">
        <v>7</v>
      </c>
      <c r="E375" s="4">
        <v>17</v>
      </c>
      <c r="F375" s="4">
        <v>10</v>
      </c>
      <c r="G375" s="4">
        <v>0.23</v>
      </c>
      <c r="H375" s="4">
        <v>41.18</v>
      </c>
      <c r="I375" s="5">
        <v>0.9</v>
      </c>
    </row>
    <row r="376" spans="2:9" x14ac:dyDescent="0.3">
      <c r="B376" s="99" t="s">
        <v>531</v>
      </c>
      <c r="C376" s="4">
        <v>500</v>
      </c>
      <c r="D376" s="4">
        <v>8</v>
      </c>
      <c r="E376" s="4">
        <v>14</v>
      </c>
      <c r="F376" s="4">
        <v>6</v>
      </c>
      <c r="G376" s="4">
        <v>0.24</v>
      </c>
      <c r="H376" s="4">
        <v>57.14</v>
      </c>
      <c r="I376" s="5">
        <v>0.9</v>
      </c>
    </row>
    <row r="377" spans="2:9" x14ac:dyDescent="0.3">
      <c r="B377" s="99" t="s">
        <v>531</v>
      </c>
      <c r="C377" s="4">
        <v>500</v>
      </c>
      <c r="D377" s="4">
        <v>9</v>
      </c>
      <c r="E377" s="4">
        <v>17</v>
      </c>
      <c r="F377" s="4">
        <v>8</v>
      </c>
      <c r="G377" s="4">
        <v>0.31</v>
      </c>
      <c r="H377" s="4">
        <v>52.94</v>
      </c>
      <c r="I377" s="5">
        <v>0.88</v>
      </c>
    </row>
    <row r="378" spans="2:9" x14ac:dyDescent="0.3">
      <c r="B378" s="99" t="s">
        <v>531</v>
      </c>
      <c r="C378" s="4">
        <v>500</v>
      </c>
      <c r="D378" s="4">
        <v>8</v>
      </c>
      <c r="E378" s="4">
        <v>17</v>
      </c>
      <c r="F378" s="4">
        <v>9</v>
      </c>
      <c r="G378" s="4">
        <v>0.35</v>
      </c>
      <c r="H378" s="4">
        <v>47.06</v>
      </c>
      <c r="I378" s="5">
        <v>0.84</v>
      </c>
    </row>
    <row r="379" spans="2:9" x14ac:dyDescent="0.3">
      <c r="B379" s="99" t="s">
        <v>531</v>
      </c>
      <c r="C379" s="4">
        <v>500</v>
      </c>
      <c r="D379" s="4">
        <v>7</v>
      </c>
      <c r="E379" s="4">
        <v>17</v>
      </c>
      <c r="F379" s="4">
        <v>10</v>
      </c>
      <c r="G379" s="4">
        <v>0.32</v>
      </c>
      <c r="H379" s="4">
        <v>41.18</v>
      </c>
      <c r="I379" s="5">
        <v>0.84</v>
      </c>
    </row>
    <row r="380" spans="2:9" x14ac:dyDescent="0.3">
      <c r="B380" s="99" t="s">
        <v>531</v>
      </c>
      <c r="C380" s="4">
        <v>500</v>
      </c>
      <c r="D380" s="4">
        <v>7</v>
      </c>
      <c r="E380" s="4">
        <v>17</v>
      </c>
      <c r="F380" s="4">
        <v>10</v>
      </c>
      <c r="G380" s="4">
        <v>0.39</v>
      </c>
      <c r="H380" s="4">
        <v>41.18</v>
      </c>
      <c r="I380" s="5">
        <v>0.8</v>
      </c>
    </row>
    <row r="381" spans="2:9" x14ac:dyDescent="0.3">
      <c r="B381" s="99" t="s">
        <v>548</v>
      </c>
      <c r="C381" s="4">
        <v>500</v>
      </c>
      <c r="D381" s="4">
        <v>9</v>
      </c>
      <c r="E381" s="4">
        <v>17</v>
      </c>
      <c r="F381" s="4">
        <v>8</v>
      </c>
      <c r="G381" s="4">
        <v>0</v>
      </c>
      <c r="H381" s="4">
        <v>52.94</v>
      </c>
      <c r="I381" s="5">
        <v>0.72</v>
      </c>
    </row>
    <row r="382" spans="2:9" x14ac:dyDescent="0.3">
      <c r="B382" s="99" t="s">
        <v>548</v>
      </c>
      <c r="C382" s="4">
        <v>500</v>
      </c>
      <c r="D382" s="4">
        <v>7</v>
      </c>
      <c r="E382" s="4">
        <v>17</v>
      </c>
      <c r="F382" s="4">
        <v>10</v>
      </c>
      <c r="G382" s="4">
        <v>0</v>
      </c>
      <c r="H382" s="4">
        <v>41.18</v>
      </c>
      <c r="I382" s="5">
        <v>0.62</v>
      </c>
    </row>
    <row r="383" spans="2:9" x14ac:dyDescent="0.3">
      <c r="B383" s="99" t="s">
        <v>567</v>
      </c>
      <c r="C383" s="4">
        <v>500</v>
      </c>
      <c r="D383" s="4">
        <v>1</v>
      </c>
      <c r="E383" s="4">
        <v>17</v>
      </c>
      <c r="F383" s="4">
        <v>16</v>
      </c>
      <c r="G383" s="4">
        <v>0.02</v>
      </c>
      <c r="H383" s="4">
        <v>5.88</v>
      </c>
      <c r="I383" s="5">
        <v>0.61</v>
      </c>
    </row>
    <row r="384" spans="2:9" x14ac:dyDescent="0.3">
      <c r="B384" s="99" t="s">
        <v>567</v>
      </c>
      <c r="C384" s="4">
        <v>500</v>
      </c>
      <c r="D384" s="4">
        <v>3</v>
      </c>
      <c r="E384" s="4">
        <v>17</v>
      </c>
      <c r="F384" s="4">
        <v>14</v>
      </c>
      <c r="G384" s="4">
        <v>0.04</v>
      </c>
      <c r="H384" s="4">
        <v>17.649999999999999</v>
      </c>
      <c r="I384" s="5">
        <v>0.01</v>
      </c>
    </row>
    <row r="385" spans="2:9" x14ac:dyDescent="0.3">
      <c r="B385" s="99" t="s">
        <v>572</v>
      </c>
      <c r="C385" s="4">
        <v>500</v>
      </c>
      <c r="D385" s="4">
        <v>3</v>
      </c>
      <c r="E385" s="4">
        <v>17</v>
      </c>
      <c r="F385" s="4">
        <v>14</v>
      </c>
      <c r="G385" s="4">
        <v>0.03</v>
      </c>
      <c r="H385" s="4">
        <v>17.649999999999999</v>
      </c>
      <c r="I385" s="5">
        <v>0.53</v>
      </c>
    </row>
    <row r="386" spans="2:9" x14ac:dyDescent="0.3">
      <c r="B386" s="99" t="s">
        <v>572</v>
      </c>
      <c r="C386" s="4">
        <v>500</v>
      </c>
      <c r="D386" s="4">
        <v>1</v>
      </c>
      <c r="E386" s="4">
        <v>17</v>
      </c>
      <c r="F386" s="4">
        <v>16</v>
      </c>
      <c r="G386" s="4">
        <v>0.03</v>
      </c>
      <c r="H386" s="4">
        <v>5.88</v>
      </c>
      <c r="I386" s="5">
        <v>0.08</v>
      </c>
    </row>
    <row r="387" spans="2:9" x14ac:dyDescent="0.3">
      <c r="B387" s="99" t="s">
        <v>572</v>
      </c>
      <c r="C387" s="4">
        <v>500</v>
      </c>
      <c r="D387" s="4">
        <v>3</v>
      </c>
      <c r="E387" s="4">
        <v>17</v>
      </c>
      <c r="F387" s="4">
        <v>14</v>
      </c>
      <c r="G387" s="4">
        <v>0.03</v>
      </c>
      <c r="H387" s="4">
        <v>17.649999999999999</v>
      </c>
      <c r="I387" s="5">
        <v>0.53</v>
      </c>
    </row>
    <row r="388" spans="2:9" x14ac:dyDescent="0.3">
      <c r="B388" s="99" t="s">
        <v>572</v>
      </c>
      <c r="C388" s="4">
        <v>500</v>
      </c>
      <c r="D388" s="4">
        <v>1</v>
      </c>
      <c r="E388" s="4">
        <v>17</v>
      </c>
      <c r="F388" s="4">
        <v>16</v>
      </c>
      <c r="G388" s="4">
        <v>0.03</v>
      </c>
      <c r="H388" s="4">
        <v>5.88</v>
      </c>
      <c r="I388" s="5">
        <v>0.08</v>
      </c>
    </row>
    <row r="389" spans="2:9" x14ac:dyDescent="0.3">
      <c r="B389" s="99" t="s">
        <v>609</v>
      </c>
      <c r="C389" s="4">
        <v>500</v>
      </c>
      <c r="D389" s="4">
        <v>2</v>
      </c>
      <c r="E389" s="4">
        <v>17</v>
      </c>
      <c r="F389" s="4">
        <v>15</v>
      </c>
      <c r="G389" s="4">
        <v>2.0699999999999998</v>
      </c>
      <c r="H389" s="4">
        <v>11.76</v>
      </c>
      <c r="I389" s="5">
        <v>0.45</v>
      </c>
    </row>
    <row r="390" spans="2:9" x14ac:dyDescent="0.3">
      <c r="B390" s="99" t="s">
        <v>609</v>
      </c>
      <c r="C390" s="4">
        <v>500</v>
      </c>
      <c r="D390" s="4">
        <v>5</v>
      </c>
      <c r="E390" s="4">
        <v>17</v>
      </c>
      <c r="F390" s="4">
        <v>12</v>
      </c>
      <c r="G390" s="4">
        <v>0.34</v>
      </c>
      <c r="H390" s="4">
        <v>29.41</v>
      </c>
      <c r="I390" s="5">
        <v>0.92</v>
      </c>
    </row>
    <row r="391" spans="2:9" x14ac:dyDescent="0.3">
      <c r="B391" s="99" t="s">
        <v>618</v>
      </c>
      <c r="C391" s="4">
        <v>500</v>
      </c>
      <c r="D391" s="4">
        <v>4</v>
      </c>
      <c r="E391" s="4">
        <v>17</v>
      </c>
      <c r="F391" s="4">
        <v>13</v>
      </c>
      <c r="G391" s="4">
        <v>0.54</v>
      </c>
      <c r="H391" s="4">
        <v>23.53</v>
      </c>
      <c r="I391" s="5">
        <v>0.77</v>
      </c>
    </row>
    <row r="392" spans="2:9" x14ac:dyDescent="0.3">
      <c r="B392" s="99" t="s">
        <v>618</v>
      </c>
      <c r="C392" s="4">
        <v>500</v>
      </c>
      <c r="D392" s="4">
        <v>2</v>
      </c>
      <c r="E392" s="4">
        <v>17</v>
      </c>
      <c r="F392" s="4">
        <v>15</v>
      </c>
      <c r="G392" s="4">
        <v>0.94</v>
      </c>
      <c r="H392" s="4">
        <v>11.76</v>
      </c>
      <c r="I392" s="5">
        <v>0.41</v>
      </c>
    </row>
    <row r="393" spans="2:9" x14ac:dyDescent="0.3">
      <c r="B393" s="99" t="s">
        <v>625</v>
      </c>
      <c r="C393" s="4">
        <v>500</v>
      </c>
      <c r="D393" s="4">
        <v>2</v>
      </c>
      <c r="E393" s="4">
        <v>17</v>
      </c>
      <c r="F393" s="4">
        <v>15</v>
      </c>
      <c r="G393" s="4">
        <v>0.49</v>
      </c>
      <c r="H393" s="4">
        <v>11.76</v>
      </c>
      <c r="I393" s="5">
        <v>0.76</v>
      </c>
    </row>
    <row r="394" spans="2:9" x14ac:dyDescent="0.3">
      <c r="B394" s="99" t="s">
        <v>625</v>
      </c>
      <c r="C394" s="4">
        <v>500</v>
      </c>
      <c r="D394" s="4">
        <v>3</v>
      </c>
      <c r="E394" s="4">
        <v>17</v>
      </c>
      <c r="F394" s="4">
        <v>14</v>
      </c>
      <c r="G394" s="4">
        <v>0.49</v>
      </c>
      <c r="H394" s="4">
        <v>17.649999999999999</v>
      </c>
      <c r="I394" s="5">
        <v>0.71</v>
      </c>
    </row>
    <row r="395" spans="2:9" x14ac:dyDescent="0.3">
      <c r="B395" s="99" t="s">
        <v>645</v>
      </c>
      <c r="C395" s="4">
        <v>500</v>
      </c>
      <c r="D395" s="4">
        <v>0</v>
      </c>
      <c r="E395" s="4">
        <v>16</v>
      </c>
      <c r="F395" s="4">
        <v>16</v>
      </c>
      <c r="G395" s="4">
        <v>0.04</v>
      </c>
      <c r="H395" s="4">
        <v>0</v>
      </c>
      <c r="I395" s="5">
        <v>0.14000000000000001</v>
      </c>
    </row>
    <row r="396" spans="2:9" x14ac:dyDescent="0.3">
      <c r="B396" s="99" t="s">
        <v>645</v>
      </c>
      <c r="C396" s="4">
        <v>500</v>
      </c>
      <c r="D396" s="4">
        <v>3</v>
      </c>
      <c r="E396" s="4">
        <v>17</v>
      </c>
      <c r="F396" s="4">
        <v>14</v>
      </c>
      <c r="G396" s="4">
        <v>0.04</v>
      </c>
      <c r="H396" s="4">
        <v>17.649999999999999</v>
      </c>
      <c r="I396" s="5">
        <v>-0.03</v>
      </c>
    </row>
    <row r="397" spans="2:9" x14ac:dyDescent="0.3">
      <c r="B397" s="99" t="s">
        <v>650</v>
      </c>
      <c r="C397" s="4">
        <v>500</v>
      </c>
      <c r="D397" s="4">
        <v>4</v>
      </c>
      <c r="E397" s="4">
        <v>16</v>
      </c>
      <c r="F397" s="4">
        <v>12</v>
      </c>
      <c r="G397" s="4">
        <v>0.04</v>
      </c>
      <c r="H397" s="4">
        <v>25</v>
      </c>
      <c r="I397" s="5">
        <v>0.36</v>
      </c>
    </row>
    <row r="398" spans="2:9" x14ac:dyDescent="0.3">
      <c r="B398" s="99" t="s">
        <v>650</v>
      </c>
      <c r="C398" s="4">
        <v>500</v>
      </c>
      <c r="D398" s="4">
        <v>2</v>
      </c>
      <c r="E398" s="4">
        <v>17</v>
      </c>
      <c r="F398" s="4">
        <v>15</v>
      </c>
      <c r="G398" s="4">
        <v>0.03</v>
      </c>
      <c r="H398" s="4">
        <v>11.76</v>
      </c>
      <c r="I398" s="5">
        <v>0.16</v>
      </c>
    </row>
    <row r="399" spans="2:9" x14ac:dyDescent="0.3">
      <c r="B399" s="99" t="s">
        <v>653</v>
      </c>
      <c r="C399" s="4">
        <v>0</v>
      </c>
      <c r="D399" s="4">
        <v>3</v>
      </c>
      <c r="E399" s="4">
        <v>24</v>
      </c>
      <c r="F399" s="4">
        <v>17</v>
      </c>
      <c r="G399" s="4">
        <v>0.34</v>
      </c>
      <c r="H399" s="4">
        <v>12.5</v>
      </c>
      <c r="I399" s="5">
        <v>0</v>
      </c>
    </row>
    <row r="400" spans="2:9" x14ac:dyDescent="0.3">
      <c r="B400" s="99" t="s">
        <v>653</v>
      </c>
      <c r="C400" s="4">
        <v>0</v>
      </c>
      <c r="D400" s="4">
        <v>3</v>
      </c>
      <c r="E400" s="4">
        <v>17</v>
      </c>
      <c r="F400" s="4">
        <v>14</v>
      </c>
      <c r="G400" s="4">
        <v>0.33</v>
      </c>
      <c r="H400" s="4">
        <v>17.649999999999999</v>
      </c>
      <c r="I400" s="5">
        <v>0</v>
      </c>
    </row>
    <row r="401" spans="2:9" x14ac:dyDescent="0.3">
      <c r="B401" s="99" t="s">
        <v>653</v>
      </c>
      <c r="C401" s="4">
        <v>0</v>
      </c>
      <c r="D401" s="4">
        <v>3</v>
      </c>
      <c r="E401" s="4">
        <v>17</v>
      </c>
      <c r="F401" s="4">
        <v>13</v>
      </c>
      <c r="G401" s="4">
        <v>0.42</v>
      </c>
      <c r="H401" s="4">
        <v>17.649999999999999</v>
      </c>
      <c r="I401" s="5">
        <v>0</v>
      </c>
    </row>
    <row r="402" spans="2:9" x14ac:dyDescent="0.3">
      <c r="B402" s="99" t="s">
        <v>653</v>
      </c>
      <c r="C402" s="4">
        <v>0</v>
      </c>
      <c r="D402" s="4">
        <v>1</v>
      </c>
      <c r="E402" s="4">
        <v>17</v>
      </c>
      <c r="F402" s="4">
        <v>16</v>
      </c>
      <c r="G402" s="4">
        <v>0.41</v>
      </c>
      <c r="H402" s="4">
        <v>5.88</v>
      </c>
      <c r="I402" s="5">
        <v>0</v>
      </c>
    </row>
    <row r="403" spans="2:9" x14ac:dyDescent="0.3">
      <c r="B403" s="99" t="s">
        <v>653</v>
      </c>
      <c r="C403" s="4">
        <v>0</v>
      </c>
      <c r="D403" s="4">
        <v>2</v>
      </c>
      <c r="E403" s="4">
        <v>17</v>
      </c>
      <c r="F403" s="4">
        <v>15</v>
      </c>
      <c r="G403" s="4">
        <v>0.28999999999999998</v>
      </c>
      <c r="H403" s="4">
        <v>11.76</v>
      </c>
      <c r="I403" s="5">
        <v>0</v>
      </c>
    </row>
    <row r="404" spans="2:9" x14ac:dyDescent="0.3">
      <c r="B404" s="99" t="s">
        <v>653</v>
      </c>
      <c r="C404" s="4">
        <v>0</v>
      </c>
      <c r="D404" s="4">
        <v>4</v>
      </c>
      <c r="E404" s="4">
        <v>17</v>
      </c>
      <c r="F404" s="4">
        <v>13</v>
      </c>
      <c r="G404" s="4">
        <v>0.22</v>
      </c>
      <c r="H404" s="4">
        <v>23.53</v>
      </c>
      <c r="I404" s="5">
        <v>0</v>
      </c>
    </row>
    <row r="405" spans="2:9" x14ac:dyDescent="0.3">
      <c r="B405" s="99" t="s">
        <v>653</v>
      </c>
      <c r="C405" s="4">
        <v>0</v>
      </c>
      <c r="D405" s="4">
        <v>1</v>
      </c>
      <c r="E405" s="4">
        <v>17</v>
      </c>
      <c r="F405" s="4">
        <v>16</v>
      </c>
      <c r="G405" s="4">
        <v>0.28000000000000003</v>
      </c>
      <c r="H405" s="4">
        <v>5.88</v>
      </c>
      <c r="I405" s="5">
        <v>0</v>
      </c>
    </row>
    <row r="406" spans="2:9" x14ac:dyDescent="0.3">
      <c r="B406" s="99" t="s">
        <v>653</v>
      </c>
      <c r="C406" s="4">
        <v>0</v>
      </c>
      <c r="D406" s="4">
        <v>1</v>
      </c>
      <c r="E406" s="4">
        <v>17</v>
      </c>
      <c r="F406" s="4">
        <v>16</v>
      </c>
      <c r="G406" s="4">
        <v>0.32</v>
      </c>
      <c r="H406" s="4">
        <v>5.88</v>
      </c>
      <c r="I406" s="5">
        <v>0</v>
      </c>
    </row>
    <row r="407" spans="2:9" x14ac:dyDescent="0.3">
      <c r="B407" s="99" t="s">
        <v>653</v>
      </c>
      <c r="C407" s="4">
        <v>0</v>
      </c>
      <c r="D407" s="4">
        <v>2</v>
      </c>
      <c r="E407" s="4">
        <v>16</v>
      </c>
      <c r="F407" s="4">
        <v>13</v>
      </c>
      <c r="G407" s="4">
        <v>0.3</v>
      </c>
      <c r="H407" s="4">
        <v>12.5</v>
      </c>
      <c r="I407" s="5">
        <v>0</v>
      </c>
    </row>
    <row r="408" spans="2:9" x14ac:dyDescent="0.3">
      <c r="B408" s="99" t="s">
        <v>653</v>
      </c>
      <c r="C408" s="4">
        <v>0</v>
      </c>
      <c r="D408" s="4">
        <v>2</v>
      </c>
      <c r="E408" s="4">
        <v>17</v>
      </c>
      <c r="F408" s="4">
        <v>15</v>
      </c>
      <c r="G408" s="4">
        <v>0.35</v>
      </c>
      <c r="H408" s="4">
        <v>11.76</v>
      </c>
      <c r="I408" s="5">
        <v>0</v>
      </c>
    </row>
    <row r="409" spans="2:9" x14ac:dyDescent="0.3">
      <c r="B409" s="99" t="s">
        <v>653</v>
      </c>
      <c r="C409" s="4">
        <v>0</v>
      </c>
      <c r="D409" s="4">
        <v>1</v>
      </c>
      <c r="E409" s="4">
        <v>17</v>
      </c>
      <c r="F409" s="4">
        <v>16</v>
      </c>
      <c r="G409" s="4">
        <v>0.41</v>
      </c>
      <c r="H409" s="4">
        <v>5.88</v>
      </c>
      <c r="I409" s="5">
        <v>0</v>
      </c>
    </row>
    <row r="410" spans="2:9" x14ac:dyDescent="0.3">
      <c r="B410" s="99" t="s">
        <v>653</v>
      </c>
      <c r="C410" s="4">
        <v>0</v>
      </c>
      <c r="D410" s="4">
        <v>1</v>
      </c>
      <c r="E410" s="4">
        <v>17</v>
      </c>
      <c r="F410" s="4">
        <v>16</v>
      </c>
      <c r="G410" s="4">
        <v>2.54</v>
      </c>
      <c r="H410" s="4">
        <v>5.88</v>
      </c>
      <c r="I410" s="5">
        <v>0</v>
      </c>
    </row>
    <row r="411" spans="2:9" x14ac:dyDescent="0.3">
      <c r="B411" s="99" t="s">
        <v>653</v>
      </c>
      <c r="C411" s="4">
        <v>0</v>
      </c>
      <c r="D411" s="4">
        <v>1</v>
      </c>
      <c r="E411" s="4">
        <v>17</v>
      </c>
      <c r="F411" s="4">
        <v>16</v>
      </c>
      <c r="G411" s="4">
        <v>1.72</v>
      </c>
      <c r="H411" s="4">
        <v>5.88</v>
      </c>
      <c r="I411" s="5">
        <v>0</v>
      </c>
    </row>
    <row r="412" spans="2:9" x14ac:dyDescent="0.3">
      <c r="B412" s="99" t="s">
        <v>653</v>
      </c>
      <c r="C412" s="4">
        <v>0</v>
      </c>
      <c r="D412" s="4">
        <v>2</v>
      </c>
      <c r="E412" s="4">
        <v>17</v>
      </c>
      <c r="F412" s="4">
        <v>15</v>
      </c>
      <c r="G412" s="4">
        <v>0.99</v>
      </c>
      <c r="H412" s="4">
        <v>11.76</v>
      </c>
      <c r="I412" s="5">
        <v>0</v>
      </c>
    </row>
    <row r="413" spans="2:9" x14ac:dyDescent="0.3">
      <c r="B413" s="99" t="s">
        <v>653</v>
      </c>
      <c r="C413" s="4">
        <v>0</v>
      </c>
      <c r="D413" s="4">
        <v>1</v>
      </c>
      <c r="E413" s="4">
        <v>17</v>
      </c>
      <c r="F413" s="4">
        <v>14</v>
      </c>
      <c r="G413" s="4">
        <v>1.1399999999999999</v>
      </c>
      <c r="H413" s="4">
        <v>5.88</v>
      </c>
      <c r="I413" s="5">
        <v>0</v>
      </c>
    </row>
    <row r="414" spans="2:9" x14ac:dyDescent="0.3">
      <c r="B414" s="99" t="s">
        <v>653</v>
      </c>
      <c r="C414" s="4">
        <v>0</v>
      </c>
      <c r="D414" s="4">
        <v>2</v>
      </c>
      <c r="E414" s="4">
        <v>17</v>
      </c>
      <c r="F414" s="4">
        <v>15</v>
      </c>
      <c r="G414" s="4">
        <v>1.55</v>
      </c>
      <c r="H414" s="4">
        <v>11.76</v>
      </c>
      <c r="I414" s="5">
        <v>0</v>
      </c>
    </row>
    <row r="415" spans="2:9" x14ac:dyDescent="0.3">
      <c r="B415" s="99" t="s">
        <v>653</v>
      </c>
      <c r="C415" s="4">
        <v>0</v>
      </c>
      <c r="D415" s="4">
        <v>3</v>
      </c>
      <c r="E415" s="4">
        <v>17</v>
      </c>
      <c r="F415" s="4">
        <v>14</v>
      </c>
      <c r="G415" s="4">
        <v>1.75</v>
      </c>
      <c r="H415" s="4">
        <v>17.649999999999999</v>
      </c>
      <c r="I415" s="5">
        <v>0</v>
      </c>
    </row>
    <row r="416" spans="2:9" x14ac:dyDescent="0.3">
      <c r="B416" s="99" t="s">
        <v>653</v>
      </c>
      <c r="C416" s="4">
        <v>0</v>
      </c>
      <c r="D416" s="4">
        <v>2</v>
      </c>
      <c r="E416" s="4">
        <v>17</v>
      </c>
      <c r="F416" s="4">
        <v>15</v>
      </c>
      <c r="G416" s="4">
        <v>3.09</v>
      </c>
      <c r="H416" s="4">
        <v>11.76</v>
      </c>
      <c r="I416" s="5">
        <v>0</v>
      </c>
    </row>
    <row r="417" spans="2:9" x14ac:dyDescent="0.3">
      <c r="B417" s="99" t="s">
        <v>653</v>
      </c>
      <c r="C417" s="4">
        <v>0</v>
      </c>
      <c r="D417" s="4">
        <v>4</v>
      </c>
      <c r="E417" s="4">
        <v>16</v>
      </c>
      <c r="F417" s="4">
        <v>12</v>
      </c>
      <c r="G417" s="4">
        <v>3.39</v>
      </c>
      <c r="H417" s="4">
        <v>25</v>
      </c>
      <c r="I417" s="5">
        <v>0</v>
      </c>
    </row>
    <row r="418" spans="2:9" x14ac:dyDescent="0.3">
      <c r="B418" s="99" t="s">
        <v>653</v>
      </c>
      <c r="C418" s="4">
        <v>0</v>
      </c>
      <c r="D418" s="4">
        <v>2</v>
      </c>
      <c r="E418" s="4">
        <v>17</v>
      </c>
      <c r="F418" s="4">
        <v>15</v>
      </c>
      <c r="G418" s="4">
        <v>3.09</v>
      </c>
      <c r="H418" s="4">
        <v>11.76</v>
      </c>
      <c r="I418" s="5">
        <v>0</v>
      </c>
    </row>
    <row r="419" spans="2:9" x14ac:dyDescent="0.3">
      <c r="B419" s="99" t="s">
        <v>653</v>
      </c>
      <c r="C419" s="4">
        <v>0</v>
      </c>
      <c r="D419" s="4">
        <v>4</v>
      </c>
      <c r="E419" s="4">
        <v>16</v>
      </c>
      <c r="F419" s="4">
        <v>12</v>
      </c>
      <c r="G419" s="4">
        <v>3.39</v>
      </c>
      <c r="H419" s="4">
        <v>25</v>
      </c>
      <c r="I419" s="5">
        <v>0</v>
      </c>
    </row>
    <row r="420" spans="2:9" x14ac:dyDescent="0.3">
      <c r="B420" s="99" t="s">
        <v>653</v>
      </c>
      <c r="C420" s="4">
        <v>0</v>
      </c>
      <c r="D420" s="4">
        <v>3</v>
      </c>
      <c r="E420" s="4">
        <v>17</v>
      </c>
      <c r="F420" s="4">
        <v>14</v>
      </c>
      <c r="G420" s="4">
        <v>1.1200000000000001</v>
      </c>
      <c r="H420" s="4">
        <v>17.649999999999999</v>
      </c>
      <c r="I420" s="5">
        <v>0</v>
      </c>
    </row>
    <row r="421" spans="2:9" x14ac:dyDescent="0.3">
      <c r="B421" s="99" t="s">
        <v>653</v>
      </c>
      <c r="C421" s="4">
        <v>0</v>
      </c>
      <c r="D421" s="4">
        <v>3</v>
      </c>
      <c r="E421" s="4">
        <v>17</v>
      </c>
      <c r="F421" s="4">
        <v>14</v>
      </c>
      <c r="G421" s="4">
        <v>1.72</v>
      </c>
      <c r="H421" s="4">
        <v>17.649999999999999</v>
      </c>
      <c r="I421" s="5">
        <v>0</v>
      </c>
    </row>
    <row r="422" spans="2:9" x14ac:dyDescent="0.3">
      <c r="B422" s="99" t="s">
        <v>653</v>
      </c>
      <c r="C422" s="4">
        <v>0</v>
      </c>
      <c r="D422" s="4">
        <v>3</v>
      </c>
      <c r="E422" s="4">
        <v>17</v>
      </c>
      <c r="F422" s="4">
        <v>14</v>
      </c>
      <c r="G422" s="4">
        <v>2.19</v>
      </c>
      <c r="H422" s="4">
        <v>17.649999999999999</v>
      </c>
      <c r="I422" s="5">
        <v>0.01</v>
      </c>
    </row>
    <row r="423" spans="2:9" x14ac:dyDescent="0.3">
      <c r="B423" s="99" t="s">
        <v>653</v>
      </c>
      <c r="C423" s="4">
        <v>0</v>
      </c>
      <c r="D423" s="4">
        <v>7</v>
      </c>
      <c r="E423" s="4">
        <v>17</v>
      </c>
      <c r="F423" s="4">
        <v>10</v>
      </c>
      <c r="G423" s="4">
        <v>1.55</v>
      </c>
      <c r="H423" s="4">
        <v>41.18</v>
      </c>
      <c r="I423" s="5">
        <v>0.35</v>
      </c>
    </row>
    <row r="424" spans="2:9" x14ac:dyDescent="0.3">
      <c r="B424" s="99" t="s">
        <v>653</v>
      </c>
      <c r="C424" s="4">
        <v>0</v>
      </c>
      <c r="D424" s="4">
        <v>0</v>
      </c>
      <c r="E424" s="4">
        <v>17</v>
      </c>
      <c r="F424" s="4">
        <v>17</v>
      </c>
      <c r="G424" s="4">
        <v>0.1</v>
      </c>
      <c r="H424" s="4">
        <v>0</v>
      </c>
      <c r="I424" s="5">
        <v>0</v>
      </c>
    </row>
    <row r="425" spans="2:9" x14ac:dyDescent="0.3">
      <c r="B425" s="99" t="s">
        <v>653</v>
      </c>
      <c r="C425" s="4">
        <v>0</v>
      </c>
      <c r="D425" s="4">
        <v>0</v>
      </c>
      <c r="E425" s="4">
        <v>17</v>
      </c>
      <c r="F425" s="4">
        <v>17</v>
      </c>
      <c r="G425" s="4">
        <v>0.1</v>
      </c>
      <c r="H425" s="4">
        <v>0</v>
      </c>
      <c r="I425" s="5">
        <v>0</v>
      </c>
    </row>
    <row r="426" spans="2:9" x14ac:dyDescent="0.3">
      <c r="B426" s="99" t="s">
        <v>653</v>
      </c>
      <c r="C426" s="4">
        <v>0</v>
      </c>
      <c r="D426" s="4">
        <v>3</v>
      </c>
      <c r="E426" s="4">
        <v>17</v>
      </c>
      <c r="F426" s="4">
        <v>14</v>
      </c>
      <c r="G426" s="4">
        <v>0.27</v>
      </c>
      <c r="H426" s="4">
        <v>17.649999999999999</v>
      </c>
      <c r="I426" s="5">
        <v>0</v>
      </c>
    </row>
    <row r="427" spans="2:9" x14ac:dyDescent="0.3">
      <c r="B427" s="99" t="s">
        <v>653</v>
      </c>
      <c r="C427" s="4">
        <v>0</v>
      </c>
      <c r="D427" s="4">
        <v>6</v>
      </c>
      <c r="E427" s="4">
        <v>17</v>
      </c>
      <c r="F427" s="4">
        <v>11</v>
      </c>
      <c r="G427" s="4">
        <v>0</v>
      </c>
      <c r="H427" s="4">
        <v>35.29</v>
      </c>
      <c r="I427" s="5">
        <v>0</v>
      </c>
    </row>
    <row r="428" spans="2:9" x14ac:dyDescent="0.3">
      <c r="B428" s="99" t="s">
        <v>653</v>
      </c>
      <c r="C428" s="4">
        <v>0</v>
      </c>
      <c r="D428" s="4">
        <v>4</v>
      </c>
      <c r="E428" s="4">
        <v>17</v>
      </c>
      <c r="F428" s="4">
        <v>13</v>
      </c>
      <c r="G428" s="4">
        <v>0.32</v>
      </c>
      <c r="H428" s="4">
        <v>23.53</v>
      </c>
      <c r="I428" s="5">
        <v>0.3</v>
      </c>
    </row>
    <row r="429" spans="2:9" x14ac:dyDescent="0.3">
      <c r="B429" s="99" t="s">
        <v>653</v>
      </c>
      <c r="C429" s="4">
        <v>0</v>
      </c>
      <c r="D429" s="4">
        <v>5</v>
      </c>
      <c r="E429" s="4">
        <v>17</v>
      </c>
      <c r="F429" s="4">
        <v>12</v>
      </c>
      <c r="G429" s="4">
        <v>1.04</v>
      </c>
      <c r="H429" s="4">
        <v>29.41</v>
      </c>
      <c r="I429" s="5">
        <v>-0.64</v>
      </c>
    </row>
    <row r="430" spans="2:9" x14ac:dyDescent="0.3">
      <c r="B430" s="99" t="s">
        <v>653</v>
      </c>
      <c r="C430" s="4">
        <v>0</v>
      </c>
      <c r="D430" s="4">
        <v>0</v>
      </c>
      <c r="E430" s="4">
        <v>17</v>
      </c>
      <c r="F430" s="4">
        <v>17</v>
      </c>
      <c r="G430" s="4">
        <v>0.04</v>
      </c>
      <c r="H430" s="4">
        <v>0</v>
      </c>
      <c r="I430" s="5">
        <v>0</v>
      </c>
    </row>
    <row r="431" spans="2:9" x14ac:dyDescent="0.3">
      <c r="B431" s="99" t="s">
        <v>653</v>
      </c>
      <c r="C431" s="4">
        <v>0</v>
      </c>
      <c r="D431" s="4">
        <v>1</v>
      </c>
      <c r="E431" s="4">
        <v>16</v>
      </c>
      <c r="F431" s="4">
        <v>15</v>
      </c>
      <c r="G431" s="4">
        <v>5.4755555999999997E-2</v>
      </c>
      <c r="H431" s="4">
        <v>6.25</v>
      </c>
      <c r="I431" s="5">
        <v>0</v>
      </c>
    </row>
    <row r="432" spans="2:9" x14ac:dyDescent="0.3">
      <c r="B432" s="99" t="s">
        <v>653</v>
      </c>
      <c r="C432" s="4">
        <v>0</v>
      </c>
      <c r="D432" s="4">
        <v>1</v>
      </c>
      <c r="E432" s="4">
        <v>15</v>
      </c>
      <c r="F432" s="4">
        <v>14</v>
      </c>
      <c r="G432" s="4">
        <v>0.05</v>
      </c>
      <c r="H432" s="4">
        <v>6.67</v>
      </c>
      <c r="I432" s="5">
        <v>0</v>
      </c>
    </row>
    <row r="433" spans="2:9" x14ac:dyDescent="0.3">
      <c r="B433" s="99" t="s">
        <v>653</v>
      </c>
      <c r="C433" s="4">
        <v>0</v>
      </c>
      <c r="D433" s="4">
        <v>2</v>
      </c>
      <c r="E433" s="4">
        <v>17</v>
      </c>
      <c r="F433" s="4">
        <v>15</v>
      </c>
      <c r="G433" s="4">
        <v>0.04</v>
      </c>
      <c r="H433" s="4">
        <v>11.76</v>
      </c>
      <c r="I433" s="5">
        <v>0</v>
      </c>
    </row>
    <row r="434" spans="2:9" x14ac:dyDescent="0.3">
      <c r="B434" s="99" t="s">
        <v>653</v>
      </c>
      <c r="C434" s="4">
        <v>0</v>
      </c>
      <c r="D434" s="4">
        <v>4</v>
      </c>
      <c r="E434" s="4">
        <v>15</v>
      </c>
      <c r="F434" s="4">
        <v>11</v>
      </c>
      <c r="G434" s="4">
        <v>0.08</v>
      </c>
      <c r="H434" s="4">
        <v>26.67</v>
      </c>
      <c r="I434" s="5">
        <v>-0.44</v>
      </c>
    </row>
    <row r="435" spans="2:9" x14ac:dyDescent="0.3">
      <c r="B435" s="99" t="s">
        <v>653</v>
      </c>
      <c r="C435" s="4">
        <v>0</v>
      </c>
      <c r="D435" s="4">
        <v>1</v>
      </c>
      <c r="E435" s="4">
        <v>15</v>
      </c>
      <c r="F435" s="4">
        <v>14</v>
      </c>
      <c r="G435" s="4">
        <v>0.04</v>
      </c>
      <c r="H435" s="4">
        <v>6.67</v>
      </c>
      <c r="I435" s="5">
        <v>0.17</v>
      </c>
    </row>
    <row r="436" spans="2:9" x14ac:dyDescent="0.3">
      <c r="B436" s="99" t="s">
        <v>653</v>
      </c>
      <c r="C436" s="4">
        <v>0</v>
      </c>
      <c r="D436" s="4">
        <v>1</v>
      </c>
      <c r="E436" s="4">
        <v>17</v>
      </c>
      <c r="F436" s="4">
        <v>16</v>
      </c>
      <c r="G436" s="4">
        <v>0.06</v>
      </c>
      <c r="H436" s="4">
        <v>5.88</v>
      </c>
      <c r="I436" s="5">
        <v>-7.0000000000000007E-2</v>
      </c>
    </row>
    <row r="437" spans="2:9" x14ac:dyDescent="0.3">
      <c r="B437" s="99" t="s">
        <v>653</v>
      </c>
      <c r="C437" s="4">
        <v>0</v>
      </c>
      <c r="D437" s="4">
        <v>0</v>
      </c>
      <c r="E437" s="4">
        <v>17</v>
      </c>
      <c r="F437" s="4">
        <v>17</v>
      </c>
      <c r="G437" s="4">
        <v>0.12</v>
      </c>
      <c r="H437" s="4">
        <v>0</v>
      </c>
      <c r="I437" s="5">
        <v>-0.28999999999999998</v>
      </c>
    </row>
    <row r="438" spans="2:9" x14ac:dyDescent="0.3">
      <c r="B438" s="99" t="s">
        <v>653</v>
      </c>
      <c r="C438" s="4">
        <v>0</v>
      </c>
      <c r="D438" s="4">
        <v>7</v>
      </c>
      <c r="E438" s="4">
        <v>17</v>
      </c>
      <c r="F438" s="4">
        <v>10</v>
      </c>
      <c r="G438" s="4">
        <v>0.06</v>
      </c>
      <c r="H438" s="4">
        <v>41.18</v>
      </c>
      <c r="I438" s="5">
        <v>0.19</v>
      </c>
    </row>
    <row r="439" spans="2:9" x14ac:dyDescent="0.3">
      <c r="B439" s="99" t="s">
        <v>653</v>
      </c>
      <c r="C439" s="4">
        <v>0</v>
      </c>
      <c r="D439" s="4">
        <v>4</v>
      </c>
      <c r="E439" s="4">
        <v>17</v>
      </c>
      <c r="F439" s="4">
        <v>13</v>
      </c>
      <c r="G439" s="4">
        <v>0.1</v>
      </c>
      <c r="H439" s="4">
        <v>23.53</v>
      </c>
      <c r="I439" s="5">
        <v>-0.15</v>
      </c>
    </row>
    <row r="440" spans="2:9" x14ac:dyDescent="0.3">
      <c r="B440" s="99" t="s">
        <v>653</v>
      </c>
      <c r="C440" s="4">
        <v>0</v>
      </c>
      <c r="D440" s="4">
        <v>3</v>
      </c>
      <c r="E440" s="4">
        <v>17</v>
      </c>
      <c r="F440" s="4">
        <v>14</v>
      </c>
      <c r="G440" s="4">
        <v>2.2400000000000002</v>
      </c>
      <c r="H440" s="4">
        <v>17.649999999999999</v>
      </c>
      <c r="I440" s="5">
        <v>-0.18</v>
      </c>
    </row>
    <row r="441" spans="2:9" x14ac:dyDescent="0.3">
      <c r="B441" s="99" t="s">
        <v>653</v>
      </c>
      <c r="C441" s="4">
        <v>0</v>
      </c>
      <c r="D441" s="4">
        <v>2</v>
      </c>
      <c r="E441" s="4">
        <v>15</v>
      </c>
      <c r="F441" s="4">
        <v>13</v>
      </c>
      <c r="G441" s="4">
        <v>1.23</v>
      </c>
      <c r="H441" s="4">
        <v>13.33</v>
      </c>
      <c r="I441" s="5">
        <v>-0.01</v>
      </c>
    </row>
    <row r="442" spans="2:9" x14ac:dyDescent="0.3">
      <c r="B442" s="99" t="s">
        <v>653</v>
      </c>
      <c r="C442" s="4">
        <v>0</v>
      </c>
      <c r="D442" s="4">
        <v>0</v>
      </c>
      <c r="E442" s="4">
        <v>17</v>
      </c>
      <c r="F442" s="4">
        <v>17</v>
      </c>
      <c r="G442" s="4">
        <v>1.47</v>
      </c>
      <c r="H442" s="4">
        <v>0</v>
      </c>
      <c r="I442" s="5">
        <v>-0.23</v>
      </c>
    </row>
    <row r="443" spans="2:9" x14ac:dyDescent="0.3">
      <c r="B443" s="99" t="s">
        <v>653</v>
      </c>
      <c r="C443" s="4">
        <v>0</v>
      </c>
      <c r="D443" s="4">
        <v>2</v>
      </c>
      <c r="E443" s="4">
        <v>17</v>
      </c>
      <c r="F443" s="4">
        <v>15</v>
      </c>
      <c r="G443" s="4">
        <v>1.39</v>
      </c>
      <c r="H443" s="4">
        <v>11.76</v>
      </c>
      <c r="I443" s="5">
        <v>-0.05</v>
      </c>
    </row>
    <row r="444" spans="2:9" x14ac:dyDescent="0.3">
      <c r="B444" s="99" t="s">
        <v>653</v>
      </c>
      <c r="C444" s="4">
        <v>0</v>
      </c>
      <c r="D444" s="4">
        <v>1</v>
      </c>
      <c r="E444" s="4">
        <v>17</v>
      </c>
      <c r="F444" s="4">
        <v>11</v>
      </c>
      <c r="G444" s="4">
        <v>0.17</v>
      </c>
      <c r="H444" s="4">
        <v>5.88</v>
      </c>
      <c r="I444" s="5">
        <v>-0.65</v>
      </c>
    </row>
    <row r="445" spans="2:9" x14ac:dyDescent="0.3">
      <c r="B445" s="99" t="s">
        <v>653</v>
      </c>
      <c r="C445" s="4">
        <v>0</v>
      </c>
      <c r="D445" s="4">
        <v>5</v>
      </c>
      <c r="E445" s="4">
        <v>17</v>
      </c>
      <c r="F445" s="4">
        <v>12</v>
      </c>
      <c r="G445" s="4">
        <v>0.06</v>
      </c>
      <c r="H445" s="4">
        <v>29.41</v>
      </c>
      <c r="I445" s="5">
        <v>-0.02</v>
      </c>
    </row>
    <row r="446" spans="2:9" x14ac:dyDescent="0.3">
      <c r="B446" s="99" t="s">
        <v>653</v>
      </c>
      <c r="C446" s="4">
        <v>0</v>
      </c>
      <c r="D446" s="4">
        <v>0</v>
      </c>
      <c r="E446" s="4">
        <v>17</v>
      </c>
      <c r="F446" s="4">
        <v>17</v>
      </c>
      <c r="G446" s="4">
        <v>2.1</v>
      </c>
      <c r="H446" s="4">
        <v>0</v>
      </c>
      <c r="I446" s="5">
        <v>0.16</v>
      </c>
    </row>
    <row r="447" spans="2:9" x14ac:dyDescent="0.3">
      <c r="B447" s="99" t="s">
        <v>653</v>
      </c>
      <c r="C447" s="4">
        <v>0</v>
      </c>
      <c r="D447" s="4">
        <v>0</v>
      </c>
      <c r="E447" s="4">
        <v>17</v>
      </c>
      <c r="F447" s="4">
        <v>17</v>
      </c>
      <c r="G447" s="4">
        <v>1.92</v>
      </c>
      <c r="H447" s="4">
        <v>0</v>
      </c>
      <c r="I447" s="5">
        <v>-0.04</v>
      </c>
    </row>
    <row r="448" spans="2:9" x14ac:dyDescent="0.3">
      <c r="B448" s="99" t="s">
        <v>653</v>
      </c>
      <c r="C448" s="4">
        <v>0</v>
      </c>
      <c r="D448" s="4">
        <v>0</v>
      </c>
      <c r="E448" s="4">
        <v>16</v>
      </c>
      <c r="F448" s="4">
        <v>16</v>
      </c>
      <c r="G448" s="4">
        <v>2.2999999999999998</v>
      </c>
      <c r="H448" s="4">
        <v>0</v>
      </c>
      <c r="I448" s="5">
        <v>-0.14000000000000001</v>
      </c>
    </row>
    <row r="449" spans="2:9" x14ac:dyDescent="0.3">
      <c r="B449" s="99" t="s">
        <v>653</v>
      </c>
      <c r="C449" s="4">
        <v>0</v>
      </c>
      <c r="D449" s="4">
        <v>0</v>
      </c>
      <c r="E449" s="4">
        <v>14</v>
      </c>
      <c r="F449" s="4">
        <v>14</v>
      </c>
      <c r="G449" s="4">
        <v>2.7</v>
      </c>
      <c r="H449" s="4">
        <v>0</v>
      </c>
      <c r="I449" s="5">
        <v>-0.13</v>
      </c>
    </row>
    <row r="450" spans="2:9" x14ac:dyDescent="0.3">
      <c r="B450" s="99" t="s">
        <v>653</v>
      </c>
      <c r="C450" s="4">
        <v>0</v>
      </c>
      <c r="D450" s="4">
        <v>1</v>
      </c>
      <c r="E450" s="4">
        <v>17</v>
      </c>
      <c r="F450" s="4">
        <v>16</v>
      </c>
      <c r="G450" s="4">
        <v>2.02</v>
      </c>
      <c r="H450" s="4">
        <v>5.88</v>
      </c>
      <c r="I450" s="5">
        <v>7.0000000000000007E-2</v>
      </c>
    </row>
    <row r="451" spans="2:9" x14ac:dyDescent="0.3">
      <c r="B451" s="99" t="s">
        <v>653</v>
      </c>
      <c r="C451" s="4">
        <v>0</v>
      </c>
      <c r="D451" s="4">
        <v>2</v>
      </c>
      <c r="E451" s="4">
        <v>17</v>
      </c>
      <c r="F451" s="4">
        <v>15</v>
      </c>
      <c r="G451" s="4">
        <v>2.23</v>
      </c>
      <c r="H451" s="4">
        <v>11.76</v>
      </c>
      <c r="I451" s="5">
        <v>0.06</v>
      </c>
    </row>
    <row r="452" spans="2:9" x14ac:dyDescent="0.3">
      <c r="B452" s="99" t="s">
        <v>653</v>
      </c>
      <c r="C452" s="4">
        <v>0</v>
      </c>
      <c r="D452" s="4">
        <v>2</v>
      </c>
      <c r="E452" s="4">
        <v>17</v>
      </c>
      <c r="F452" s="4">
        <v>15</v>
      </c>
      <c r="G452" s="4">
        <v>1.08</v>
      </c>
      <c r="H452" s="4">
        <v>11.76</v>
      </c>
      <c r="I452" s="5">
        <v>0.18</v>
      </c>
    </row>
    <row r="453" spans="2:9" x14ac:dyDescent="0.3">
      <c r="B453" s="99" t="s">
        <v>653</v>
      </c>
      <c r="C453" s="4">
        <v>0</v>
      </c>
      <c r="D453" s="4">
        <v>3</v>
      </c>
      <c r="E453" s="4">
        <v>16</v>
      </c>
      <c r="F453" s="4">
        <v>13</v>
      </c>
      <c r="G453" s="4">
        <v>1.51</v>
      </c>
      <c r="H453" s="4">
        <v>18.75</v>
      </c>
      <c r="I453" s="5">
        <v>0.04</v>
      </c>
    </row>
    <row r="454" spans="2:9" x14ac:dyDescent="0.3">
      <c r="B454" s="99" t="s">
        <v>653</v>
      </c>
      <c r="C454" s="4">
        <v>0</v>
      </c>
      <c r="D454" s="4">
        <v>1</v>
      </c>
      <c r="E454" s="4">
        <v>17</v>
      </c>
      <c r="F454" s="4">
        <v>16</v>
      </c>
      <c r="G454" s="4">
        <v>2.13</v>
      </c>
      <c r="H454" s="4">
        <v>5.88</v>
      </c>
      <c r="I454" s="5">
        <v>-0.37</v>
      </c>
    </row>
    <row r="455" spans="2:9" x14ac:dyDescent="0.3">
      <c r="B455" s="99" t="s">
        <v>653</v>
      </c>
      <c r="C455" s="4">
        <v>0</v>
      </c>
      <c r="D455" s="4">
        <v>0</v>
      </c>
      <c r="E455" s="4">
        <v>17</v>
      </c>
      <c r="F455" s="4">
        <v>17</v>
      </c>
      <c r="G455" s="4">
        <v>1.7</v>
      </c>
      <c r="H455" s="4">
        <v>0</v>
      </c>
      <c r="I455" s="5">
        <v>-0.38</v>
      </c>
    </row>
    <row r="456" spans="2:9" x14ac:dyDescent="0.3">
      <c r="B456" s="99" t="s">
        <v>653</v>
      </c>
      <c r="C456" s="4">
        <v>0</v>
      </c>
      <c r="D456" s="4">
        <v>2</v>
      </c>
      <c r="E456" s="4">
        <v>15</v>
      </c>
      <c r="F456" s="4">
        <v>13</v>
      </c>
      <c r="G456" s="4">
        <v>3.92</v>
      </c>
      <c r="H456" s="4">
        <v>13.33</v>
      </c>
      <c r="I456" s="5">
        <v>-0.03</v>
      </c>
    </row>
    <row r="457" spans="2:9" x14ac:dyDescent="0.3">
      <c r="B457" s="99" t="s">
        <v>653</v>
      </c>
      <c r="C457" s="4">
        <v>0</v>
      </c>
      <c r="D457" s="4">
        <v>0</v>
      </c>
      <c r="E457" s="4">
        <v>17</v>
      </c>
      <c r="F457" s="4">
        <v>17</v>
      </c>
      <c r="G457" s="4">
        <v>3.01</v>
      </c>
      <c r="H457" s="4">
        <v>0</v>
      </c>
      <c r="I457" s="5">
        <v>0.05</v>
      </c>
    </row>
    <row r="458" spans="2:9" x14ac:dyDescent="0.3">
      <c r="B458" s="99" t="s">
        <v>653</v>
      </c>
      <c r="C458" s="4">
        <v>0</v>
      </c>
      <c r="D458" s="4">
        <v>1</v>
      </c>
      <c r="E458" s="4">
        <v>15</v>
      </c>
      <c r="F458" s="4">
        <v>14</v>
      </c>
      <c r="G458" s="4">
        <v>3.54</v>
      </c>
      <c r="H458" s="4">
        <v>6.67</v>
      </c>
      <c r="I458" s="5">
        <v>-0.02</v>
      </c>
    </row>
    <row r="459" spans="2:9" x14ac:dyDescent="0.3">
      <c r="B459" s="99" t="s">
        <v>653</v>
      </c>
      <c r="C459" s="4">
        <v>0</v>
      </c>
      <c r="D459" s="4">
        <v>1</v>
      </c>
      <c r="E459" s="4">
        <v>17</v>
      </c>
      <c r="F459" s="4">
        <v>16</v>
      </c>
      <c r="G459" s="4">
        <v>4.8600000000000003</v>
      </c>
      <c r="H459" s="4">
        <v>5.88</v>
      </c>
      <c r="I459" s="5">
        <v>-0.13</v>
      </c>
    </row>
    <row r="460" spans="2:9" x14ac:dyDescent="0.3">
      <c r="B460" s="99" t="s">
        <v>653</v>
      </c>
      <c r="C460" s="4">
        <v>0</v>
      </c>
      <c r="D460" s="4">
        <v>0</v>
      </c>
      <c r="E460" s="4">
        <v>17</v>
      </c>
      <c r="F460" s="4">
        <v>17</v>
      </c>
      <c r="G460" s="4">
        <v>1.75</v>
      </c>
      <c r="H460" s="4">
        <v>0</v>
      </c>
      <c r="I460" s="5">
        <v>-0.03</v>
      </c>
    </row>
    <row r="461" spans="2:9" x14ac:dyDescent="0.3">
      <c r="B461" s="99" t="s">
        <v>653</v>
      </c>
      <c r="C461" s="4">
        <v>0</v>
      </c>
      <c r="D461" s="4">
        <v>1</v>
      </c>
      <c r="E461" s="4">
        <v>17</v>
      </c>
      <c r="F461" s="4">
        <v>16</v>
      </c>
      <c r="G461" s="4">
        <v>2.13</v>
      </c>
      <c r="H461" s="4">
        <v>5.88</v>
      </c>
      <c r="I461" s="5">
        <v>-0.06</v>
      </c>
    </row>
    <row r="462" spans="2:9" x14ac:dyDescent="0.3">
      <c r="B462" s="99" t="s">
        <v>653</v>
      </c>
      <c r="C462" s="4">
        <v>0</v>
      </c>
      <c r="D462" s="4">
        <v>3</v>
      </c>
      <c r="E462" s="4">
        <v>17</v>
      </c>
      <c r="F462" s="4">
        <v>14</v>
      </c>
      <c r="G462" s="4">
        <v>1.94</v>
      </c>
      <c r="H462" s="4">
        <v>17.649999999999999</v>
      </c>
      <c r="I462" s="5">
        <v>0.22</v>
      </c>
    </row>
    <row r="463" spans="2:9" x14ac:dyDescent="0.3">
      <c r="B463" s="99" t="s">
        <v>653</v>
      </c>
      <c r="C463" s="4">
        <v>0</v>
      </c>
      <c r="D463" s="4">
        <v>2</v>
      </c>
      <c r="E463" s="4">
        <v>17</v>
      </c>
      <c r="F463" s="4">
        <v>15</v>
      </c>
      <c r="G463" s="4">
        <v>2.67</v>
      </c>
      <c r="H463" s="4">
        <v>11.76</v>
      </c>
      <c r="I463" s="5">
        <v>7.0000000000000007E-2</v>
      </c>
    </row>
    <row r="464" spans="2:9" x14ac:dyDescent="0.3">
      <c r="B464" s="99" t="s">
        <v>653</v>
      </c>
      <c r="C464" s="4">
        <v>0</v>
      </c>
      <c r="D464" s="4">
        <v>7</v>
      </c>
      <c r="E464" s="4">
        <v>17</v>
      </c>
      <c r="F464" s="4">
        <v>14</v>
      </c>
      <c r="G464" s="4">
        <v>1.92</v>
      </c>
      <c r="H464" s="4">
        <v>41.18</v>
      </c>
      <c r="I464" s="5">
        <v>0</v>
      </c>
    </row>
    <row r="465" spans="2:9" x14ac:dyDescent="0.3">
      <c r="B465" s="99" t="s">
        <v>653</v>
      </c>
      <c r="C465" s="4">
        <v>0</v>
      </c>
      <c r="D465" s="4">
        <v>4</v>
      </c>
      <c r="E465" s="4">
        <v>18</v>
      </c>
      <c r="F465" s="4">
        <v>6</v>
      </c>
      <c r="G465" s="4">
        <v>0.47</v>
      </c>
      <c r="H465" s="4">
        <v>22.22</v>
      </c>
      <c r="I465" s="5">
        <v>0.67</v>
      </c>
    </row>
    <row r="466" spans="2:9" x14ac:dyDescent="0.3">
      <c r="B466" s="99" t="s">
        <v>653</v>
      </c>
      <c r="C466" s="4">
        <v>0</v>
      </c>
      <c r="D466" s="4">
        <v>5</v>
      </c>
      <c r="E466" s="4">
        <v>17</v>
      </c>
      <c r="F466" s="4">
        <v>12</v>
      </c>
      <c r="G466" s="4">
        <v>1.3</v>
      </c>
      <c r="H466" s="4">
        <v>29.41</v>
      </c>
      <c r="I466" s="5">
        <v>0.19</v>
      </c>
    </row>
    <row r="467" spans="2:9" x14ac:dyDescent="0.3">
      <c r="B467" s="99" t="s">
        <v>653</v>
      </c>
      <c r="C467" s="4">
        <v>0</v>
      </c>
      <c r="D467" s="4">
        <v>5</v>
      </c>
      <c r="E467" s="4">
        <v>17</v>
      </c>
      <c r="F467" s="4">
        <v>12</v>
      </c>
      <c r="G467" s="4">
        <v>1.89</v>
      </c>
      <c r="H467" s="4">
        <v>29.41</v>
      </c>
      <c r="I467" s="5">
        <v>-0.23</v>
      </c>
    </row>
    <row r="468" spans="2:9" x14ac:dyDescent="0.3">
      <c r="B468" s="99" t="s">
        <v>653</v>
      </c>
      <c r="C468" s="4">
        <v>0</v>
      </c>
      <c r="D468" s="4">
        <v>2</v>
      </c>
      <c r="E468" s="4">
        <v>12</v>
      </c>
      <c r="F468" s="4">
        <v>10</v>
      </c>
      <c r="G468" s="4">
        <v>1.23</v>
      </c>
      <c r="H468" s="4">
        <v>16.670000000000002</v>
      </c>
      <c r="I468" s="5">
        <v>0.06</v>
      </c>
    </row>
    <row r="469" spans="2:9" x14ac:dyDescent="0.3">
      <c r="B469" s="99" t="s">
        <v>653</v>
      </c>
      <c r="C469" s="4">
        <v>0</v>
      </c>
      <c r="D469" s="4">
        <v>7</v>
      </c>
      <c r="E469" s="4">
        <v>14</v>
      </c>
      <c r="F469" s="4">
        <v>7</v>
      </c>
      <c r="G469" s="4">
        <v>1.84</v>
      </c>
      <c r="H469" s="4">
        <v>50</v>
      </c>
      <c r="I469" s="5">
        <v>0.15</v>
      </c>
    </row>
    <row r="470" spans="2:9" x14ac:dyDescent="0.3">
      <c r="B470" s="99" t="s">
        <v>653</v>
      </c>
      <c r="C470" s="4">
        <v>0</v>
      </c>
      <c r="D470" s="4">
        <v>2</v>
      </c>
      <c r="E470" s="4">
        <v>17</v>
      </c>
      <c r="F470" s="4">
        <v>15</v>
      </c>
      <c r="G470" s="4">
        <v>2.09</v>
      </c>
      <c r="H470" s="4">
        <v>11.76</v>
      </c>
      <c r="I470" s="5">
        <v>-0.04</v>
      </c>
    </row>
    <row r="471" spans="2:9" x14ac:dyDescent="0.3">
      <c r="B471" s="99" t="s">
        <v>653</v>
      </c>
      <c r="C471" s="4">
        <v>0</v>
      </c>
      <c r="D471" s="4">
        <v>3</v>
      </c>
      <c r="E471" s="4">
        <v>17</v>
      </c>
      <c r="F471" s="4">
        <v>15</v>
      </c>
      <c r="G471" s="4">
        <v>1.89</v>
      </c>
      <c r="H471" s="4">
        <v>17.649999999999999</v>
      </c>
      <c r="I471" s="5">
        <v>0.08</v>
      </c>
    </row>
    <row r="472" spans="2:9" x14ac:dyDescent="0.3">
      <c r="B472" s="99" t="s">
        <v>653</v>
      </c>
      <c r="C472" s="4">
        <v>0</v>
      </c>
      <c r="D472" s="4">
        <v>0</v>
      </c>
      <c r="E472" s="4">
        <v>17</v>
      </c>
      <c r="F472" s="4">
        <v>17</v>
      </c>
      <c r="G472" s="4">
        <v>1.53</v>
      </c>
      <c r="H472" s="4">
        <v>0</v>
      </c>
      <c r="I472" s="5">
        <v>-0.06</v>
      </c>
    </row>
    <row r="473" spans="2:9" x14ac:dyDescent="0.3">
      <c r="B473" s="99" t="s">
        <v>653</v>
      </c>
      <c r="C473" s="4">
        <v>0</v>
      </c>
      <c r="D473" s="4">
        <v>0</v>
      </c>
      <c r="E473" s="4">
        <v>17</v>
      </c>
      <c r="F473" s="4">
        <v>17</v>
      </c>
      <c r="G473" s="4">
        <v>1.3</v>
      </c>
      <c r="H473" s="4">
        <v>0</v>
      </c>
      <c r="I473" s="5">
        <v>-0.12</v>
      </c>
    </row>
    <row r="474" spans="2:9" x14ac:dyDescent="0.3">
      <c r="B474" s="99" t="s">
        <v>653</v>
      </c>
      <c r="C474" s="4">
        <v>0</v>
      </c>
      <c r="D474" s="4">
        <v>3</v>
      </c>
      <c r="E474" s="4">
        <v>17</v>
      </c>
      <c r="F474" s="4">
        <v>14</v>
      </c>
      <c r="G474" s="4">
        <v>1.34</v>
      </c>
      <c r="H474" s="4">
        <v>17.649999999999999</v>
      </c>
      <c r="I474" s="5">
        <v>0.14000000000000001</v>
      </c>
    </row>
    <row r="475" spans="2:9" x14ac:dyDescent="0.3">
      <c r="B475" s="99" t="s">
        <v>653</v>
      </c>
      <c r="C475" s="4">
        <v>0</v>
      </c>
      <c r="D475" s="4">
        <v>0</v>
      </c>
      <c r="E475" s="4">
        <v>8</v>
      </c>
      <c r="F475" s="4">
        <v>8</v>
      </c>
      <c r="G475" s="4">
        <v>0.55000000000000004</v>
      </c>
      <c r="H475" s="4">
        <v>0</v>
      </c>
      <c r="I475" s="5">
        <v>0.48</v>
      </c>
    </row>
    <row r="476" spans="2:9" x14ac:dyDescent="0.3">
      <c r="B476" s="99" t="s">
        <v>653</v>
      </c>
      <c r="C476" s="4">
        <v>0</v>
      </c>
      <c r="D476" s="4">
        <v>1</v>
      </c>
      <c r="E476" s="4">
        <v>17</v>
      </c>
      <c r="F476" s="4">
        <v>16</v>
      </c>
      <c r="G476" s="4">
        <v>1.64</v>
      </c>
      <c r="H476" s="4">
        <v>5.88</v>
      </c>
      <c r="I476" s="5">
        <v>-0.17</v>
      </c>
    </row>
    <row r="477" spans="2:9" x14ac:dyDescent="0.3">
      <c r="B477" s="99" t="s">
        <v>653</v>
      </c>
      <c r="C477" s="4">
        <v>0</v>
      </c>
      <c r="D477" s="4">
        <v>2</v>
      </c>
      <c r="E477" s="4">
        <v>17</v>
      </c>
      <c r="F477" s="4">
        <v>15</v>
      </c>
      <c r="G477" s="4">
        <v>1.42</v>
      </c>
      <c r="H477" s="4">
        <v>11.76</v>
      </c>
      <c r="I477" s="5">
        <v>0</v>
      </c>
    </row>
    <row r="478" spans="2:9" x14ac:dyDescent="0.3">
      <c r="B478" s="99" t="s">
        <v>653</v>
      </c>
      <c r="C478" s="4">
        <v>0</v>
      </c>
      <c r="D478" s="4">
        <v>1</v>
      </c>
      <c r="E478" s="4">
        <v>17</v>
      </c>
      <c r="F478" s="4">
        <v>16</v>
      </c>
      <c r="G478" s="4">
        <v>1.22</v>
      </c>
      <c r="H478" s="4">
        <v>5.88</v>
      </c>
      <c r="I478" s="5">
        <v>0.02</v>
      </c>
    </row>
    <row r="479" spans="2:9" x14ac:dyDescent="0.3">
      <c r="B479" s="99" t="s">
        <v>653</v>
      </c>
      <c r="C479" s="4">
        <v>0</v>
      </c>
      <c r="D479" s="4">
        <v>2</v>
      </c>
      <c r="E479" s="4">
        <v>17</v>
      </c>
      <c r="F479" s="4">
        <v>15</v>
      </c>
      <c r="G479" s="4">
        <v>1.33</v>
      </c>
      <c r="H479" s="4">
        <v>11.76</v>
      </c>
      <c r="I479" s="5">
        <v>-0.03</v>
      </c>
    </row>
    <row r="480" spans="2:9" x14ac:dyDescent="0.3">
      <c r="B480" s="99" t="s">
        <v>653</v>
      </c>
      <c r="C480" s="4">
        <v>0</v>
      </c>
      <c r="D480" s="4">
        <v>1</v>
      </c>
      <c r="E480" s="4">
        <v>17</v>
      </c>
      <c r="F480" s="4">
        <v>16</v>
      </c>
      <c r="G480" s="4">
        <v>1.32</v>
      </c>
      <c r="H480" s="4">
        <v>5.88</v>
      </c>
      <c r="I480" s="5">
        <v>-0.02</v>
      </c>
    </row>
    <row r="481" spans="2:9" x14ac:dyDescent="0.3">
      <c r="B481" s="99" t="s">
        <v>653</v>
      </c>
      <c r="C481" s="4">
        <v>0</v>
      </c>
      <c r="D481" s="4">
        <v>3</v>
      </c>
      <c r="E481" s="4">
        <v>18</v>
      </c>
      <c r="F481" s="4">
        <v>15</v>
      </c>
      <c r="G481" s="4">
        <v>1.02</v>
      </c>
      <c r="H481" s="4">
        <v>16.670000000000002</v>
      </c>
      <c r="I481" s="5">
        <v>0.18</v>
      </c>
    </row>
    <row r="482" spans="2:9" x14ac:dyDescent="0.3">
      <c r="B482" s="99" t="s">
        <v>653</v>
      </c>
      <c r="C482" s="4">
        <v>0</v>
      </c>
      <c r="D482" s="4">
        <v>0</v>
      </c>
      <c r="E482" s="4">
        <v>17</v>
      </c>
      <c r="F482" s="4">
        <v>17</v>
      </c>
      <c r="G482" s="4">
        <v>1.78</v>
      </c>
      <c r="H482" s="4">
        <v>0</v>
      </c>
      <c r="I482" s="5">
        <v>-0.05</v>
      </c>
    </row>
    <row r="483" spans="2:9" x14ac:dyDescent="0.3">
      <c r="B483" s="99" t="s">
        <v>653</v>
      </c>
      <c r="C483" s="4">
        <v>0</v>
      </c>
      <c r="D483" s="4">
        <v>1</v>
      </c>
      <c r="E483" s="4">
        <v>17</v>
      </c>
      <c r="F483" s="4">
        <v>16</v>
      </c>
      <c r="G483" s="4">
        <v>1.61</v>
      </c>
      <c r="H483" s="4">
        <v>5.88</v>
      </c>
      <c r="I483" s="5">
        <v>0.13</v>
      </c>
    </row>
    <row r="484" spans="2:9" x14ac:dyDescent="0.3">
      <c r="B484" s="99" t="s">
        <v>653</v>
      </c>
      <c r="C484" s="4">
        <v>0</v>
      </c>
      <c r="D484" s="4">
        <v>1</v>
      </c>
      <c r="E484" s="4">
        <v>17</v>
      </c>
      <c r="F484" s="4">
        <v>16</v>
      </c>
      <c r="G484" s="4">
        <v>1.45</v>
      </c>
      <c r="H484" s="4">
        <v>5.88</v>
      </c>
      <c r="I484" s="5">
        <v>-0.02</v>
      </c>
    </row>
    <row r="485" spans="2:9" x14ac:dyDescent="0.3">
      <c r="B485" s="99" t="s">
        <v>653</v>
      </c>
      <c r="C485" s="4">
        <v>0</v>
      </c>
      <c r="D485" s="4">
        <v>2</v>
      </c>
      <c r="E485" s="4">
        <v>17</v>
      </c>
      <c r="F485" s="4">
        <v>15</v>
      </c>
      <c r="G485" s="4">
        <v>1.69</v>
      </c>
      <c r="H485" s="4">
        <v>11.76</v>
      </c>
      <c r="I485" s="5">
        <v>-0.06</v>
      </c>
    </row>
    <row r="486" spans="2:9" x14ac:dyDescent="0.3">
      <c r="B486" s="99" t="s">
        <v>653</v>
      </c>
      <c r="C486" s="4">
        <v>0</v>
      </c>
      <c r="D486" s="4">
        <v>0</v>
      </c>
      <c r="E486" s="4">
        <v>17</v>
      </c>
      <c r="F486" s="4">
        <v>17</v>
      </c>
      <c r="G486" s="4">
        <v>1.51</v>
      </c>
      <c r="H486" s="4">
        <v>0</v>
      </c>
      <c r="I486" s="5">
        <v>-0.09</v>
      </c>
    </row>
    <row r="487" spans="2:9" x14ac:dyDescent="0.3">
      <c r="B487" s="99" t="s">
        <v>653</v>
      </c>
      <c r="C487" s="4">
        <v>0</v>
      </c>
      <c r="D487" s="4">
        <v>0</v>
      </c>
      <c r="E487" s="4">
        <v>17</v>
      </c>
      <c r="F487" s="4">
        <v>16</v>
      </c>
      <c r="G487" s="4">
        <v>1.23</v>
      </c>
      <c r="H487" s="4">
        <v>0</v>
      </c>
      <c r="I487" s="5">
        <v>0.09</v>
      </c>
    </row>
    <row r="488" spans="2:9" x14ac:dyDescent="0.3">
      <c r="B488" s="99" t="s">
        <v>653</v>
      </c>
      <c r="C488" s="4">
        <v>0</v>
      </c>
      <c r="D488" s="4">
        <v>1</v>
      </c>
      <c r="E488" s="4">
        <v>17</v>
      </c>
      <c r="F488" s="4">
        <v>16</v>
      </c>
      <c r="G488" s="4">
        <v>1.57</v>
      </c>
      <c r="H488" s="4">
        <v>5.88</v>
      </c>
      <c r="I488" s="5">
        <v>-0.01</v>
      </c>
    </row>
    <row r="489" spans="2:9" x14ac:dyDescent="0.3">
      <c r="B489" s="99" t="s">
        <v>653</v>
      </c>
      <c r="C489" s="4">
        <v>0</v>
      </c>
      <c r="D489" s="4">
        <v>6</v>
      </c>
      <c r="E489" s="4">
        <v>17</v>
      </c>
      <c r="F489" s="4">
        <v>11</v>
      </c>
      <c r="G489" s="4">
        <v>1.07</v>
      </c>
      <c r="H489" s="4">
        <v>35.29</v>
      </c>
      <c r="I489" s="5">
        <v>0.28000000000000003</v>
      </c>
    </row>
    <row r="490" spans="2:9" x14ac:dyDescent="0.3">
      <c r="B490" s="99" t="s">
        <v>653</v>
      </c>
      <c r="C490" s="4">
        <v>0</v>
      </c>
      <c r="D490" s="4">
        <v>5</v>
      </c>
      <c r="E490" s="4">
        <v>17</v>
      </c>
      <c r="F490" s="4">
        <v>12</v>
      </c>
      <c r="G490" s="4">
        <v>0.72</v>
      </c>
      <c r="H490" s="4">
        <v>29.41</v>
      </c>
      <c r="I490" s="5">
        <v>0.16</v>
      </c>
    </row>
    <row r="491" spans="2:9" x14ac:dyDescent="0.3">
      <c r="B491" s="99" t="s">
        <v>653</v>
      </c>
      <c r="C491" s="4">
        <v>0</v>
      </c>
      <c r="D491" s="4">
        <v>5</v>
      </c>
      <c r="E491" s="4">
        <v>17</v>
      </c>
      <c r="F491" s="4">
        <v>12</v>
      </c>
      <c r="G491" s="4">
        <v>1.3</v>
      </c>
      <c r="H491" s="4">
        <v>29.41</v>
      </c>
      <c r="I491" s="5">
        <v>0.19</v>
      </c>
    </row>
    <row r="492" spans="2:9" x14ac:dyDescent="0.3">
      <c r="B492" s="99" t="s">
        <v>653</v>
      </c>
      <c r="C492" s="4">
        <v>0</v>
      </c>
      <c r="D492" s="4">
        <v>7</v>
      </c>
      <c r="E492" s="4">
        <v>14</v>
      </c>
      <c r="F492" s="4">
        <v>7</v>
      </c>
      <c r="G492" s="4">
        <v>1.84</v>
      </c>
      <c r="H492" s="4">
        <v>50</v>
      </c>
      <c r="I492" s="5">
        <v>0.15</v>
      </c>
    </row>
    <row r="493" spans="2:9" x14ac:dyDescent="0.3">
      <c r="B493" s="99" t="s">
        <v>653</v>
      </c>
      <c r="C493" s="4">
        <v>0</v>
      </c>
      <c r="D493" s="4">
        <v>1</v>
      </c>
      <c r="E493" s="4">
        <v>15</v>
      </c>
      <c r="F493" s="4">
        <v>14</v>
      </c>
      <c r="G493" s="4">
        <v>3.54</v>
      </c>
      <c r="H493" s="4">
        <v>6.67</v>
      </c>
      <c r="I493" s="5">
        <v>-0.02</v>
      </c>
    </row>
    <row r="494" spans="2:9" x14ac:dyDescent="0.3">
      <c r="B494" s="99" t="s">
        <v>653</v>
      </c>
      <c r="C494" s="4">
        <v>0</v>
      </c>
      <c r="D494" s="4">
        <v>1</v>
      </c>
      <c r="E494" s="4">
        <v>17</v>
      </c>
      <c r="F494" s="4">
        <v>16</v>
      </c>
      <c r="G494" s="4">
        <v>4.8600000000000003</v>
      </c>
      <c r="H494" s="4">
        <v>5.88</v>
      </c>
      <c r="I494" s="5">
        <v>-0.13</v>
      </c>
    </row>
    <row r="495" spans="2:9" x14ac:dyDescent="0.3">
      <c r="B495" s="99" t="s">
        <v>653</v>
      </c>
      <c r="C495" s="4">
        <v>0</v>
      </c>
      <c r="D495" s="4">
        <v>0</v>
      </c>
      <c r="E495" s="4">
        <v>17</v>
      </c>
      <c r="F495" s="4">
        <v>17</v>
      </c>
      <c r="G495" s="4">
        <v>1.75</v>
      </c>
      <c r="H495" s="4">
        <v>0</v>
      </c>
      <c r="I495" s="5">
        <v>-0.03</v>
      </c>
    </row>
    <row r="496" spans="2:9" x14ac:dyDescent="0.3">
      <c r="B496" s="99" t="s">
        <v>653</v>
      </c>
      <c r="C496" s="4">
        <v>0</v>
      </c>
      <c r="D496" s="4">
        <v>1</v>
      </c>
      <c r="E496" s="4">
        <v>17</v>
      </c>
      <c r="F496" s="4">
        <v>16</v>
      </c>
      <c r="G496" s="4">
        <v>2.13</v>
      </c>
      <c r="H496" s="4">
        <v>5.88</v>
      </c>
      <c r="I496" s="5">
        <v>-0.06</v>
      </c>
    </row>
    <row r="497" spans="2:9" x14ac:dyDescent="0.3">
      <c r="B497" s="99" t="s">
        <v>653</v>
      </c>
      <c r="C497" s="4">
        <v>0</v>
      </c>
      <c r="D497" s="4">
        <v>1</v>
      </c>
      <c r="E497" s="4">
        <v>17</v>
      </c>
      <c r="F497" s="4">
        <v>8</v>
      </c>
      <c r="G497" s="4">
        <v>0.56000000000000005</v>
      </c>
      <c r="H497" s="4">
        <v>5.88</v>
      </c>
      <c r="I497" s="5">
        <v>0.17</v>
      </c>
    </row>
    <row r="498" spans="2:9" x14ac:dyDescent="0.3">
      <c r="B498" s="99" t="s">
        <v>653</v>
      </c>
      <c r="C498" s="4">
        <v>0</v>
      </c>
      <c r="D498" s="4">
        <v>1</v>
      </c>
      <c r="E498" s="4">
        <v>17</v>
      </c>
      <c r="F498" s="4">
        <v>8</v>
      </c>
      <c r="G498" s="4">
        <v>0.81</v>
      </c>
      <c r="H498" s="4">
        <v>5.88</v>
      </c>
      <c r="I498" s="5">
        <v>-0.14000000000000001</v>
      </c>
    </row>
    <row r="499" spans="2:9" x14ac:dyDescent="0.3">
      <c r="B499" s="99" t="s">
        <v>820</v>
      </c>
      <c r="C499" s="4">
        <v>0</v>
      </c>
      <c r="D499" s="4">
        <v>3</v>
      </c>
      <c r="E499" s="4">
        <v>25</v>
      </c>
      <c r="F499" s="4">
        <v>21</v>
      </c>
      <c r="G499" s="4">
        <v>0.42</v>
      </c>
      <c r="H499" s="4">
        <v>12</v>
      </c>
      <c r="I499" s="5">
        <v>0</v>
      </c>
    </row>
    <row r="500" spans="2:9" x14ac:dyDescent="0.3">
      <c r="B500" s="99" t="s">
        <v>820</v>
      </c>
      <c r="C500" s="4">
        <v>0</v>
      </c>
      <c r="D500" s="4">
        <v>3</v>
      </c>
      <c r="E500" s="4">
        <v>17</v>
      </c>
      <c r="F500" s="4">
        <v>14</v>
      </c>
      <c r="G500" s="4">
        <v>0.37</v>
      </c>
      <c r="H500" s="4">
        <v>17.649999999999999</v>
      </c>
      <c r="I500" s="5">
        <v>0</v>
      </c>
    </row>
    <row r="501" spans="2:9" x14ac:dyDescent="0.3">
      <c r="B501" s="99" t="s">
        <v>820</v>
      </c>
      <c r="C501" s="4">
        <v>0</v>
      </c>
      <c r="D501" s="4">
        <v>1</v>
      </c>
      <c r="E501" s="4">
        <v>15</v>
      </c>
      <c r="F501" s="4">
        <v>14</v>
      </c>
      <c r="G501" s="4">
        <v>0.35</v>
      </c>
      <c r="H501" s="4">
        <v>6.67</v>
      </c>
      <c r="I501" s="5">
        <v>0</v>
      </c>
    </row>
    <row r="502" spans="2:9" x14ac:dyDescent="0.3">
      <c r="B502" s="99" t="s">
        <v>820</v>
      </c>
      <c r="C502" s="4">
        <v>0</v>
      </c>
      <c r="D502" s="4">
        <v>1</v>
      </c>
      <c r="E502" s="4">
        <v>17</v>
      </c>
      <c r="F502" s="4">
        <v>16</v>
      </c>
      <c r="G502" s="4">
        <v>0.4</v>
      </c>
      <c r="H502" s="4">
        <v>5.88</v>
      </c>
      <c r="I502" s="5">
        <v>0</v>
      </c>
    </row>
    <row r="503" spans="2:9" x14ac:dyDescent="0.3">
      <c r="B503" s="99" t="s">
        <v>820</v>
      </c>
      <c r="C503" s="4">
        <v>0</v>
      </c>
      <c r="D503" s="4">
        <v>1</v>
      </c>
      <c r="E503" s="4">
        <v>17</v>
      </c>
      <c r="F503" s="4">
        <v>16</v>
      </c>
      <c r="G503" s="4">
        <v>0.64</v>
      </c>
      <c r="H503" s="4">
        <v>5.88</v>
      </c>
      <c r="I503" s="5">
        <v>0</v>
      </c>
    </row>
    <row r="504" spans="2:9" x14ac:dyDescent="0.3">
      <c r="B504" s="99" t="s">
        <v>820</v>
      </c>
      <c r="C504" s="4">
        <v>0</v>
      </c>
      <c r="D504" s="4">
        <v>3</v>
      </c>
      <c r="E504" s="4">
        <v>17</v>
      </c>
      <c r="F504" s="4">
        <v>14</v>
      </c>
      <c r="G504" s="4">
        <v>0.27</v>
      </c>
      <c r="H504" s="4">
        <v>17.649999999999999</v>
      </c>
      <c r="I504" s="5">
        <v>0</v>
      </c>
    </row>
    <row r="505" spans="2:9" x14ac:dyDescent="0.3">
      <c r="B505" s="99" t="s">
        <v>820</v>
      </c>
      <c r="C505" s="4">
        <v>0</v>
      </c>
      <c r="D505" s="4">
        <v>3</v>
      </c>
      <c r="E505" s="4">
        <v>17</v>
      </c>
      <c r="F505" s="4">
        <v>14</v>
      </c>
      <c r="G505" s="4">
        <v>0.34</v>
      </c>
      <c r="H505" s="4">
        <v>17.649999999999999</v>
      </c>
      <c r="I505" s="5">
        <v>0</v>
      </c>
    </row>
    <row r="506" spans="2:9" x14ac:dyDescent="0.3">
      <c r="B506" s="99" t="s">
        <v>820</v>
      </c>
      <c r="C506" s="4">
        <v>0</v>
      </c>
      <c r="D506" s="4">
        <v>6</v>
      </c>
      <c r="E506" s="4">
        <v>17</v>
      </c>
      <c r="F506" s="4">
        <v>11</v>
      </c>
      <c r="G506" s="4">
        <v>0.4</v>
      </c>
      <c r="H506" s="4">
        <v>35.29</v>
      </c>
      <c r="I506" s="5">
        <v>0</v>
      </c>
    </row>
    <row r="507" spans="2:9" x14ac:dyDescent="0.3">
      <c r="B507" s="99" t="s">
        <v>820</v>
      </c>
      <c r="C507" s="4">
        <v>0</v>
      </c>
      <c r="D507" s="4">
        <v>2</v>
      </c>
      <c r="E507" s="4">
        <v>17</v>
      </c>
      <c r="F507" s="4">
        <v>15</v>
      </c>
      <c r="G507" s="4">
        <v>0.46</v>
      </c>
      <c r="H507" s="4">
        <v>11.76</v>
      </c>
      <c r="I507" s="5">
        <v>0</v>
      </c>
    </row>
    <row r="508" spans="2:9" x14ac:dyDescent="0.3">
      <c r="B508" s="99" t="s">
        <v>820</v>
      </c>
      <c r="C508" s="4">
        <v>0</v>
      </c>
      <c r="D508" s="4">
        <v>1</v>
      </c>
      <c r="E508" s="4">
        <v>16</v>
      </c>
      <c r="F508" s="4">
        <v>8</v>
      </c>
      <c r="G508" s="4">
        <v>0.33</v>
      </c>
      <c r="H508" s="4">
        <v>6.25</v>
      </c>
      <c r="I508" s="5">
        <v>0</v>
      </c>
    </row>
    <row r="509" spans="2:9" x14ac:dyDescent="0.3">
      <c r="B509" s="99" t="s">
        <v>820</v>
      </c>
      <c r="C509" s="4">
        <v>0</v>
      </c>
      <c r="D509" s="4">
        <v>1</v>
      </c>
      <c r="E509" s="4">
        <v>17</v>
      </c>
      <c r="F509" s="4">
        <v>16</v>
      </c>
      <c r="G509" s="4">
        <v>0.52</v>
      </c>
      <c r="H509" s="4">
        <v>5.88</v>
      </c>
      <c r="I509" s="5">
        <v>0</v>
      </c>
    </row>
    <row r="510" spans="2:9" x14ac:dyDescent="0.3">
      <c r="B510" s="99" t="s">
        <v>820</v>
      </c>
      <c r="C510" s="4">
        <v>0</v>
      </c>
      <c r="D510" s="4">
        <v>1</v>
      </c>
      <c r="E510" s="4">
        <v>17</v>
      </c>
      <c r="F510" s="4">
        <v>15</v>
      </c>
      <c r="G510" s="4">
        <v>2.25</v>
      </c>
      <c r="H510" s="4">
        <v>5.88</v>
      </c>
      <c r="I510" s="5">
        <v>0</v>
      </c>
    </row>
    <row r="511" spans="2:9" x14ac:dyDescent="0.3">
      <c r="B511" s="99" t="s">
        <v>820</v>
      </c>
      <c r="C511" s="4">
        <v>0</v>
      </c>
      <c r="D511" s="4">
        <v>0</v>
      </c>
      <c r="E511" s="4">
        <v>17</v>
      </c>
      <c r="F511" s="4">
        <v>17</v>
      </c>
      <c r="G511" s="4">
        <v>1.25</v>
      </c>
      <c r="H511" s="4">
        <v>0</v>
      </c>
      <c r="I511" s="5">
        <v>0</v>
      </c>
    </row>
    <row r="512" spans="2:9" x14ac:dyDescent="0.3">
      <c r="B512" s="99" t="s">
        <v>820</v>
      </c>
      <c r="C512" s="4">
        <v>0</v>
      </c>
      <c r="D512" s="4">
        <v>1</v>
      </c>
      <c r="E512" s="4">
        <v>17</v>
      </c>
      <c r="F512" s="4">
        <v>16</v>
      </c>
      <c r="G512" s="4">
        <v>1.34</v>
      </c>
      <c r="H512" s="4">
        <v>5.88</v>
      </c>
      <c r="I512" s="5">
        <v>0</v>
      </c>
    </row>
    <row r="513" spans="2:9" x14ac:dyDescent="0.3">
      <c r="B513" s="99" t="s">
        <v>820</v>
      </c>
      <c r="C513" s="4">
        <v>0</v>
      </c>
      <c r="D513" s="4">
        <v>1</v>
      </c>
      <c r="E513" s="4">
        <v>17</v>
      </c>
      <c r="F513" s="4">
        <v>16</v>
      </c>
      <c r="G513" s="4">
        <v>1.1399999999999999</v>
      </c>
      <c r="H513" s="4">
        <v>5.88</v>
      </c>
      <c r="I513" s="5">
        <v>0</v>
      </c>
    </row>
    <row r="514" spans="2:9" x14ac:dyDescent="0.3">
      <c r="B514" s="99" t="s">
        <v>820</v>
      </c>
      <c r="C514" s="4">
        <v>0</v>
      </c>
      <c r="D514" s="4">
        <v>3</v>
      </c>
      <c r="E514" s="4">
        <v>17</v>
      </c>
      <c r="F514" s="4">
        <v>14</v>
      </c>
      <c r="G514" s="4">
        <v>1.29</v>
      </c>
      <c r="H514" s="4">
        <v>17.649999999999999</v>
      </c>
      <c r="I514" s="5">
        <v>0</v>
      </c>
    </row>
    <row r="515" spans="2:9" x14ac:dyDescent="0.3">
      <c r="B515" s="99" t="s">
        <v>820</v>
      </c>
      <c r="C515" s="4">
        <v>0</v>
      </c>
      <c r="D515" s="4">
        <v>1</v>
      </c>
      <c r="E515" s="4">
        <v>17</v>
      </c>
      <c r="F515" s="4">
        <v>16</v>
      </c>
      <c r="G515" s="4">
        <v>1.66</v>
      </c>
      <c r="H515" s="4">
        <v>5.88</v>
      </c>
      <c r="I515" s="5">
        <v>0</v>
      </c>
    </row>
    <row r="516" spans="2:9" x14ac:dyDescent="0.3">
      <c r="B516" s="99" t="s">
        <v>820</v>
      </c>
      <c r="C516" s="4">
        <v>0</v>
      </c>
      <c r="D516" s="4">
        <v>4</v>
      </c>
      <c r="E516" s="4">
        <v>16</v>
      </c>
      <c r="F516" s="4">
        <v>12</v>
      </c>
      <c r="G516" s="4">
        <v>4.66</v>
      </c>
      <c r="H516" s="4">
        <v>25</v>
      </c>
      <c r="I516" s="5">
        <v>0</v>
      </c>
    </row>
    <row r="517" spans="2:9" x14ac:dyDescent="0.3">
      <c r="B517" s="99" t="s">
        <v>820</v>
      </c>
      <c r="C517" s="4">
        <v>0</v>
      </c>
      <c r="D517" s="4">
        <v>2</v>
      </c>
      <c r="E517" s="4">
        <v>16</v>
      </c>
      <c r="F517" s="4">
        <v>14</v>
      </c>
      <c r="G517" s="4">
        <v>3.12</v>
      </c>
      <c r="H517" s="4">
        <v>12.5</v>
      </c>
      <c r="I517" s="5">
        <v>0</v>
      </c>
    </row>
    <row r="518" spans="2:9" x14ac:dyDescent="0.3">
      <c r="B518" s="99" t="s">
        <v>820</v>
      </c>
      <c r="C518" s="4">
        <v>0</v>
      </c>
      <c r="D518" s="4">
        <v>4</v>
      </c>
      <c r="E518" s="4">
        <v>16</v>
      </c>
      <c r="F518" s="4">
        <v>12</v>
      </c>
      <c r="G518" s="4">
        <v>4.66</v>
      </c>
      <c r="H518" s="4">
        <v>25</v>
      </c>
      <c r="I518" s="5">
        <v>0</v>
      </c>
    </row>
    <row r="519" spans="2:9" x14ac:dyDescent="0.3">
      <c r="B519" s="99" t="s">
        <v>820</v>
      </c>
      <c r="C519" s="4">
        <v>0</v>
      </c>
      <c r="D519" s="4">
        <v>2</v>
      </c>
      <c r="E519" s="4">
        <v>16</v>
      </c>
      <c r="F519" s="4">
        <v>14</v>
      </c>
      <c r="G519" s="4">
        <v>3.12</v>
      </c>
      <c r="H519" s="4">
        <v>12.5</v>
      </c>
      <c r="I519" s="5">
        <v>0</v>
      </c>
    </row>
    <row r="520" spans="2:9" x14ac:dyDescent="0.3">
      <c r="B520" s="99" t="s">
        <v>820</v>
      </c>
      <c r="C520" s="4">
        <v>0</v>
      </c>
      <c r="D520" s="4">
        <v>2</v>
      </c>
      <c r="E520" s="4">
        <v>17</v>
      </c>
      <c r="F520" s="4">
        <v>15</v>
      </c>
      <c r="G520" s="4">
        <v>1.26</v>
      </c>
      <c r="H520" s="4">
        <v>11.76</v>
      </c>
      <c r="I520" s="5">
        <v>0</v>
      </c>
    </row>
    <row r="521" spans="2:9" x14ac:dyDescent="0.3">
      <c r="B521" s="99" t="s">
        <v>820</v>
      </c>
      <c r="C521" s="4">
        <v>0</v>
      </c>
      <c r="D521" s="4">
        <v>2</v>
      </c>
      <c r="E521" s="4">
        <v>17</v>
      </c>
      <c r="F521" s="4">
        <v>15</v>
      </c>
      <c r="G521" s="4">
        <v>1.1599999999999999</v>
      </c>
      <c r="H521" s="4">
        <v>11.76</v>
      </c>
      <c r="I521" s="5">
        <v>0</v>
      </c>
    </row>
    <row r="522" spans="2:9" x14ac:dyDescent="0.3">
      <c r="B522" s="99" t="s">
        <v>820</v>
      </c>
      <c r="C522" s="4">
        <v>0</v>
      </c>
      <c r="D522" s="4">
        <v>2</v>
      </c>
      <c r="E522" s="4">
        <v>17</v>
      </c>
      <c r="F522" s="4">
        <v>15</v>
      </c>
      <c r="G522" s="4">
        <v>1.75</v>
      </c>
      <c r="H522" s="4">
        <v>11.76</v>
      </c>
      <c r="I522" s="5">
        <v>0.16</v>
      </c>
    </row>
    <row r="523" spans="2:9" x14ac:dyDescent="0.3">
      <c r="B523" s="99" t="s">
        <v>820</v>
      </c>
      <c r="C523" s="4">
        <v>0</v>
      </c>
      <c r="D523" s="4">
        <v>5</v>
      </c>
      <c r="E523" s="4">
        <v>17</v>
      </c>
      <c r="F523" s="4">
        <v>12</v>
      </c>
      <c r="G523" s="4">
        <v>1.47</v>
      </c>
      <c r="H523" s="4">
        <v>29.41</v>
      </c>
      <c r="I523" s="5">
        <v>0.26</v>
      </c>
    </row>
    <row r="524" spans="2:9" x14ac:dyDescent="0.3">
      <c r="B524" s="99" t="s">
        <v>820</v>
      </c>
      <c r="C524" s="4">
        <v>0</v>
      </c>
      <c r="D524" s="4">
        <v>1</v>
      </c>
      <c r="E524" s="4">
        <v>17</v>
      </c>
      <c r="F524" s="4">
        <v>16</v>
      </c>
      <c r="G524" s="4">
        <v>0.13</v>
      </c>
      <c r="H524" s="4">
        <v>5.88</v>
      </c>
      <c r="I524" s="5">
        <v>-0.17</v>
      </c>
    </row>
    <row r="525" spans="2:9" x14ac:dyDescent="0.3">
      <c r="B525" s="99" t="s">
        <v>820</v>
      </c>
      <c r="C525" s="4">
        <v>0</v>
      </c>
      <c r="D525" s="4">
        <v>2</v>
      </c>
      <c r="E525" s="4">
        <v>17</v>
      </c>
      <c r="F525" s="4">
        <v>15</v>
      </c>
      <c r="G525" s="4">
        <v>0.11</v>
      </c>
      <c r="H525" s="4">
        <v>11.76</v>
      </c>
      <c r="I525" s="5">
        <v>0.09</v>
      </c>
    </row>
    <row r="526" spans="2:9" x14ac:dyDescent="0.3">
      <c r="B526" s="99" t="s">
        <v>820</v>
      </c>
      <c r="C526" s="4">
        <v>0</v>
      </c>
      <c r="D526" s="4">
        <v>1</v>
      </c>
      <c r="E526" s="4">
        <v>17</v>
      </c>
      <c r="F526" s="4">
        <v>16</v>
      </c>
      <c r="G526" s="4">
        <v>0.54</v>
      </c>
      <c r="H526" s="4">
        <v>5.88</v>
      </c>
      <c r="I526" s="5">
        <v>-1.25</v>
      </c>
    </row>
    <row r="527" spans="2:9" x14ac:dyDescent="0.3">
      <c r="B527" s="99" t="s">
        <v>820</v>
      </c>
      <c r="C527" s="4">
        <v>0</v>
      </c>
      <c r="D527" s="4">
        <v>1</v>
      </c>
      <c r="E527" s="4">
        <v>17</v>
      </c>
      <c r="F527" s="4">
        <v>16</v>
      </c>
      <c r="G527" s="4">
        <v>0</v>
      </c>
      <c r="H527" s="4">
        <v>5.88</v>
      </c>
      <c r="I527" s="5">
        <v>0.27</v>
      </c>
    </row>
    <row r="528" spans="2:9" x14ac:dyDescent="0.3">
      <c r="B528" s="99" t="s">
        <v>820</v>
      </c>
      <c r="C528" s="4">
        <v>0</v>
      </c>
      <c r="D528" s="4">
        <v>4</v>
      </c>
      <c r="E528" s="4">
        <v>17</v>
      </c>
      <c r="F528" s="4">
        <v>13</v>
      </c>
      <c r="G528" s="4">
        <v>0.36</v>
      </c>
      <c r="H528" s="4">
        <v>23.53</v>
      </c>
      <c r="I528" s="5">
        <v>0.21</v>
      </c>
    </row>
    <row r="529" spans="2:9" x14ac:dyDescent="0.3">
      <c r="B529" s="99" t="s">
        <v>820</v>
      </c>
      <c r="C529" s="4">
        <v>0</v>
      </c>
      <c r="D529" s="4">
        <v>3</v>
      </c>
      <c r="E529" s="4">
        <v>15</v>
      </c>
      <c r="F529" s="4">
        <v>12</v>
      </c>
      <c r="G529" s="4">
        <v>0.35</v>
      </c>
      <c r="H529" s="4">
        <v>20</v>
      </c>
      <c r="I529" s="5">
        <v>0.37</v>
      </c>
    </row>
    <row r="530" spans="2:9" x14ac:dyDescent="0.3">
      <c r="B530" s="99" t="s">
        <v>820</v>
      </c>
      <c r="C530" s="4">
        <v>0</v>
      </c>
      <c r="D530" s="4">
        <v>2</v>
      </c>
      <c r="E530" s="4">
        <v>17</v>
      </c>
      <c r="F530" s="4">
        <v>15</v>
      </c>
      <c r="G530" s="4">
        <v>0.04</v>
      </c>
      <c r="H530" s="4">
        <v>11.76</v>
      </c>
      <c r="I530" s="5">
        <v>0.14000000000000001</v>
      </c>
    </row>
    <row r="531" spans="2:9" x14ac:dyDescent="0.3">
      <c r="B531" s="99" t="s">
        <v>820</v>
      </c>
      <c r="C531" s="4">
        <v>0</v>
      </c>
      <c r="D531" s="4">
        <v>0</v>
      </c>
      <c r="E531" s="4">
        <v>17</v>
      </c>
      <c r="F531" s="4">
        <v>17</v>
      </c>
      <c r="G531" s="4">
        <v>0.04</v>
      </c>
      <c r="H531" s="4">
        <v>0</v>
      </c>
      <c r="I531" s="5">
        <v>0.3</v>
      </c>
    </row>
    <row r="532" spans="2:9" x14ac:dyDescent="0.3">
      <c r="B532" s="99" t="s">
        <v>820</v>
      </c>
      <c r="C532" s="4">
        <v>0</v>
      </c>
      <c r="D532" s="4">
        <v>1</v>
      </c>
      <c r="E532" s="4">
        <v>16</v>
      </c>
      <c r="F532" s="4">
        <v>16</v>
      </c>
      <c r="G532" s="4">
        <v>0.03</v>
      </c>
      <c r="H532" s="4">
        <v>6.25</v>
      </c>
      <c r="I532" s="5">
        <v>0.49</v>
      </c>
    </row>
    <row r="533" spans="2:9" x14ac:dyDescent="0.3">
      <c r="B533" s="99" t="s">
        <v>820</v>
      </c>
      <c r="C533" s="4">
        <v>0</v>
      </c>
      <c r="D533" s="4">
        <v>1</v>
      </c>
      <c r="E533" s="4">
        <v>16</v>
      </c>
      <c r="F533" s="4">
        <v>15</v>
      </c>
      <c r="G533" s="4">
        <v>0.03</v>
      </c>
      <c r="H533" s="4">
        <v>6.25</v>
      </c>
      <c r="I533" s="5">
        <v>0.25</v>
      </c>
    </row>
    <row r="534" spans="2:9" x14ac:dyDescent="0.3">
      <c r="B534" s="99" t="s">
        <v>820</v>
      </c>
      <c r="C534" s="4">
        <v>0</v>
      </c>
      <c r="D534" s="4">
        <v>4</v>
      </c>
      <c r="E534" s="4">
        <v>17</v>
      </c>
      <c r="F534" s="4">
        <v>13</v>
      </c>
      <c r="G534" s="4">
        <v>0.03</v>
      </c>
      <c r="H534" s="4">
        <v>23.53</v>
      </c>
      <c r="I534" s="5">
        <v>0.38</v>
      </c>
    </row>
    <row r="535" spans="2:9" x14ac:dyDescent="0.3">
      <c r="B535" s="99" t="s">
        <v>820</v>
      </c>
      <c r="C535" s="4">
        <v>0</v>
      </c>
      <c r="D535" s="4">
        <v>0</v>
      </c>
      <c r="E535" s="4">
        <v>14</v>
      </c>
      <c r="F535" s="4">
        <v>14</v>
      </c>
      <c r="G535" s="4">
        <v>0.06</v>
      </c>
      <c r="H535" s="4">
        <v>0</v>
      </c>
      <c r="I535" s="5">
        <v>-0.26</v>
      </c>
    </row>
    <row r="536" spans="2:9" x14ac:dyDescent="0.3">
      <c r="B536" s="99" t="s">
        <v>820</v>
      </c>
      <c r="C536" s="4">
        <v>0</v>
      </c>
      <c r="D536" s="4">
        <v>0</v>
      </c>
      <c r="E536" s="4">
        <v>17</v>
      </c>
      <c r="F536" s="4">
        <v>17</v>
      </c>
      <c r="G536" s="4">
        <v>0.05</v>
      </c>
      <c r="H536" s="4">
        <v>0</v>
      </c>
      <c r="I536" s="5">
        <v>0.17</v>
      </c>
    </row>
    <row r="537" spans="2:9" x14ac:dyDescent="0.3">
      <c r="B537" s="99" t="s">
        <v>820</v>
      </c>
      <c r="C537" s="4">
        <v>0</v>
      </c>
      <c r="D537" s="4">
        <v>2</v>
      </c>
      <c r="E537" s="4">
        <v>16</v>
      </c>
      <c r="F537" s="4">
        <v>14</v>
      </c>
      <c r="G537" s="4">
        <v>0.11</v>
      </c>
      <c r="H537" s="4">
        <v>12.5</v>
      </c>
      <c r="I537" s="5">
        <v>-0.11</v>
      </c>
    </row>
    <row r="538" spans="2:9" x14ac:dyDescent="0.3">
      <c r="B538" s="99" t="s">
        <v>820</v>
      </c>
      <c r="C538" s="4">
        <v>0</v>
      </c>
      <c r="D538" s="4">
        <v>2</v>
      </c>
      <c r="E538" s="4">
        <v>17</v>
      </c>
      <c r="F538" s="4">
        <v>15</v>
      </c>
      <c r="G538" s="4">
        <v>0.05</v>
      </c>
      <c r="H538" s="4">
        <v>11.76</v>
      </c>
      <c r="I538" s="5">
        <v>-0.04</v>
      </c>
    </row>
    <row r="539" spans="2:9" x14ac:dyDescent="0.3">
      <c r="B539" s="99" t="s">
        <v>820</v>
      </c>
      <c r="C539" s="4">
        <v>0</v>
      </c>
      <c r="D539" s="4">
        <v>0</v>
      </c>
      <c r="E539" s="4">
        <v>17</v>
      </c>
      <c r="F539" s="4">
        <v>17</v>
      </c>
      <c r="G539" s="4">
        <v>7.0000000000000007E-2</v>
      </c>
      <c r="H539" s="4">
        <v>0</v>
      </c>
      <c r="I539" s="5">
        <v>-0.08</v>
      </c>
    </row>
    <row r="540" spans="2:9" x14ac:dyDescent="0.3">
      <c r="B540" s="99" t="s">
        <v>820</v>
      </c>
      <c r="C540" s="4">
        <v>0</v>
      </c>
      <c r="D540" s="4">
        <v>2</v>
      </c>
      <c r="E540" s="4">
        <v>17</v>
      </c>
      <c r="F540" s="4">
        <v>15</v>
      </c>
      <c r="G540" s="4">
        <v>1.61</v>
      </c>
      <c r="H540" s="4">
        <v>11.76</v>
      </c>
      <c r="I540" s="5">
        <v>0.09</v>
      </c>
    </row>
    <row r="541" spans="2:9" x14ac:dyDescent="0.3">
      <c r="B541" s="99" t="s">
        <v>820</v>
      </c>
      <c r="C541" s="4">
        <v>0</v>
      </c>
      <c r="D541" s="4">
        <v>1</v>
      </c>
      <c r="E541" s="4">
        <v>17</v>
      </c>
      <c r="F541" s="4">
        <v>16</v>
      </c>
      <c r="G541" s="4">
        <v>1.1200000000000001</v>
      </c>
      <c r="H541" s="4">
        <v>5.88</v>
      </c>
      <c r="I541" s="5">
        <v>0</v>
      </c>
    </row>
    <row r="542" spans="2:9" x14ac:dyDescent="0.3">
      <c r="B542" s="99" t="s">
        <v>820</v>
      </c>
      <c r="C542" s="4">
        <v>0</v>
      </c>
      <c r="D542" s="4">
        <v>5</v>
      </c>
      <c r="E542" s="4">
        <v>17</v>
      </c>
      <c r="F542" s="4">
        <v>12</v>
      </c>
      <c r="G542" s="4">
        <v>1.62</v>
      </c>
      <c r="H542" s="4">
        <v>29.41</v>
      </c>
      <c r="I542" s="5">
        <v>0.04</v>
      </c>
    </row>
    <row r="543" spans="2:9" x14ac:dyDescent="0.3">
      <c r="B543" s="99" t="s">
        <v>820</v>
      </c>
      <c r="C543" s="4">
        <v>0</v>
      </c>
      <c r="D543" s="4">
        <v>3</v>
      </c>
      <c r="E543" s="4">
        <v>17</v>
      </c>
      <c r="F543" s="4">
        <v>14</v>
      </c>
      <c r="G543" s="4">
        <v>1.4</v>
      </c>
      <c r="H543" s="4">
        <v>17.649999999999999</v>
      </c>
      <c r="I543" s="5">
        <v>0.01</v>
      </c>
    </row>
    <row r="544" spans="2:9" x14ac:dyDescent="0.3">
      <c r="B544" s="99" t="s">
        <v>820</v>
      </c>
      <c r="C544" s="4">
        <v>0</v>
      </c>
      <c r="D544" s="4">
        <v>3</v>
      </c>
      <c r="E544" s="4">
        <v>17</v>
      </c>
      <c r="F544" s="4">
        <v>14</v>
      </c>
      <c r="G544" s="4">
        <v>0.06</v>
      </c>
      <c r="H544" s="4">
        <v>17.649999999999999</v>
      </c>
      <c r="I544" s="5">
        <v>0.48</v>
      </c>
    </row>
    <row r="545" spans="2:9" x14ac:dyDescent="0.3">
      <c r="B545" s="99" t="s">
        <v>820</v>
      </c>
      <c r="C545" s="4">
        <v>0</v>
      </c>
      <c r="D545" s="4">
        <v>4</v>
      </c>
      <c r="E545" s="4">
        <v>17</v>
      </c>
      <c r="F545" s="4">
        <v>13</v>
      </c>
      <c r="G545" s="4">
        <v>0.06</v>
      </c>
      <c r="H545" s="4">
        <v>23.53</v>
      </c>
      <c r="I545" s="5">
        <v>-0.09</v>
      </c>
    </row>
    <row r="546" spans="2:9" x14ac:dyDescent="0.3">
      <c r="B546" s="99" t="s">
        <v>820</v>
      </c>
      <c r="C546" s="4">
        <v>0</v>
      </c>
      <c r="D546" s="4">
        <v>1</v>
      </c>
      <c r="E546" s="4">
        <v>17</v>
      </c>
      <c r="F546" s="4">
        <v>16</v>
      </c>
      <c r="G546" s="4">
        <v>2.76</v>
      </c>
      <c r="H546" s="4">
        <v>5.88</v>
      </c>
      <c r="I546" s="5">
        <v>-0.04</v>
      </c>
    </row>
    <row r="547" spans="2:9" x14ac:dyDescent="0.3">
      <c r="B547" s="99" t="s">
        <v>820</v>
      </c>
      <c r="C547" s="4">
        <v>0</v>
      </c>
      <c r="D547" s="4">
        <v>0</v>
      </c>
      <c r="E547" s="4">
        <v>17</v>
      </c>
      <c r="F547" s="4">
        <v>17</v>
      </c>
      <c r="G547" s="4">
        <v>1.65</v>
      </c>
      <c r="H547" s="4">
        <v>0</v>
      </c>
      <c r="I547" s="5">
        <v>0.11</v>
      </c>
    </row>
    <row r="548" spans="2:9" x14ac:dyDescent="0.3">
      <c r="B548" s="99" t="s">
        <v>820</v>
      </c>
      <c r="C548" s="4">
        <v>0</v>
      </c>
      <c r="D548" s="4">
        <v>3</v>
      </c>
      <c r="E548" s="4">
        <v>15</v>
      </c>
      <c r="F548" s="4">
        <v>12</v>
      </c>
      <c r="G548" s="4">
        <v>2.68</v>
      </c>
      <c r="H548" s="4">
        <v>20</v>
      </c>
      <c r="I548" s="5">
        <v>-0.06</v>
      </c>
    </row>
    <row r="549" spans="2:9" x14ac:dyDescent="0.3">
      <c r="B549" s="99" t="s">
        <v>820</v>
      </c>
      <c r="C549" s="4">
        <v>0</v>
      </c>
      <c r="D549" s="4">
        <v>0</v>
      </c>
      <c r="E549" s="4">
        <v>16</v>
      </c>
      <c r="F549" s="4">
        <v>16</v>
      </c>
      <c r="G549" s="4">
        <v>2.2400000000000002</v>
      </c>
      <c r="H549" s="4">
        <v>0</v>
      </c>
      <c r="I549" s="5">
        <v>0.06</v>
      </c>
    </row>
    <row r="550" spans="2:9" x14ac:dyDescent="0.3">
      <c r="B550" s="99" t="s">
        <v>820</v>
      </c>
      <c r="C550" s="4">
        <v>0</v>
      </c>
      <c r="D550" s="4">
        <v>0</v>
      </c>
      <c r="E550" s="4">
        <v>16</v>
      </c>
      <c r="F550" s="4">
        <v>16</v>
      </c>
      <c r="G550" s="4">
        <v>2.2999999999999998</v>
      </c>
      <c r="H550" s="4">
        <v>0</v>
      </c>
      <c r="I550" s="5">
        <v>-0.12</v>
      </c>
    </row>
    <row r="551" spans="2:9" x14ac:dyDescent="0.3">
      <c r="B551" s="99" t="s">
        <v>820</v>
      </c>
      <c r="C551" s="4">
        <v>0</v>
      </c>
      <c r="D551" s="4">
        <v>0</v>
      </c>
      <c r="E551" s="4">
        <v>17</v>
      </c>
      <c r="F551" s="4">
        <v>17</v>
      </c>
      <c r="G551" s="4">
        <v>2.61</v>
      </c>
      <c r="H551" s="4">
        <v>0</v>
      </c>
      <c r="I551" s="5">
        <v>-0.25</v>
      </c>
    </row>
    <row r="552" spans="2:9" x14ac:dyDescent="0.3">
      <c r="B552" s="99" t="s">
        <v>820</v>
      </c>
      <c r="C552" s="4">
        <v>0</v>
      </c>
      <c r="D552" s="4">
        <v>4</v>
      </c>
      <c r="E552" s="4">
        <v>17</v>
      </c>
      <c r="F552" s="4">
        <v>13</v>
      </c>
      <c r="G552" s="4">
        <v>1.3</v>
      </c>
      <c r="H552" s="4">
        <v>23.53</v>
      </c>
      <c r="I552" s="5">
        <v>0.14000000000000001</v>
      </c>
    </row>
    <row r="553" spans="2:9" x14ac:dyDescent="0.3">
      <c r="B553" s="99" t="s">
        <v>820</v>
      </c>
      <c r="C553" s="4">
        <v>0</v>
      </c>
      <c r="D553" s="4">
        <v>3</v>
      </c>
      <c r="E553" s="4">
        <v>17</v>
      </c>
      <c r="F553" s="4">
        <v>13</v>
      </c>
      <c r="G553" s="4">
        <v>1.33</v>
      </c>
      <c r="H553" s="4">
        <v>17.649999999999999</v>
      </c>
      <c r="I553" s="5">
        <v>0.14000000000000001</v>
      </c>
    </row>
    <row r="554" spans="2:9" x14ac:dyDescent="0.3">
      <c r="B554" s="99" t="s">
        <v>820</v>
      </c>
      <c r="C554" s="4">
        <v>0</v>
      </c>
      <c r="D554" s="4">
        <v>0</v>
      </c>
      <c r="E554" s="4">
        <v>17</v>
      </c>
      <c r="F554" s="4">
        <v>17</v>
      </c>
      <c r="G554" s="4">
        <v>1.6</v>
      </c>
      <c r="H554" s="4">
        <v>0</v>
      </c>
      <c r="I554" s="5">
        <v>-0.09</v>
      </c>
    </row>
    <row r="555" spans="2:9" x14ac:dyDescent="0.3">
      <c r="B555" s="99" t="s">
        <v>820</v>
      </c>
      <c r="C555" s="4">
        <v>0</v>
      </c>
      <c r="D555" s="4">
        <v>2</v>
      </c>
      <c r="E555" s="4">
        <v>17</v>
      </c>
      <c r="F555" s="4">
        <v>15</v>
      </c>
      <c r="G555" s="4">
        <v>1.54</v>
      </c>
      <c r="H555" s="4">
        <v>11.76</v>
      </c>
      <c r="I555" s="5">
        <v>-0.1</v>
      </c>
    </row>
    <row r="556" spans="2:9" x14ac:dyDescent="0.3">
      <c r="B556" s="99" t="s">
        <v>820</v>
      </c>
      <c r="C556" s="4">
        <v>0</v>
      </c>
      <c r="D556" s="4">
        <v>0</v>
      </c>
      <c r="E556" s="4">
        <v>17</v>
      </c>
      <c r="F556" s="4">
        <v>17</v>
      </c>
      <c r="G556" s="4">
        <v>3</v>
      </c>
      <c r="H556" s="4">
        <v>0</v>
      </c>
      <c r="I556" s="5">
        <v>0.09</v>
      </c>
    </row>
    <row r="557" spans="2:9" x14ac:dyDescent="0.3">
      <c r="B557" s="99" t="s">
        <v>820</v>
      </c>
      <c r="C557" s="4">
        <v>0</v>
      </c>
      <c r="D557" s="4">
        <v>2</v>
      </c>
      <c r="E557" s="4">
        <v>17</v>
      </c>
      <c r="F557" s="4">
        <v>15</v>
      </c>
      <c r="G557" s="4">
        <v>3.74</v>
      </c>
      <c r="H557" s="4">
        <v>11.76</v>
      </c>
      <c r="I557" s="5">
        <v>0</v>
      </c>
    </row>
    <row r="558" spans="2:9" x14ac:dyDescent="0.3">
      <c r="B558" s="99" t="s">
        <v>820</v>
      </c>
      <c r="C558" s="4">
        <v>0</v>
      </c>
      <c r="D558" s="4">
        <v>0</v>
      </c>
      <c r="E558" s="4">
        <v>17</v>
      </c>
      <c r="F558" s="4">
        <v>16</v>
      </c>
      <c r="G558" s="4">
        <v>2.39</v>
      </c>
      <c r="H558" s="4">
        <v>0</v>
      </c>
      <c r="I558" s="5">
        <v>0.24</v>
      </c>
    </row>
    <row r="559" spans="2:9" x14ac:dyDescent="0.3">
      <c r="B559" s="99" t="s">
        <v>820</v>
      </c>
      <c r="C559" s="4">
        <v>0</v>
      </c>
      <c r="D559" s="4">
        <v>1</v>
      </c>
      <c r="E559" s="4">
        <v>17</v>
      </c>
      <c r="F559" s="4">
        <v>16</v>
      </c>
      <c r="G559" s="4">
        <v>4.03</v>
      </c>
      <c r="H559" s="4">
        <v>5.88</v>
      </c>
      <c r="I559" s="5">
        <v>-0.2</v>
      </c>
    </row>
    <row r="560" spans="2:9" x14ac:dyDescent="0.3">
      <c r="B560" s="99" t="s">
        <v>820</v>
      </c>
      <c r="C560" s="4">
        <v>0</v>
      </c>
      <c r="D560" s="4">
        <v>1</v>
      </c>
      <c r="E560" s="4">
        <v>17</v>
      </c>
      <c r="F560" s="4">
        <v>16</v>
      </c>
      <c r="G560" s="4">
        <v>3.06</v>
      </c>
      <c r="H560" s="4">
        <v>5.88</v>
      </c>
      <c r="I560" s="5">
        <v>0.11</v>
      </c>
    </row>
    <row r="561" spans="2:9" x14ac:dyDescent="0.3">
      <c r="B561" s="99" t="s">
        <v>820</v>
      </c>
      <c r="C561" s="4">
        <v>0</v>
      </c>
      <c r="D561" s="4">
        <v>1</v>
      </c>
      <c r="E561" s="4">
        <v>17</v>
      </c>
      <c r="F561" s="4">
        <v>16</v>
      </c>
      <c r="G561" s="4">
        <v>4.16</v>
      </c>
      <c r="H561" s="4">
        <v>5.88</v>
      </c>
      <c r="I561" s="5">
        <v>0.03</v>
      </c>
    </row>
    <row r="562" spans="2:9" x14ac:dyDescent="0.3">
      <c r="B562" s="99" t="s">
        <v>820</v>
      </c>
      <c r="C562" s="4">
        <v>0</v>
      </c>
      <c r="D562" s="4">
        <v>1</v>
      </c>
      <c r="E562" s="4">
        <v>17</v>
      </c>
      <c r="F562" s="4">
        <v>16</v>
      </c>
      <c r="G562" s="4">
        <v>1.95</v>
      </c>
      <c r="H562" s="4">
        <v>5.88</v>
      </c>
      <c r="I562" s="5">
        <v>-0.08</v>
      </c>
    </row>
    <row r="563" spans="2:9" x14ac:dyDescent="0.3">
      <c r="B563" s="99" t="s">
        <v>820</v>
      </c>
      <c r="C563" s="4">
        <v>0</v>
      </c>
      <c r="D563" s="4">
        <v>0</v>
      </c>
      <c r="E563" s="4">
        <v>15</v>
      </c>
      <c r="F563" s="4">
        <v>15</v>
      </c>
      <c r="G563" s="4">
        <v>1.97</v>
      </c>
      <c r="H563" s="4">
        <v>0</v>
      </c>
      <c r="I563" s="5">
        <v>-0.04</v>
      </c>
    </row>
    <row r="564" spans="2:9" x14ac:dyDescent="0.3">
      <c r="B564" s="99" t="s">
        <v>820</v>
      </c>
      <c r="C564" s="4">
        <v>0</v>
      </c>
      <c r="D564" s="4">
        <v>1</v>
      </c>
      <c r="E564" s="4">
        <v>17</v>
      </c>
      <c r="F564" s="4">
        <v>16</v>
      </c>
      <c r="G564" s="4">
        <v>2.64</v>
      </c>
      <c r="H564" s="4">
        <v>5.88</v>
      </c>
      <c r="I564" s="5">
        <v>-0.22</v>
      </c>
    </row>
    <row r="565" spans="2:9" x14ac:dyDescent="0.3">
      <c r="B565" s="99" t="s">
        <v>820</v>
      </c>
      <c r="C565" s="4">
        <v>0</v>
      </c>
      <c r="D565" s="4">
        <v>1</v>
      </c>
      <c r="E565" s="4">
        <v>17</v>
      </c>
      <c r="F565" s="4">
        <v>16</v>
      </c>
      <c r="G565" s="4">
        <v>2.71</v>
      </c>
      <c r="H565" s="4">
        <v>5.88</v>
      </c>
      <c r="I565" s="5">
        <v>-0.01</v>
      </c>
    </row>
    <row r="566" spans="2:9" x14ac:dyDescent="0.3">
      <c r="B566" s="99" t="s">
        <v>820</v>
      </c>
      <c r="C566" s="4">
        <v>0</v>
      </c>
      <c r="D566" s="4">
        <v>3</v>
      </c>
      <c r="E566" s="4">
        <v>17</v>
      </c>
      <c r="F566" s="4">
        <v>13</v>
      </c>
      <c r="G566" s="4">
        <v>2.3199999999999998</v>
      </c>
      <c r="H566" s="4">
        <v>17.649999999999999</v>
      </c>
      <c r="I566" s="5">
        <v>-0.7</v>
      </c>
    </row>
    <row r="567" spans="2:9" x14ac:dyDescent="0.3">
      <c r="B567" s="99" t="s">
        <v>820</v>
      </c>
      <c r="C567" s="4">
        <v>0</v>
      </c>
      <c r="D567" s="4">
        <v>5</v>
      </c>
      <c r="E567" s="4">
        <v>13</v>
      </c>
      <c r="F567" s="4">
        <v>8</v>
      </c>
      <c r="G567" s="4">
        <v>1.7</v>
      </c>
      <c r="H567" s="4">
        <v>38.46</v>
      </c>
      <c r="I567" s="5">
        <v>0.04</v>
      </c>
    </row>
    <row r="568" spans="2:9" x14ac:dyDescent="0.3">
      <c r="B568" s="99" t="s">
        <v>820</v>
      </c>
      <c r="C568" s="4">
        <v>0</v>
      </c>
      <c r="D568" s="4">
        <v>2</v>
      </c>
      <c r="E568" s="4">
        <v>17</v>
      </c>
      <c r="F568" s="4">
        <v>15</v>
      </c>
      <c r="G568" s="4">
        <v>2.11</v>
      </c>
      <c r="H568" s="4">
        <v>11.76</v>
      </c>
      <c r="I568" s="5">
        <v>-0.05</v>
      </c>
    </row>
    <row r="569" spans="2:9" x14ac:dyDescent="0.3">
      <c r="B569" s="99" t="s">
        <v>820</v>
      </c>
      <c r="C569" s="4">
        <v>0</v>
      </c>
      <c r="D569" s="4">
        <v>1</v>
      </c>
      <c r="E569" s="4">
        <v>17</v>
      </c>
      <c r="F569" s="4">
        <v>16</v>
      </c>
      <c r="G569" s="4">
        <v>1.97</v>
      </c>
      <c r="H569" s="4">
        <v>5.88</v>
      </c>
      <c r="I569" s="5">
        <v>-0.09</v>
      </c>
    </row>
    <row r="570" spans="2:9" x14ac:dyDescent="0.3">
      <c r="B570" s="99" t="s">
        <v>820</v>
      </c>
      <c r="C570" s="4">
        <v>0</v>
      </c>
      <c r="D570" s="4">
        <v>0</v>
      </c>
      <c r="E570" s="4">
        <v>17</v>
      </c>
      <c r="F570" s="4">
        <v>17</v>
      </c>
      <c r="G570" s="4">
        <v>1.33</v>
      </c>
      <c r="H570" s="4">
        <v>0</v>
      </c>
      <c r="I570" s="5">
        <v>0.08</v>
      </c>
    </row>
    <row r="571" spans="2:9" x14ac:dyDescent="0.3">
      <c r="B571" s="99" t="s">
        <v>820</v>
      </c>
      <c r="C571" s="4">
        <v>0</v>
      </c>
      <c r="D571" s="4">
        <v>1</v>
      </c>
      <c r="E571" s="4">
        <v>17</v>
      </c>
      <c r="F571" s="4">
        <v>16</v>
      </c>
      <c r="G571" s="4">
        <v>1.06</v>
      </c>
      <c r="H571" s="4">
        <v>5.88</v>
      </c>
      <c r="I571" s="5">
        <v>0.14000000000000001</v>
      </c>
    </row>
    <row r="572" spans="2:9" x14ac:dyDescent="0.3">
      <c r="B572" s="99" t="s">
        <v>820</v>
      </c>
      <c r="C572" s="4">
        <v>0</v>
      </c>
      <c r="D572" s="4">
        <v>1</v>
      </c>
      <c r="E572" s="4">
        <v>17</v>
      </c>
      <c r="F572" s="4">
        <v>16</v>
      </c>
      <c r="G572" s="4">
        <v>1.45</v>
      </c>
      <c r="H572" s="4">
        <v>5.88</v>
      </c>
      <c r="I572" s="5">
        <v>-0.06</v>
      </c>
    </row>
    <row r="573" spans="2:9" x14ac:dyDescent="0.3">
      <c r="B573" s="99" t="s">
        <v>820</v>
      </c>
      <c r="C573" s="4">
        <v>0</v>
      </c>
      <c r="D573" s="4">
        <v>3</v>
      </c>
      <c r="E573" s="4">
        <v>17</v>
      </c>
      <c r="F573" s="4">
        <v>15</v>
      </c>
      <c r="G573" s="4">
        <v>2.04</v>
      </c>
      <c r="H573" s="4">
        <v>17.649999999999999</v>
      </c>
      <c r="I573" s="5">
        <v>-0.57999999999999996</v>
      </c>
    </row>
    <row r="574" spans="2:9" x14ac:dyDescent="0.3">
      <c r="B574" s="99" t="s">
        <v>820</v>
      </c>
      <c r="C574" s="4">
        <v>0</v>
      </c>
      <c r="D574" s="4">
        <v>3</v>
      </c>
      <c r="E574" s="4">
        <v>17</v>
      </c>
      <c r="F574" s="4">
        <v>14</v>
      </c>
      <c r="G574" s="4">
        <v>1.45</v>
      </c>
      <c r="H574" s="4">
        <v>17.649999999999999</v>
      </c>
      <c r="I574" s="5">
        <v>0.1</v>
      </c>
    </row>
    <row r="575" spans="2:9" x14ac:dyDescent="0.3">
      <c r="B575" s="99" t="s">
        <v>820</v>
      </c>
      <c r="C575" s="4">
        <v>0</v>
      </c>
      <c r="D575" s="4">
        <v>1</v>
      </c>
      <c r="E575" s="4">
        <v>16</v>
      </c>
      <c r="F575" s="4">
        <v>15</v>
      </c>
      <c r="G575" s="4">
        <v>1.35</v>
      </c>
      <c r="H575" s="4">
        <v>6.25</v>
      </c>
      <c r="I575" s="5">
        <v>-0.02</v>
      </c>
    </row>
    <row r="576" spans="2:9" x14ac:dyDescent="0.3">
      <c r="B576" s="99" t="s">
        <v>820</v>
      </c>
      <c r="C576" s="4">
        <v>0</v>
      </c>
      <c r="D576" s="4">
        <v>0</v>
      </c>
      <c r="E576" s="4">
        <v>17</v>
      </c>
      <c r="F576" s="4">
        <v>17</v>
      </c>
      <c r="G576" s="4">
        <v>1.32</v>
      </c>
      <c r="H576" s="4">
        <v>0</v>
      </c>
      <c r="I576" s="5">
        <v>-0.13</v>
      </c>
    </row>
    <row r="577" spans="2:9" x14ac:dyDescent="0.3">
      <c r="B577" s="99" t="s">
        <v>820</v>
      </c>
      <c r="C577" s="4">
        <v>0</v>
      </c>
      <c r="D577" s="4">
        <v>2</v>
      </c>
      <c r="E577" s="4">
        <v>17</v>
      </c>
      <c r="F577" s="4">
        <v>15</v>
      </c>
      <c r="G577" s="4">
        <v>1.35</v>
      </c>
      <c r="H577" s="4">
        <v>11.76</v>
      </c>
      <c r="I577" s="5">
        <v>-0.04</v>
      </c>
    </row>
    <row r="578" spans="2:9" x14ac:dyDescent="0.3">
      <c r="B578" s="99" t="s">
        <v>820</v>
      </c>
      <c r="C578" s="4">
        <v>0</v>
      </c>
      <c r="D578" s="4">
        <v>0</v>
      </c>
      <c r="E578" s="4">
        <v>17</v>
      </c>
      <c r="F578" s="4">
        <v>17</v>
      </c>
      <c r="G578" s="4">
        <v>1.24</v>
      </c>
      <c r="H578" s="4">
        <v>0</v>
      </c>
      <c r="I578" s="5">
        <v>-0.02</v>
      </c>
    </row>
    <row r="579" spans="2:9" x14ac:dyDescent="0.3">
      <c r="B579" s="99" t="s">
        <v>820</v>
      </c>
      <c r="C579" s="4">
        <v>0</v>
      </c>
      <c r="D579" s="4">
        <v>1</v>
      </c>
      <c r="E579" s="4">
        <v>17</v>
      </c>
      <c r="F579" s="4">
        <v>16</v>
      </c>
      <c r="G579" s="4">
        <v>1.1499999999999999</v>
      </c>
      <c r="H579" s="4">
        <v>5.88</v>
      </c>
      <c r="I579" s="5">
        <v>-0.05</v>
      </c>
    </row>
    <row r="580" spans="2:9" x14ac:dyDescent="0.3">
      <c r="B580" s="99" t="s">
        <v>820</v>
      </c>
      <c r="C580" s="4">
        <v>0</v>
      </c>
      <c r="D580" s="4">
        <v>0</v>
      </c>
      <c r="E580" s="4">
        <v>17</v>
      </c>
      <c r="F580" s="4">
        <v>17</v>
      </c>
      <c r="G580" s="4">
        <v>1.72</v>
      </c>
      <c r="H580" s="4">
        <v>0</v>
      </c>
      <c r="I580" s="5">
        <v>-0.01</v>
      </c>
    </row>
    <row r="581" spans="2:9" x14ac:dyDescent="0.3">
      <c r="B581" s="99" t="s">
        <v>820</v>
      </c>
      <c r="C581" s="4">
        <v>0</v>
      </c>
      <c r="D581" s="4">
        <v>1</v>
      </c>
      <c r="E581" s="4">
        <v>17</v>
      </c>
      <c r="F581" s="4">
        <v>16</v>
      </c>
      <c r="G581" s="4">
        <v>1.95</v>
      </c>
      <c r="H581" s="4">
        <v>5.88</v>
      </c>
      <c r="I581" s="5">
        <v>-0.05</v>
      </c>
    </row>
    <row r="582" spans="2:9" x14ac:dyDescent="0.3">
      <c r="B582" s="99" t="s">
        <v>820</v>
      </c>
      <c r="C582" s="4">
        <v>0</v>
      </c>
      <c r="D582" s="4">
        <v>2</v>
      </c>
      <c r="E582" s="4">
        <v>17</v>
      </c>
      <c r="F582" s="4">
        <v>15</v>
      </c>
      <c r="G582" s="4">
        <v>1.67</v>
      </c>
      <c r="H582" s="4">
        <v>11.76</v>
      </c>
      <c r="I582" s="5">
        <v>-0.1</v>
      </c>
    </row>
    <row r="583" spans="2:9" x14ac:dyDescent="0.3">
      <c r="B583" s="99" t="s">
        <v>820</v>
      </c>
      <c r="C583" s="4">
        <v>0</v>
      </c>
      <c r="D583" s="4">
        <v>2</v>
      </c>
      <c r="E583" s="4">
        <v>17</v>
      </c>
      <c r="F583" s="4">
        <v>15</v>
      </c>
      <c r="G583" s="4">
        <v>1.59</v>
      </c>
      <c r="H583" s="4">
        <v>11.76</v>
      </c>
      <c r="I583" s="5">
        <v>-0.05</v>
      </c>
    </row>
    <row r="584" spans="2:9" x14ac:dyDescent="0.3">
      <c r="B584" s="99" t="s">
        <v>820</v>
      </c>
      <c r="C584" s="4">
        <v>0</v>
      </c>
      <c r="D584" s="4">
        <v>0</v>
      </c>
      <c r="E584" s="4">
        <v>17</v>
      </c>
      <c r="F584" s="4">
        <v>17</v>
      </c>
      <c r="G584" s="4">
        <v>1.62</v>
      </c>
      <c r="H584" s="4">
        <v>0</v>
      </c>
      <c r="I584" s="5">
        <v>-0.21</v>
      </c>
    </row>
    <row r="585" spans="2:9" x14ac:dyDescent="0.3">
      <c r="B585" s="99" t="s">
        <v>820</v>
      </c>
      <c r="C585" s="4">
        <v>0</v>
      </c>
      <c r="D585" s="4">
        <v>0</v>
      </c>
      <c r="E585" s="4">
        <v>17</v>
      </c>
      <c r="F585" s="4">
        <v>17</v>
      </c>
      <c r="G585" s="4">
        <v>1.48</v>
      </c>
      <c r="H585" s="4">
        <v>0</v>
      </c>
      <c r="I585" s="5">
        <v>-0.01</v>
      </c>
    </row>
    <row r="586" spans="2:9" x14ac:dyDescent="0.3">
      <c r="B586" s="99" t="s">
        <v>820</v>
      </c>
      <c r="C586" s="4">
        <v>0</v>
      </c>
      <c r="D586" s="4">
        <v>3</v>
      </c>
      <c r="E586" s="4">
        <v>17</v>
      </c>
      <c r="F586" s="4">
        <v>14</v>
      </c>
      <c r="G586" s="4">
        <v>2.1</v>
      </c>
      <c r="H586" s="4">
        <v>17.649999999999999</v>
      </c>
      <c r="I586" s="5">
        <v>-0.18</v>
      </c>
    </row>
    <row r="587" spans="2:9" x14ac:dyDescent="0.3">
      <c r="B587" s="99" t="s">
        <v>820</v>
      </c>
      <c r="C587" s="4">
        <v>0</v>
      </c>
      <c r="D587" s="4">
        <v>2</v>
      </c>
      <c r="E587" s="4">
        <v>17</v>
      </c>
      <c r="F587" s="4">
        <v>15</v>
      </c>
      <c r="G587" s="4">
        <v>1.21</v>
      </c>
      <c r="H587" s="4">
        <v>11.76</v>
      </c>
      <c r="I587" s="5">
        <v>-0.11</v>
      </c>
    </row>
    <row r="588" spans="2:9" x14ac:dyDescent="0.3">
      <c r="B588" s="99" t="s">
        <v>820</v>
      </c>
      <c r="C588" s="4">
        <v>0</v>
      </c>
      <c r="D588" s="4">
        <v>4</v>
      </c>
      <c r="E588" s="4">
        <v>18</v>
      </c>
      <c r="F588" s="4">
        <v>14</v>
      </c>
      <c r="G588" s="4">
        <v>0.89</v>
      </c>
      <c r="H588" s="4">
        <v>22.22</v>
      </c>
      <c r="I588" s="5">
        <v>-0.15</v>
      </c>
    </row>
    <row r="589" spans="2:9" x14ac:dyDescent="0.3">
      <c r="B589" s="99" t="s">
        <v>820</v>
      </c>
      <c r="C589" s="4">
        <v>0</v>
      </c>
      <c r="D589" s="4">
        <v>3</v>
      </c>
      <c r="E589" s="4">
        <v>17</v>
      </c>
      <c r="F589" s="4">
        <v>13</v>
      </c>
      <c r="G589" s="4">
        <v>2.3199999999999998</v>
      </c>
      <c r="H589" s="4">
        <v>17.649999999999999</v>
      </c>
      <c r="I589" s="5">
        <v>-0.7</v>
      </c>
    </row>
    <row r="590" spans="2:9" x14ac:dyDescent="0.3">
      <c r="B590" s="99" t="s">
        <v>820</v>
      </c>
      <c r="C590" s="4">
        <v>0</v>
      </c>
      <c r="D590" s="4">
        <v>5</v>
      </c>
      <c r="E590" s="4">
        <v>13</v>
      </c>
      <c r="F590" s="4">
        <v>8</v>
      </c>
      <c r="G590" s="4">
        <v>1.7</v>
      </c>
      <c r="H590" s="4">
        <v>38.46</v>
      </c>
      <c r="I590" s="5">
        <v>0.04</v>
      </c>
    </row>
    <row r="591" spans="2:9" x14ac:dyDescent="0.3">
      <c r="B591" s="99" t="s">
        <v>820</v>
      </c>
      <c r="C591" s="4">
        <v>0</v>
      </c>
      <c r="D591" s="4">
        <v>1</v>
      </c>
      <c r="E591" s="4">
        <v>17</v>
      </c>
      <c r="F591" s="4">
        <v>16</v>
      </c>
      <c r="G591" s="4">
        <v>3.06</v>
      </c>
      <c r="H591" s="4">
        <v>5.88</v>
      </c>
      <c r="I591" s="5">
        <v>0.11</v>
      </c>
    </row>
    <row r="592" spans="2:9" x14ac:dyDescent="0.3">
      <c r="B592" s="99" t="s">
        <v>820</v>
      </c>
      <c r="C592" s="4">
        <v>0</v>
      </c>
      <c r="D592" s="4">
        <v>1</v>
      </c>
      <c r="E592" s="4">
        <v>17</v>
      </c>
      <c r="F592" s="4">
        <v>16</v>
      </c>
      <c r="G592" s="4">
        <v>4.16</v>
      </c>
      <c r="H592" s="4">
        <v>5.88</v>
      </c>
      <c r="I592" s="5">
        <v>0.03</v>
      </c>
    </row>
    <row r="593" spans="2:19" x14ac:dyDescent="0.3">
      <c r="B593" s="99" t="s">
        <v>820</v>
      </c>
      <c r="C593" s="4">
        <v>0</v>
      </c>
      <c r="D593" s="4">
        <v>1</v>
      </c>
      <c r="E593" s="4">
        <v>17</v>
      </c>
      <c r="F593" s="4">
        <v>16</v>
      </c>
      <c r="G593" s="4">
        <v>1.95</v>
      </c>
      <c r="H593" s="4">
        <v>5.88</v>
      </c>
      <c r="I593" s="5">
        <v>-0.08</v>
      </c>
    </row>
    <row r="594" spans="2:19" x14ac:dyDescent="0.3">
      <c r="B594" s="99" t="s">
        <v>820</v>
      </c>
      <c r="C594" s="4">
        <v>0</v>
      </c>
      <c r="D594" s="4">
        <v>0</v>
      </c>
      <c r="E594" s="4">
        <v>15</v>
      </c>
      <c r="F594" s="4">
        <v>15</v>
      </c>
      <c r="G594" s="4">
        <v>1.97</v>
      </c>
      <c r="H594" s="4">
        <v>0</v>
      </c>
      <c r="I594" s="5">
        <v>-0.04</v>
      </c>
    </row>
    <row r="595" spans="2:19" x14ac:dyDescent="0.3">
      <c r="B595" s="99" t="s">
        <v>820</v>
      </c>
      <c r="C595" s="4">
        <v>0</v>
      </c>
      <c r="D595" s="4">
        <v>1</v>
      </c>
      <c r="E595" s="4">
        <v>17</v>
      </c>
      <c r="F595" s="4">
        <v>8</v>
      </c>
      <c r="G595" s="4">
        <v>0.84</v>
      </c>
      <c r="H595" s="4">
        <v>5.88</v>
      </c>
      <c r="I595" s="5">
        <v>-0.25</v>
      </c>
    </row>
    <row r="596" spans="2:19" x14ac:dyDescent="0.3">
      <c r="B596" s="99" t="s">
        <v>820</v>
      </c>
      <c r="C596" s="4">
        <v>0</v>
      </c>
      <c r="D596" s="4">
        <v>0</v>
      </c>
      <c r="E596" s="4">
        <v>16</v>
      </c>
      <c r="F596" s="4">
        <v>8</v>
      </c>
      <c r="G596" s="4">
        <v>0.64</v>
      </c>
      <c r="H596" s="4">
        <v>0</v>
      </c>
      <c r="I596" s="5">
        <v>0.05</v>
      </c>
    </row>
    <row r="597" spans="2:19" x14ac:dyDescent="0.3">
      <c r="B597" s="99" t="s">
        <v>662</v>
      </c>
      <c r="C597" s="4">
        <v>500</v>
      </c>
      <c r="D597" s="4">
        <v>4</v>
      </c>
      <c r="E597" s="4">
        <v>25</v>
      </c>
      <c r="F597" s="4">
        <v>19</v>
      </c>
      <c r="G597" s="4">
        <v>0.38</v>
      </c>
      <c r="H597" s="4">
        <v>16</v>
      </c>
      <c r="I597" s="5">
        <v>-0.08</v>
      </c>
    </row>
    <row r="598" spans="2:19" x14ac:dyDescent="0.3">
      <c r="B598" s="99" t="s">
        <v>662</v>
      </c>
      <c r="C598" s="4">
        <v>500</v>
      </c>
      <c r="D598" s="4">
        <v>0</v>
      </c>
      <c r="E598" s="4">
        <v>17</v>
      </c>
      <c r="F598" s="4">
        <v>17</v>
      </c>
      <c r="G598" s="4">
        <v>0.33</v>
      </c>
      <c r="H598" s="4">
        <v>0</v>
      </c>
      <c r="I598" s="5">
        <v>-0.1</v>
      </c>
    </row>
    <row r="599" spans="2:19" x14ac:dyDescent="0.3">
      <c r="B599" s="99" t="s">
        <v>662</v>
      </c>
      <c r="C599" s="4">
        <v>500</v>
      </c>
      <c r="D599" s="4">
        <v>0</v>
      </c>
      <c r="E599" s="4">
        <v>14</v>
      </c>
      <c r="F599" s="4">
        <v>14</v>
      </c>
      <c r="G599" s="4">
        <v>0.33</v>
      </c>
      <c r="H599" s="4">
        <v>0</v>
      </c>
      <c r="I599" s="5">
        <v>0.04</v>
      </c>
    </row>
    <row r="600" spans="2:19" x14ac:dyDescent="0.3">
      <c r="B600" s="99" t="s">
        <v>662</v>
      </c>
      <c r="C600" s="4">
        <v>500</v>
      </c>
      <c r="D600" s="4">
        <v>2</v>
      </c>
      <c r="E600" s="4">
        <v>17</v>
      </c>
      <c r="F600" s="4">
        <v>15</v>
      </c>
      <c r="G600" s="4">
        <v>0.4</v>
      </c>
      <c r="H600" s="4">
        <v>11.76</v>
      </c>
      <c r="I600" s="5">
        <v>0.08</v>
      </c>
    </row>
    <row r="601" spans="2:19" x14ac:dyDescent="0.3">
      <c r="B601" s="99" t="s">
        <v>662</v>
      </c>
      <c r="C601" s="4">
        <v>500</v>
      </c>
      <c r="D601" s="4">
        <v>4</v>
      </c>
      <c r="E601" s="4">
        <v>17</v>
      </c>
      <c r="F601" s="4">
        <v>13</v>
      </c>
      <c r="G601" s="4">
        <v>0.31</v>
      </c>
      <c r="H601" s="4">
        <v>23.53</v>
      </c>
      <c r="I601" s="5">
        <v>0.08</v>
      </c>
    </row>
    <row r="602" spans="2:19" x14ac:dyDescent="0.3">
      <c r="B602" s="99" t="s">
        <v>662</v>
      </c>
      <c r="C602" s="4">
        <v>500</v>
      </c>
      <c r="D602" s="4">
        <v>3</v>
      </c>
      <c r="E602" s="4">
        <v>17</v>
      </c>
      <c r="F602" s="4">
        <v>14</v>
      </c>
      <c r="G602" s="4">
        <v>0.25</v>
      </c>
      <c r="H602" s="4">
        <v>17.649999999999999</v>
      </c>
      <c r="I602" s="5">
        <v>-0.22</v>
      </c>
    </row>
    <row r="603" spans="2:19" x14ac:dyDescent="0.3">
      <c r="B603" s="99" t="s">
        <v>662</v>
      </c>
      <c r="C603" s="4">
        <v>500</v>
      </c>
      <c r="D603" s="4">
        <v>2</v>
      </c>
      <c r="E603" s="4">
        <v>17</v>
      </c>
      <c r="F603" s="4">
        <v>15</v>
      </c>
      <c r="G603" s="4">
        <v>0.27</v>
      </c>
      <c r="H603" s="4">
        <v>11.76</v>
      </c>
      <c r="I603" s="5">
        <v>7.0000000000000007E-2</v>
      </c>
    </row>
    <row r="604" spans="2:19" x14ac:dyDescent="0.3">
      <c r="B604" s="99" t="s">
        <v>662</v>
      </c>
      <c r="C604" s="4">
        <v>500</v>
      </c>
      <c r="D604" s="4">
        <v>2</v>
      </c>
      <c r="E604" s="4">
        <v>17</v>
      </c>
      <c r="F604" s="4">
        <v>15</v>
      </c>
      <c r="G604" s="4">
        <v>0.34</v>
      </c>
      <c r="H604" s="4">
        <v>11.76</v>
      </c>
      <c r="I604" s="5">
        <v>0.02</v>
      </c>
    </row>
    <row r="605" spans="2:19" x14ac:dyDescent="0.3">
      <c r="B605" s="99" t="s">
        <v>662</v>
      </c>
      <c r="C605" s="4">
        <v>500</v>
      </c>
      <c r="D605" s="4">
        <v>3</v>
      </c>
      <c r="E605" s="4">
        <v>17</v>
      </c>
      <c r="F605" s="4">
        <v>13</v>
      </c>
      <c r="G605" s="4">
        <v>0.37</v>
      </c>
      <c r="H605" s="4">
        <v>17.649999999999999</v>
      </c>
      <c r="I605" s="5">
        <v>-0.16</v>
      </c>
    </row>
    <row r="606" spans="2:19" x14ac:dyDescent="0.3">
      <c r="B606" s="99" t="s">
        <v>662</v>
      </c>
      <c r="C606" s="4">
        <v>500</v>
      </c>
      <c r="D606" s="4">
        <v>2</v>
      </c>
      <c r="E606" s="4">
        <v>17</v>
      </c>
      <c r="F606" s="4">
        <v>15</v>
      </c>
      <c r="G606" s="4">
        <v>0.35</v>
      </c>
      <c r="H606" s="4">
        <v>11.76</v>
      </c>
      <c r="I606" s="5">
        <v>-0.01</v>
      </c>
    </row>
    <row r="607" spans="2:19" x14ac:dyDescent="0.3">
      <c r="B607" s="99" t="s">
        <v>662</v>
      </c>
      <c r="C607" s="4">
        <v>500</v>
      </c>
      <c r="D607" s="4">
        <v>0</v>
      </c>
      <c r="E607" s="4">
        <v>17</v>
      </c>
      <c r="F607" s="4">
        <v>17</v>
      </c>
      <c r="G607" s="4">
        <v>0.43</v>
      </c>
      <c r="H607" s="4">
        <v>0</v>
      </c>
      <c r="I607" s="5">
        <v>-0.12</v>
      </c>
    </row>
    <row r="608" spans="2:19" x14ac:dyDescent="0.3">
      <c r="B608" s="99" t="s">
        <v>662</v>
      </c>
      <c r="C608" s="4">
        <v>500</v>
      </c>
      <c r="D608" s="4">
        <v>0</v>
      </c>
      <c r="E608" s="4">
        <v>17</v>
      </c>
      <c r="F608" s="4">
        <v>17</v>
      </c>
      <c r="G608" s="4">
        <v>1.61</v>
      </c>
      <c r="H608" s="4">
        <v>0</v>
      </c>
      <c r="I608" s="5">
        <v>0.33</v>
      </c>
      <c r="S608" t="s">
        <v>84</v>
      </c>
    </row>
    <row r="609" spans="2:9" x14ac:dyDescent="0.3">
      <c r="B609" s="99" t="s">
        <v>662</v>
      </c>
      <c r="C609" s="4">
        <v>500</v>
      </c>
      <c r="D609" s="4">
        <v>0</v>
      </c>
      <c r="E609" s="4">
        <v>17</v>
      </c>
      <c r="F609" s="4">
        <v>17</v>
      </c>
      <c r="G609" s="4">
        <v>1.35</v>
      </c>
      <c r="H609" s="4">
        <v>0</v>
      </c>
      <c r="I609" s="5">
        <v>0.17</v>
      </c>
    </row>
    <row r="610" spans="2:9" x14ac:dyDescent="0.3">
      <c r="B610" s="99" t="s">
        <v>662</v>
      </c>
      <c r="C610" s="4">
        <v>500</v>
      </c>
      <c r="D610" s="4">
        <v>2</v>
      </c>
      <c r="E610" s="4">
        <v>17</v>
      </c>
      <c r="F610" s="4">
        <v>15</v>
      </c>
      <c r="G610" s="4">
        <v>1.1399999999999999</v>
      </c>
      <c r="H610" s="4">
        <v>11.76</v>
      </c>
      <c r="I610" s="5">
        <v>-0.15</v>
      </c>
    </row>
    <row r="611" spans="2:9" x14ac:dyDescent="0.3">
      <c r="B611" s="99" t="s">
        <v>662</v>
      </c>
      <c r="C611" s="4">
        <v>500</v>
      </c>
      <c r="D611" s="4">
        <v>1</v>
      </c>
      <c r="E611" s="4">
        <v>17</v>
      </c>
      <c r="F611" s="4">
        <v>16</v>
      </c>
      <c r="G611" s="4">
        <v>0.99</v>
      </c>
      <c r="H611" s="4">
        <v>5.88</v>
      </c>
      <c r="I611" s="5">
        <v>0.13</v>
      </c>
    </row>
    <row r="612" spans="2:9" x14ac:dyDescent="0.3">
      <c r="B612" s="99" t="s">
        <v>662</v>
      </c>
      <c r="C612" s="4">
        <v>500</v>
      </c>
      <c r="D612" s="4">
        <v>3</v>
      </c>
      <c r="E612" s="4">
        <v>17</v>
      </c>
      <c r="F612" s="4">
        <v>14</v>
      </c>
      <c r="G612" s="4">
        <v>1.29</v>
      </c>
      <c r="H612" s="4">
        <v>17.649999999999999</v>
      </c>
      <c r="I612" s="5">
        <v>0.22</v>
      </c>
    </row>
    <row r="613" spans="2:9" x14ac:dyDescent="0.3">
      <c r="B613" s="99" t="s">
        <v>662</v>
      </c>
      <c r="C613" s="4">
        <v>500</v>
      </c>
      <c r="D613" s="4">
        <v>3</v>
      </c>
      <c r="E613" s="4">
        <v>17</v>
      </c>
      <c r="F613" s="4">
        <v>14</v>
      </c>
      <c r="G613" s="4">
        <v>1.79</v>
      </c>
      <c r="H613" s="4">
        <v>17.649999999999999</v>
      </c>
      <c r="I613" s="5">
        <v>-0.02</v>
      </c>
    </row>
    <row r="614" spans="2:9" x14ac:dyDescent="0.3">
      <c r="B614" s="99" t="s">
        <v>662</v>
      </c>
      <c r="C614" s="4">
        <v>500</v>
      </c>
      <c r="D614" s="4">
        <v>2</v>
      </c>
      <c r="E614" s="4">
        <v>15</v>
      </c>
      <c r="F614" s="4">
        <v>13</v>
      </c>
      <c r="G614" s="4">
        <v>3.08</v>
      </c>
      <c r="H614" s="4">
        <v>13.33</v>
      </c>
      <c r="I614" s="5">
        <v>0.02</v>
      </c>
    </row>
    <row r="615" spans="2:9" x14ac:dyDescent="0.3">
      <c r="B615" s="99" t="s">
        <v>662</v>
      </c>
      <c r="C615" s="4">
        <v>500</v>
      </c>
      <c r="D615" s="4">
        <v>2</v>
      </c>
      <c r="E615" s="4">
        <v>16</v>
      </c>
      <c r="F615" s="4">
        <v>14</v>
      </c>
      <c r="G615" s="4">
        <v>2.4300000000000002</v>
      </c>
      <c r="H615" s="4">
        <v>12.5</v>
      </c>
      <c r="I615" s="5">
        <v>0.17</v>
      </c>
    </row>
    <row r="616" spans="2:9" x14ac:dyDescent="0.3">
      <c r="B616" s="99" t="s">
        <v>662</v>
      </c>
      <c r="C616" s="4">
        <v>500</v>
      </c>
      <c r="D616" s="4">
        <v>2</v>
      </c>
      <c r="E616" s="4">
        <v>15</v>
      </c>
      <c r="F616" s="4">
        <v>13</v>
      </c>
      <c r="G616" s="4">
        <v>3.08</v>
      </c>
      <c r="H616" s="4">
        <v>13.33</v>
      </c>
      <c r="I616" s="5">
        <v>0.02</v>
      </c>
    </row>
    <row r="617" spans="2:9" x14ac:dyDescent="0.3">
      <c r="B617" s="99" t="s">
        <v>662</v>
      </c>
      <c r="C617" s="4">
        <v>500</v>
      </c>
      <c r="D617" s="4">
        <v>2</v>
      </c>
      <c r="E617" s="4">
        <v>16</v>
      </c>
      <c r="F617" s="4">
        <v>14</v>
      </c>
      <c r="G617" s="4">
        <v>2.4300000000000002</v>
      </c>
      <c r="H617" s="4">
        <v>12.5</v>
      </c>
      <c r="I617" s="5">
        <v>0.17</v>
      </c>
    </row>
    <row r="618" spans="2:9" x14ac:dyDescent="0.3">
      <c r="B618" s="99" t="s">
        <v>662</v>
      </c>
      <c r="C618" s="4">
        <v>500</v>
      </c>
      <c r="D618" s="4">
        <v>3</v>
      </c>
      <c r="E618" s="4">
        <v>16</v>
      </c>
      <c r="F618" s="4">
        <v>13</v>
      </c>
      <c r="G618" s="4">
        <v>1.42</v>
      </c>
      <c r="H618" s="4">
        <v>18.75</v>
      </c>
      <c r="I618" s="5">
        <v>-0.25</v>
      </c>
    </row>
    <row r="619" spans="2:9" x14ac:dyDescent="0.3">
      <c r="B619" s="99" t="s">
        <v>662</v>
      </c>
      <c r="C619" s="4">
        <v>500</v>
      </c>
      <c r="D619" s="4">
        <v>1</v>
      </c>
      <c r="E619" s="4">
        <v>17</v>
      </c>
      <c r="F619" s="4">
        <v>16</v>
      </c>
      <c r="G619" s="4">
        <v>1.27</v>
      </c>
      <c r="H619" s="4">
        <v>5.88</v>
      </c>
      <c r="I619" s="5">
        <v>0.16</v>
      </c>
    </row>
    <row r="620" spans="2:9" x14ac:dyDescent="0.3">
      <c r="B620" s="99" t="s">
        <v>662</v>
      </c>
      <c r="C620" s="4">
        <v>500</v>
      </c>
      <c r="D620" s="4">
        <v>1</v>
      </c>
      <c r="E620" s="4">
        <v>16</v>
      </c>
      <c r="F620" s="4">
        <v>15</v>
      </c>
      <c r="G620" s="4">
        <v>2.29</v>
      </c>
      <c r="H620" s="4">
        <v>6.25</v>
      </c>
      <c r="I620" s="5">
        <v>-0.18</v>
      </c>
    </row>
    <row r="621" spans="2:9" x14ac:dyDescent="0.3">
      <c r="B621" s="99" t="s">
        <v>662</v>
      </c>
      <c r="C621" s="4">
        <v>500</v>
      </c>
      <c r="D621" s="4">
        <v>4</v>
      </c>
      <c r="E621" s="4">
        <v>17</v>
      </c>
      <c r="F621" s="4">
        <v>13</v>
      </c>
      <c r="G621" s="4">
        <v>1.33</v>
      </c>
      <c r="H621" s="4">
        <v>23.53</v>
      </c>
      <c r="I621" s="5">
        <v>0.27</v>
      </c>
    </row>
    <row r="622" spans="2:9" x14ac:dyDescent="0.3">
      <c r="B622" s="99" t="s">
        <v>662</v>
      </c>
      <c r="C622" s="4">
        <v>500</v>
      </c>
      <c r="D622" s="4">
        <v>1</v>
      </c>
      <c r="E622" s="4">
        <v>17</v>
      </c>
      <c r="F622" s="4">
        <v>16</v>
      </c>
      <c r="G622" s="4">
        <v>0.11</v>
      </c>
      <c r="H622" s="4">
        <v>5.88</v>
      </c>
      <c r="I622" s="5">
        <v>-0.06</v>
      </c>
    </row>
    <row r="623" spans="2:9" x14ac:dyDescent="0.3">
      <c r="B623" s="99" t="s">
        <v>662</v>
      </c>
      <c r="C623" s="4">
        <v>500</v>
      </c>
      <c r="D623" s="4">
        <v>1</v>
      </c>
      <c r="E623" s="4">
        <v>17</v>
      </c>
      <c r="F623" s="4">
        <v>16</v>
      </c>
      <c r="G623" s="4">
        <v>0.1</v>
      </c>
      <c r="H623" s="4">
        <v>5.88</v>
      </c>
      <c r="I623" s="5">
        <v>0.08</v>
      </c>
    </row>
    <row r="624" spans="2:9" x14ac:dyDescent="0.3">
      <c r="B624" s="99" t="s">
        <v>662</v>
      </c>
      <c r="C624" s="4">
        <v>500</v>
      </c>
      <c r="D624" s="4">
        <v>1</v>
      </c>
      <c r="E624" s="4">
        <v>17</v>
      </c>
      <c r="F624" s="4">
        <v>16</v>
      </c>
      <c r="G624" s="4">
        <v>0.45</v>
      </c>
      <c r="H624" s="4">
        <v>5.88</v>
      </c>
      <c r="I624" s="5">
        <v>-0.87</v>
      </c>
    </row>
    <row r="625" spans="2:9" x14ac:dyDescent="0.3">
      <c r="B625" s="99" t="s">
        <v>662</v>
      </c>
      <c r="C625" s="4">
        <v>500</v>
      </c>
      <c r="D625" s="4">
        <v>1</v>
      </c>
      <c r="E625" s="4">
        <v>17</v>
      </c>
      <c r="F625" s="4">
        <v>16</v>
      </c>
      <c r="G625" s="4">
        <v>0.41</v>
      </c>
      <c r="H625" s="4">
        <v>5.88</v>
      </c>
      <c r="I625" s="5">
        <v>0.26</v>
      </c>
    </row>
    <row r="626" spans="2:9" x14ac:dyDescent="0.3">
      <c r="B626" s="99" t="s">
        <v>662</v>
      </c>
      <c r="C626" s="4">
        <v>500</v>
      </c>
      <c r="D626" s="4">
        <v>2</v>
      </c>
      <c r="E626" s="4">
        <v>17</v>
      </c>
      <c r="F626" s="4">
        <v>15</v>
      </c>
      <c r="G626" s="4">
        <v>0.6</v>
      </c>
      <c r="H626" s="4">
        <v>11.76</v>
      </c>
      <c r="I626" s="5">
        <v>-0.51</v>
      </c>
    </row>
    <row r="627" spans="2:9" x14ac:dyDescent="0.3">
      <c r="B627" s="99" t="s">
        <v>662</v>
      </c>
      <c r="C627" s="4">
        <v>500</v>
      </c>
      <c r="D627" s="4">
        <v>3</v>
      </c>
      <c r="E627" s="4">
        <v>17</v>
      </c>
      <c r="F627" s="4">
        <v>14</v>
      </c>
      <c r="G627" s="4">
        <v>0</v>
      </c>
      <c r="H627" s="4">
        <v>17.649999999999999</v>
      </c>
      <c r="I627" s="5">
        <v>0.31</v>
      </c>
    </row>
    <row r="628" spans="2:9" x14ac:dyDescent="0.3">
      <c r="B628" s="99" t="s">
        <v>662</v>
      </c>
      <c r="C628" s="4">
        <v>500</v>
      </c>
      <c r="D628" s="4">
        <v>3</v>
      </c>
      <c r="E628" s="4">
        <v>18</v>
      </c>
      <c r="F628" s="4">
        <v>15</v>
      </c>
      <c r="G628" s="4">
        <v>0.02</v>
      </c>
      <c r="H628" s="4">
        <v>16.670000000000002</v>
      </c>
      <c r="I628" s="5">
        <v>0.61</v>
      </c>
    </row>
    <row r="629" spans="2:9" x14ac:dyDescent="0.3">
      <c r="B629" s="99" t="s">
        <v>662</v>
      </c>
      <c r="C629" s="4">
        <v>500</v>
      </c>
      <c r="D629" s="4">
        <v>3</v>
      </c>
      <c r="E629" s="4">
        <v>17</v>
      </c>
      <c r="F629" s="4">
        <v>14</v>
      </c>
      <c r="G629" s="4">
        <v>4.5612245000000003E-2</v>
      </c>
      <c r="H629" s="4">
        <v>17.649999999999999</v>
      </c>
      <c r="I629" s="5">
        <v>0.27</v>
      </c>
    </row>
    <row r="630" spans="2:9" x14ac:dyDescent="0.3">
      <c r="B630" s="99" t="s">
        <v>662</v>
      </c>
      <c r="C630" s="4">
        <v>500</v>
      </c>
      <c r="D630" s="4">
        <v>3</v>
      </c>
      <c r="E630" s="4">
        <v>18</v>
      </c>
      <c r="F630" s="4">
        <v>15</v>
      </c>
      <c r="G630" s="4">
        <v>0.02</v>
      </c>
      <c r="H630" s="4">
        <v>16.670000000000002</v>
      </c>
      <c r="I630" s="5">
        <v>0.57999999999999996</v>
      </c>
    </row>
    <row r="631" spans="2:9" x14ac:dyDescent="0.3">
      <c r="B631" s="99" t="s">
        <v>662</v>
      </c>
      <c r="C631" s="4">
        <v>500</v>
      </c>
      <c r="D631" s="4">
        <v>2</v>
      </c>
      <c r="E631" s="4">
        <v>17</v>
      </c>
      <c r="F631" s="4">
        <v>15</v>
      </c>
      <c r="G631" s="4">
        <v>0.03</v>
      </c>
      <c r="H631" s="4">
        <v>11.76</v>
      </c>
      <c r="I631" s="5">
        <v>0.2</v>
      </c>
    </row>
    <row r="632" spans="2:9" x14ac:dyDescent="0.3">
      <c r="B632" s="99" t="s">
        <v>662</v>
      </c>
      <c r="C632" s="4">
        <v>500</v>
      </c>
      <c r="D632" s="4">
        <v>3</v>
      </c>
      <c r="E632" s="4">
        <v>17</v>
      </c>
      <c r="F632" s="4">
        <v>14</v>
      </c>
      <c r="G632" s="4">
        <v>0.05</v>
      </c>
      <c r="H632" s="4">
        <v>17.649999999999999</v>
      </c>
      <c r="I632" s="5">
        <v>0.01</v>
      </c>
    </row>
    <row r="633" spans="2:9" x14ac:dyDescent="0.3">
      <c r="B633" s="99" t="s">
        <v>662</v>
      </c>
      <c r="C633" s="4">
        <v>500</v>
      </c>
      <c r="D633" s="4">
        <v>4</v>
      </c>
      <c r="E633" s="4">
        <v>17</v>
      </c>
      <c r="F633" s="4">
        <v>13</v>
      </c>
      <c r="G633" s="4">
        <v>0.06</v>
      </c>
      <c r="H633" s="4">
        <v>23.53</v>
      </c>
      <c r="I633" s="5">
        <v>0.06</v>
      </c>
    </row>
    <row r="634" spans="2:9" x14ac:dyDescent="0.3">
      <c r="B634" s="99" t="s">
        <v>662</v>
      </c>
      <c r="C634" s="4">
        <v>500</v>
      </c>
      <c r="D634" s="4">
        <v>2</v>
      </c>
      <c r="E634" s="4">
        <v>16</v>
      </c>
      <c r="F634" s="4">
        <v>14</v>
      </c>
      <c r="G634" s="4">
        <v>7.0000000000000007E-2</v>
      </c>
      <c r="H634" s="4">
        <v>12.5</v>
      </c>
      <c r="I634" s="5">
        <v>-0.1</v>
      </c>
    </row>
    <row r="635" spans="2:9" x14ac:dyDescent="0.3">
      <c r="B635" s="99" t="s">
        <v>662</v>
      </c>
      <c r="C635" s="4">
        <v>500</v>
      </c>
      <c r="D635" s="4">
        <v>2</v>
      </c>
      <c r="E635" s="4">
        <v>17</v>
      </c>
      <c r="F635" s="4">
        <v>15</v>
      </c>
      <c r="G635" s="4">
        <v>0.06</v>
      </c>
      <c r="H635" s="4">
        <v>11.76</v>
      </c>
      <c r="I635" s="5">
        <v>0.39</v>
      </c>
    </row>
    <row r="636" spans="2:9" x14ac:dyDescent="0.3">
      <c r="B636" s="99" t="s">
        <v>662</v>
      </c>
      <c r="C636" s="4">
        <v>500</v>
      </c>
      <c r="D636" s="4">
        <v>3</v>
      </c>
      <c r="E636" s="4">
        <v>16</v>
      </c>
      <c r="F636" s="4">
        <v>13</v>
      </c>
      <c r="G636" s="4">
        <v>0.06</v>
      </c>
      <c r="H636" s="4">
        <v>18.75</v>
      </c>
      <c r="I636" s="5">
        <v>-0.17</v>
      </c>
    </row>
    <row r="637" spans="2:9" x14ac:dyDescent="0.3">
      <c r="B637" s="99" t="s">
        <v>662</v>
      </c>
      <c r="C637" s="4">
        <v>500</v>
      </c>
      <c r="D637" s="4">
        <v>5</v>
      </c>
      <c r="E637" s="4">
        <v>17</v>
      </c>
      <c r="F637" s="4">
        <v>12</v>
      </c>
      <c r="G637" s="4">
        <v>7.0000000000000007E-2</v>
      </c>
      <c r="H637" s="4">
        <v>29.41</v>
      </c>
      <c r="I637" s="5">
        <v>0.23</v>
      </c>
    </row>
    <row r="638" spans="2:9" x14ac:dyDescent="0.3">
      <c r="B638" s="99" t="s">
        <v>662</v>
      </c>
      <c r="C638" s="4">
        <v>500</v>
      </c>
      <c r="D638" s="4">
        <v>0</v>
      </c>
      <c r="E638" s="4">
        <v>17</v>
      </c>
      <c r="F638" s="4">
        <v>17</v>
      </c>
      <c r="G638" s="4">
        <v>1.43</v>
      </c>
      <c r="H638" s="4">
        <v>0</v>
      </c>
      <c r="I638" s="5">
        <v>0.09</v>
      </c>
    </row>
    <row r="639" spans="2:9" x14ac:dyDescent="0.3">
      <c r="B639" s="99" t="s">
        <v>662</v>
      </c>
      <c r="C639" s="4">
        <v>500</v>
      </c>
      <c r="D639" s="4">
        <v>3</v>
      </c>
      <c r="E639" s="4">
        <v>15</v>
      </c>
      <c r="F639" s="4">
        <v>12</v>
      </c>
      <c r="G639" s="4">
        <v>1.3</v>
      </c>
      <c r="H639" s="4">
        <v>20</v>
      </c>
      <c r="I639" s="5">
        <v>0.01</v>
      </c>
    </row>
    <row r="640" spans="2:9" x14ac:dyDescent="0.3">
      <c r="B640" s="99" t="s">
        <v>662</v>
      </c>
      <c r="C640" s="4">
        <v>500</v>
      </c>
      <c r="D640" s="4">
        <v>4</v>
      </c>
      <c r="E640" s="4">
        <v>17</v>
      </c>
      <c r="F640" s="4">
        <v>13</v>
      </c>
      <c r="G640" s="4">
        <v>1.26</v>
      </c>
      <c r="H640" s="4">
        <v>23.53</v>
      </c>
      <c r="I640" s="5">
        <v>0.19</v>
      </c>
    </row>
    <row r="641" spans="2:9" x14ac:dyDescent="0.3">
      <c r="B641" s="99" t="s">
        <v>662</v>
      </c>
      <c r="C641" s="4">
        <v>500</v>
      </c>
      <c r="D641" s="4">
        <v>4</v>
      </c>
      <c r="E641" s="4">
        <v>17</v>
      </c>
      <c r="F641" s="4">
        <v>13</v>
      </c>
      <c r="G641" s="4">
        <v>1.47</v>
      </c>
      <c r="H641" s="4">
        <v>23.53</v>
      </c>
      <c r="I641" s="5">
        <v>0.04</v>
      </c>
    </row>
    <row r="642" spans="2:9" x14ac:dyDescent="0.3">
      <c r="B642" s="99" t="s">
        <v>662</v>
      </c>
      <c r="C642" s="4">
        <v>500</v>
      </c>
      <c r="D642" s="4">
        <v>1</v>
      </c>
      <c r="E642" s="4">
        <v>17</v>
      </c>
      <c r="F642" s="4">
        <v>16</v>
      </c>
      <c r="G642" s="4">
        <v>0.09</v>
      </c>
      <c r="H642" s="4">
        <v>5.88</v>
      </c>
      <c r="I642" s="5">
        <v>0.18</v>
      </c>
    </row>
    <row r="643" spans="2:9" x14ac:dyDescent="0.3">
      <c r="B643" s="99" t="s">
        <v>662</v>
      </c>
      <c r="C643" s="4">
        <v>500</v>
      </c>
      <c r="D643" s="4">
        <v>4</v>
      </c>
      <c r="E643" s="4">
        <v>17</v>
      </c>
      <c r="F643" s="4">
        <v>13</v>
      </c>
      <c r="G643" s="4">
        <v>0.05</v>
      </c>
      <c r="H643" s="4">
        <v>23.53</v>
      </c>
      <c r="I643" s="5">
        <v>0.11</v>
      </c>
    </row>
    <row r="644" spans="2:9" x14ac:dyDescent="0.3">
      <c r="B644" s="99" t="s">
        <v>662</v>
      </c>
      <c r="C644" s="4">
        <v>500</v>
      </c>
      <c r="D644" s="4">
        <v>0</v>
      </c>
      <c r="E644" s="4">
        <v>16</v>
      </c>
      <c r="F644" s="4">
        <v>16</v>
      </c>
      <c r="G644" s="4">
        <v>2.81</v>
      </c>
      <c r="H644" s="4">
        <v>0</v>
      </c>
      <c r="I644" s="5">
        <v>-0.13</v>
      </c>
    </row>
    <row r="645" spans="2:9" x14ac:dyDescent="0.3">
      <c r="B645" s="99" t="s">
        <v>662</v>
      </c>
      <c r="C645" s="4">
        <v>500</v>
      </c>
      <c r="D645" s="4">
        <v>1</v>
      </c>
      <c r="E645" s="4">
        <v>17</v>
      </c>
      <c r="F645" s="4">
        <v>16</v>
      </c>
      <c r="G645" s="4">
        <v>2.11</v>
      </c>
      <c r="H645" s="4">
        <v>5.88</v>
      </c>
      <c r="I645" s="5">
        <v>-7.0000000000000007E-2</v>
      </c>
    </row>
    <row r="646" spans="2:9" x14ac:dyDescent="0.3">
      <c r="B646" s="99" t="s">
        <v>662</v>
      </c>
      <c r="C646" s="4">
        <v>500</v>
      </c>
      <c r="D646" s="4">
        <v>2</v>
      </c>
      <c r="E646" s="4">
        <v>16</v>
      </c>
      <c r="F646" s="4">
        <v>14</v>
      </c>
      <c r="G646" s="4">
        <v>1.84</v>
      </c>
      <c r="H646" s="4">
        <v>12.5</v>
      </c>
      <c r="I646" s="5">
        <v>0.2</v>
      </c>
    </row>
    <row r="647" spans="2:9" x14ac:dyDescent="0.3">
      <c r="B647" s="99" t="s">
        <v>662</v>
      </c>
      <c r="C647" s="4">
        <v>500</v>
      </c>
      <c r="D647" s="4">
        <v>1</v>
      </c>
      <c r="E647" s="4">
        <v>16</v>
      </c>
      <c r="F647" s="4">
        <v>15</v>
      </c>
      <c r="G647" s="4">
        <v>2.4</v>
      </c>
      <c r="H647" s="4">
        <v>6.25</v>
      </c>
      <c r="I647" s="5">
        <v>0.06</v>
      </c>
    </row>
    <row r="648" spans="2:9" x14ac:dyDescent="0.3">
      <c r="B648" s="99" t="s">
        <v>662</v>
      </c>
      <c r="C648" s="4">
        <v>500</v>
      </c>
      <c r="D648" s="4">
        <v>0</v>
      </c>
      <c r="E648" s="4">
        <v>17</v>
      </c>
      <c r="F648" s="4">
        <v>17</v>
      </c>
      <c r="G648" s="4">
        <v>1.96</v>
      </c>
      <c r="H648" s="4">
        <v>0</v>
      </c>
      <c r="I648" s="5">
        <v>0.04</v>
      </c>
    </row>
    <row r="649" spans="2:9" x14ac:dyDescent="0.3">
      <c r="B649" s="99" t="s">
        <v>662</v>
      </c>
      <c r="C649" s="4">
        <v>500</v>
      </c>
      <c r="D649" s="4">
        <v>2</v>
      </c>
      <c r="E649" s="4">
        <v>17</v>
      </c>
      <c r="F649" s="4">
        <v>15</v>
      </c>
      <c r="G649" s="4">
        <v>1.9</v>
      </c>
      <c r="H649" s="4">
        <v>11.76</v>
      </c>
      <c r="I649" s="5">
        <v>0.2</v>
      </c>
    </row>
    <row r="650" spans="2:9" x14ac:dyDescent="0.3">
      <c r="B650" s="99" t="s">
        <v>662</v>
      </c>
      <c r="C650" s="4">
        <v>500</v>
      </c>
      <c r="D650" s="4">
        <v>4</v>
      </c>
      <c r="E650" s="4">
        <v>17</v>
      </c>
      <c r="F650" s="4">
        <v>13</v>
      </c>
      <c r="G650" s="4">
        <v>1.98</v>
      </c>
      <c r="H650" s="4">
        <v>23.53</v>
      </c>
      <c r="I650" s="5">
        <v>-0.31</v>
      </c>
    </row>
    <row r="651" spans="2:9" x14ac:dyDescent="0.3">
      <c r="B651" s="99" t="s">
        <v>662</v>
      </c>
      <c r="C651" s="4">
        <v>500</v>
      </c>
      <c r="D651" s="4">
        <v>2</v>
      </c>
      <c r="E651" s="4">
        <v>17</v>
      </c>
      <c r="F651" s="4">
        <v>15</v>
      </c>
      <c r="G651" s="4">
        <v>1.71</v>
      </c>
      <c r="H651" s="4">
        <v>11.76</v>
      </c>
      <c r="I651" s="5">
        <v>-0.18</v>
      </c>
    </row>
    <row r="652" spans="2:9" x14ac:dyDescent="0.3">
      <c r="B652" s="99" t="s">
        <v>662</v>
      </c>
      <c r="C652" s="4">
        <v>500</v>
      </c>
      <c r="D652" s="4">
        <v>3</v>
      </c>
      <c r="E652" s="4">
        <v>17</v>
      </c>
      <c r="F652" s="4">
        <v>14</v>
      </c>
      <c r="G652" s="4">
        <v>0.97</v>
      </c>
      <c r="H652" s="4">
        <v>17.649999999999999</v>
      </c>
      <c r="I652" s="5">
        <v>0.46</v>
      </c>
    </row>
    <row r="653" spans="2:9" x14ac:dyDescent="0.3">
      <c r="B653" s="99" t="s">
        <v>662</v>
      </c>
      <c r="C653" s="4">
        <v>500</v>
      </c>
      <c r="D653" s="4">
        <v>3</v>
      </c>
      <c r="E653" s="4">
        <v>17</v>
      </c>
      <c r="F653" s="4">
        <v>14</v>
      </c>
      <c r="G653" s="4">
        <v>0.78</v>
      </c>
      <c r="H653" s="4">
        <v>17.649999999999999</v>
      </c>
      <c r="I653" s="5">
        <v>0.48</v>
      </c>
    </row>
    <row r="654" spans="2:9" x14ac:dyDescent="0.3">
      <c r="B654" s="99" t="s">
        <v>662</v>
      </c>
      <c r="C654" s="4">
        <v>500</v>
      </c>
      <c r="D654" s="4">
        <v>1</v>
      </c>
      <c r="E654" s="4">
        <v>17</v>
      </c>
      <c r="F654" s="4">
        <v>16</v>
      </c>
      <c r="G654" s="4">
        <v>3.41</v>
      </c>
      <c r="H654" s="4">
        <v>5.88</v>
      </c>
      <c r="I654" s="5">
        <v>0.03</v>
      </c>
    </row>
    <row r="655" spans="2:9" x14ac:dyDescent="0.3">
      <c r="B655" s="99" t="s">
        <v>662</v>
      </c>
      <c r="C655" s="4">
        <v>500</v>
      </c>
      <c r="D655" s="4">
        <v>2</v>
      </c>
      <c r="E655" s="4">
        <v>17</v>
      </c>
      <c r="F655" s="4">
        <v>15</v>
      </c>
      <c r="G655" s="4">
        <v>3.03</v>
      </c>
      <c r="H655" s="4">
        <v>11.76</v>
      </c>
      <c r="I655" s="5">
        <v>0.15</v>
      </c>
    </row>
    <row r="656" spans="2:9" x14ac:dyDescent="0.3">
      <c r="B656" s="99" t="s">
        <v>662</v>
      </c>
      <c r="C656" s="4">
        <v>500</v>
      </c>
      <c r="D656" s="4">
        <v>0</v>
      </c>
      <c r="E656" s="4">
        <v>17</v>
      </c>
      <c r="F656" s="4">
        <v>16</v>
      </c>
      <c r="G656" s="4">
        <v>3.55</v>
      </c>
      <c r="H656" s="4">
        <v>0</v>
      </c>
      <c r="I656" s="5">
        <v>-0.09</v>
      </c>
    </row>
    <row r="657" spans="2:9" x14ac:dyDescent="0.3">
      <c r="B657" s="99" t="s">
        <v>662</v>
      </c>
      <c r="C657" s="4">
        <v>500</v>
      </c>
      <c r="D657" s="4">
        <v>1</v>
      </c>
      <c r="E657" s="4">
        <v>15</v>
      </c>
      <c r="F657" s="4">
        <v>14</v>
      </c>
      <c r="G657" s="4">
        <v>3.8</v>
      </c>
      <c r="H657" s="4">
        <v>6.67</v>
      </c>
      <c r="I657" s="5">
        <v>0.12</v>
      </c>
    </row>
    <row r="658" spans="2:9" x14ac:dyDescent="0.3">
      <c r="B658" s="99" t="s">
        <v>662</v>
      </c>
      <c r="C658" s="4">
        <v>500</v>
      </c>
      <c r="D658" s="4">
        <v>1</v>
      </c>
      <c r="E658" s="4">
        <v>15</v>
      </c>
      <c r="F658" s="4">
        <v>14</v>
      </c>
      <c r="G658" s="4">
        <v>1.62</v>
      </c>
      <c r="H658" s="4">
        <v>6.67</v>
      </c>
      <c r="I658" s="5">
        <v>0.11</v>
      </c>
    </row>
    <row r="659" spans="2:9" x14ac:dyDescent="0.3">
      <c r="B659" s="99" t="s">
        <v>662</v>
      </c>
      <c r="C659" s="4">
        <v>500</v>
      </c>
      <c r="D659" s="4">
        <v>1</v>
      </c>
      <c r="E659" s="4">
        <v>17</v>
      </c>
      <c r="F659" s="4">
        <v>16</v>
      </c>
      <c r="G659" s="4">
        <v>1.82</v>
      </c>
      <c r="H659" s="4">
        <v>5.88</v>
      </c>
      <c r="I659" s="5">
        <v>0.09</v>
      </c>
    </row>
    <row r="660" spans="2:9" x14ac:dyDescent="0.3">
      <c r="B660" s="99" t="s">
        <v>662</v>
      </c>
      <c r="C660" s="4">
        <v>500</v>
      </c>
      <c r="D660" s="4">
        <v>2</v>
      </c>
      <c r="E660" s="4">
        <v>17</v>
      </c>
      <c r="F660" s="4">
        <v>15</v>
      </c>
      <c r="G660" s="4">
        <v>2.29</v>
      </c>
      <c r="H660" s="4">
        <v>11.76</v>
      </c>
      <c r="I660" s="5">
        <v>0.01</v>
      </c>
    </row>
    <row r="661" spans="2:9" x14ac:dyDescent="0.3">
      <c r="B661" s="99" t="s">
        <v>662</v>
      </c>
      <c r="C661" s="4">
        <v>500</v>
      </c>
      <c r="D661" s="4">
        <v>1</v>
      </c>
      <c r="E661" s="4">
        <v>17</v>
      </c>
      <c r="F661" s="4">
        <v>16</v>
      </c>
      <c r="G661" s="4">
        <v>2.86</v>
      </c>
      <c r="H661" s="4">
        <v>5.88</v>
      </c>
      <c r="I661" s="5">
        <v>-0.06</v>
      </c>
    </row>
    <row r="662" spans="2:9" x14ac:dyDescent="0.3">
      <c r="B662" s="99" t="s">
        <v>662</v>
      </c>
      <c r="C662" s="4">
        <v>500</v>
      </c>
      <c r="D662" s="4">
        <v>5</v>
      </c>
      <c r="E662" s="4">
        <v>17</v>
      </c>
      <c r="F662" s="4">
        <v>12</v>
      </c>
      <c r="G662" s="4">
        <v>1.1299999999999999</v>
      </c>
      <c r="H662" s="4">
        <v>29.41</v>
      </c>
      <c r="I662" s="5">
        <v>0.28999999999999998</v>
      </c>
    </row>
    <row r="663" spans="2:9" x14ac:dyDescent="0.3">
      <c r="B663" s="99" t="s">
        <v>662</v>
      </c>
      <c r="C663" s="4">
        <v>500</v>
      </c>
      <c r="D663" s="4">
        <v>3</v>
      </c>
      <c r="E663" s="4">
        <v>16</v>
      </c>
      <c r="F663" s="4">
        <v>13</v>
      </c>
      <c r="G663" s="4">
        <v>1.29</v>
      </c>
      <c r="H663" s="4">
        <v>18.75</v>
      </c>
      <c r="I663" s="5">
        <v>0.03</v>
      </c>
    </row>
    <row r="664" spans="2:9" x14ac:dyDescent="0.3">
      <c r="B664" s="99" t="s">
        <v>662</v>
      </c>
      <c r="C664" s="4">
        <v>500</v>
      </c>
      <c r="D664" s="4">
        <v>0</v>
      </c>
      <c r="E664" s="4">
        <v>17</v>
      </c>
      <c r="F664" s="4">
        <v>17</v>
      </c>
      <c r="G664" s="4">
        <v>1.63</v>
      </c>
      <c r="H664" s="4">
        <v>0</v>
      </c>
      <c r="I664" s="5">
        <v>0.08</v>
      </c>
    </row>
    <row r="665" spans="2:9" x14ac:dyDescent="0.3">
      <c r="B665" s="99" t="s">
        <v>662</v>
      </c>
      <c r="C665" s="4">
        <v>500</v>
      </c>
      <c r="D665" s="4">
        <v>1</v>
      </c>
      <c r="E665" s="4">
        <v>17</v>
      </c>
      <c r="F665" s="4">
        <v>16</v>
      </c>
      <c r="G665" s="4">
        <v>1.79</v>
      </c>
      <c r="H665" s="4">
        <v>5.88</v>
      </c>
      <c r="I665" s="5">
        <v>0.01</v>
      </c>
    </row>
    <row r="666" spans="2:9" x14ac:dyDescent="0.3">
      <c r="B666" s="99" t="s">
        <v>662</v>
      </c>
      <c r="C666" s="4">
        <v>500</v>
      </c>
      <c r="D666" s="4">
        <v>1</v>
      </c>
      <c r="E666" s="4">
        <v>17</v>
      </c>
      <c r="F666" s="4">
        <v>16</v>
      </c>
      <c r="G666" s="4">
        <v>1.58</v>
      </c>
      <c r="H666" s="4">
        <v>5.88</v>
      </c>
      <c r="I666" s="5">
        <v>-0.03</v>
      </c>
    </row>
    <row r="667" spans="2:9" x14ac:dyDescent="0.3">
      <c r="B667" s="99" t="s">
        <v>662</v>
      </c>
      <c r="C667" s="4">
        <v>500</v>
      </c>
      <c r="D667" s="4">
        <v>1</v>
      </c>
      <c r="E667" s="4">
        <v>17</v>
      </c>
      <c r="F667" s="4">
        <v>16</v>
      </c>
      <c r="G667" s="4">
        <v>1.25</v>
      </c>
      <c r="H667" s="4">
        <v>5.88</v>
      </c>
      <c r="I667" s="5">
        <v>-0.01</v>
      </c>
    </row>
    <row r="668" spans="2:9" x14ac:dyDescent="0.3">
      <c r="B668" s="99" t="s">
        <v>662</v>
      </c>
      <c r="C668" s="4">
        <v>500</v>
      </c>
      <c r="D668" s="4">
        <v>0</v>
      </c>
      <c r="E668" s="4">
        <v>17</v>
      </c>
      <c r="F668" s="4">
        <v>17</v>
      </c>
      <c r="G668" s="4">
        <v>1.39</v>
      </c>
      <c r="H668" s="4">
        <v>0</v>
      </c>
      <c r="I668" s="5">
        <v>-0.08</v>
      </c>
    </row>
    <row r="669" spans="2:9" x14ac:dyDescent="0.3">
      <c r="B669" s="99" t="s">
        <v>662</v>
      </c>
      <c r="C669" s="4">
        <v>500</v>
      </c>
      <c r="D669" s="4">
        <v>4</v>
      </c>
      <c r="E669" s="4">
        <v>14</v>
      </c>
      <c r="F669" s="4">
        <v>10</v>
      </c>
      <c r="G669" s="4">
        <v>0.77</v>
      </c>
      <c r="H669" s="4">
        <v>28.57</v>
      </c>
      <c r="I669" s="5">
        <v>0.48</v>
      </c>
    </row>
    <row r="670" spans="2:9" x14ac:dyDescent="0.3">
      <c r="B670" s="99" t="s">
        <v>662</v>
      </c>
      <c r="C670" s="4">
        <v>500</v>
      </c>
      <c r="D670" s="4">
        <v>3</v>
      </c>
      <c r="E670" s="4">
        <v>16</v>
      </c>
      <c r="F670" s="4">
        <v>13</v>
      </c>
      <c r="G670" s="4">
        <v>1.52</v>
      </c>
      <c r="H670" s="4">
        <v>18.75</v>
      </c>
      <c r="I670" s="5">
        <v>7.0000000000000007E-2</v>
      </c>
    </row>
    <row r="671" spans="2:9" x14ac:dyDescent="0.3">
      <c r="B671" s="99" t="s">
        <v>662</v>
      </c>
      <c r="C671" s="4">
        <v>500</v>
      </c>
      <c r="D671" s="4">
        <v>2</v>
      </c>
      <c r="E671" s="4">
        <v>17</v>
      </c>
      <c r="F671" s="4">
        <v>15</v>
      </c>
      <c r="G671" s="4">
        <v>1.38</v>
      </c>
      <c r="H671" s="4">
        <v>11.76</v>
      </c>
      <c r="I671" s="5">
        <v>0.02</v>
      </c>
    </row>
    <row r="672" spans="2:9" x14ac:dyDescent="0.3">
      <c r="B672" s="99" t="s">
        <v>662</v>
      </c>
      <c r="C672" s="4">
        <v>500</v>
      </c>
      <c r="D672" s="4">
        <v>1</v>
      </c>
      <c r="E672" s="4">
        <v>17</v>
      </c>
      <c r="F672" s="4">
        <v>16</v>
      </c>
      <c r="G672" s="4">
        <v>1.1000000000000001</v>
      </c>
      <c r="H672" s="4">
        <v>5.88</v>
      </c>
      <c r="I672" s="5">
        <v>0.11</v>
      </c>
    </row>
    <row r="673" spans="2:9" x14ac:dyDescent="0.3">
      <c r="B673" s="99" t="s">
        <v>662</v>
      </c>
      <c r="C673" s="4">
        <v>500</v>
      </c>
      <c r="D673" s="4">
        <v>1</v>
      </c>
      <c r="E673" s="4">
        <v>17</v>
      </c>
      <c r="F673" s="4">
        <v>16</v>
      </c>
      <c r="G673" s="4">
        <v>1.1399999999999999</v>
      </c>
      <c r="H673" s="4">
        <v>5.88</v>
      </c>
      <c r="I673" s="5">
        <v>0.06</v>
      </c>
    </row>
    <row r="674" spans="2:9" x14ac:dyDescent="0.3">
      <c r="B674" s="99" t="s">
        <v>662</v>
      </c>
      <c r="C674" s="4">
        <v>500</v>
      </c>
      <c r="D674" s="4">
        <v>1</v>
      </c>
      <c r="E674" s="4">
        <v>17</v>
      </c>
      <c r="F674" s="4">
        <v>16</v>
      </c>
      <c r="G674" s="4">
        <v>1.23</v>
      </c>
      <c r="H674" s="4">
        <v>5.88</v>
      </c>
      <c r="I674" s="5">
        <v>0.05</v>
      </c>
    </row>
    <row r="675" spans="2:9" x14ac:dyDescent="0.3">
      <c r="B675" s="99" t="s">
        <v>662</v>
      </c>
      <c r="C675" s="4">
        <v>500</v>
      </c>
      <c r="D675" s="4">
        <v>0</v>
      </c>
      <c r="E675" s="4">
        <v>18</v>
      </c>
      <c r="F675" s="4">
        <v>18</v>
      </c>
      <c r="G675" s="4">
        <v>1.17</v>
      </c>
      <c r="H675" s="4">
        <v>0</v>
      </c>
      <c r="I675" s="5">
        <v>-0.13</v>
      </c>
    </row>
    <row r="676" spans="2:9" x14ac:dyDescent="0.3">
      <c r="B676" s="99" t="s">
        <v>662</v>
      </c>
      <c r="C676" s="4">
        <v>500</v>
      </c>
      <c r="D676" s="4">
        <v>1</v>
      </c>
      <c r="E676" s="4">
        <v>17</v>
      </c>
      <c r="F676" s="4">
        <v>16</v>
      </c>
      <c r="G676" s="4">
        <v>1.71</v>
      </c>
      <c r="H676" s="4">
        <v>5.88</v>
      </c>
      <c r="I676" s="5">
        <v>0.06</v>
      </c>
    </row>
    <row r="677" spans="2:9" x14ac:dyDescent="0.3">
      <c r="B677" s="99" t="s">
        <v>662</v>
      </c>
      <c r="C677" s="4">
        <v>500</v>
      </c>
      <c r="D677" s="4">
        <v>1</v>
      </c>
      <c r="E677" s="4">
        <v>17</v>
      </c>
      <c r="F677" s="4">
        <v>16</v>
      </c>
      <c r="G677" s="4">
        <v>2.0099999999999998</v>
      </c>
      <c r="H677" s="4">
        <v>5.88</v>
      </c>
      <c r="I677" s="5">
        <v>-0.08</v>
      </c>
    </row>
    <row r="678" spans="2:9" x14ac:dyDescent="0.3">
      <c r="B678" s="99" t="s">
        <v>662</v>
      </c>
      <c r="C678" s="4">
        <v>500</v>
      </c>
      <c r="D678" s="4">
        <v>0</v>
      </c>
      <c r="E678" s="4">
        <v>17</v>
      </c>
      <c r="F678" s="4">
        <v>17</v>
      </c>
      <c r="G678" s="4">
        <v>1.31</v>
      </c>
      <c r="H678" s="4">
        <v>0</v>
      </c>
      <c r="I678" s="5">
        <v>0.02</v>
      </c>
    </row>
    <row r="679" spans="2:9" x14ac:dyDescent="0.3">
      <c r="B679" s="99" t="s">
        <v>662</v>
      </c>
      <c r="C679" s="4">
        <v>500</v>
      </c>
      <c r="D679" s="4">
        <v>0</v>
      </c>
      <c r="E679" s="4">
        <v>17</v>
      </c>
      <c r="F679" s="4">
        <v>17</v>
      </c>
      <c r="G679" s="4">
        <v>1.32</v>
      </c>
      <c r="H679" s="4">
        <v>0</v>
      </c>
      <c r="I679" s="5">
        <v>0.06</v>
      </c>
    </row>
    <row r="680" spans="2:9" x14ac:dyDescent="0.3">
      <c r="B680" s="99" t="s">
        <v>662</v>
      </c>
      <c r="C680" s="4">
        <v>500</v>
      </c>
      <c r="D680" s="4">
        <v>1</v>
      </c>
      <c r="E680" s="4">
        <v>17</v>
      </c>
      <c r="F680" s="4">
        <v>16</v>
      </c>
      <c r="G680" s="4">
        <v>1.33</v>
      </c>
      <c r="H680" s="4">
        <v>5.88</v>
      </c>
      <c r="I680" s="5">
        <v>0.09</v>
      </c>
    </row>
    <row r="681" spans="2:9" x14ac:dyDescent="0.3">
      <c r="B681" s="99" t="s">
        <v>662</v>
      </c>
      <c r="C681" s="4">
        <v>500</v>
      </c>
      <c r="D681" s="4">
        <v>0</v>
      </c>
      <c r="E681" s="4">
        <v>17</v>
      </c>
      <c r="F681" s="4">
        <v>17</v>
      </c>
      <c r="G681" s="4">
        <v>1.1200000000000001</v>
      </c>
      <c r="H681" s="4">
        <v>0</v>
      </c>
      <c r="I681" s="5">
        <v>0.17</v>
      </c>
    </row>
    <row r="682" spans="2:9" x14ac:dyDescent="0.3">
      <c r="B682" s="99" t="s">
        <v>662</v>
      </c>
      <c r="C682" s="4">
        <v>500</v>
      </c>
      <c r="D682" s="4">
        <v>3</v>
      </c>
      <c r="E682" s="4">
        <v>17</v>
      </c>
      <c r="F682" s="4">
        <v>14</v>
      </c>
      <c r="G682" s="4">
        <v>1.42</v>
      </c>
      <c r="H682" s="4">
        <v>17.649999999999999</v>
      </c>
      <c r="I682" s="5">
        <v>0.2</v>
      </c>
    </row>
    <row r="683" spans="2:9" x14ac:dyDescent="0.3">
      <c r="B683" s="99" t="s">
        <v>662</v>
      </c>
      <c r="C683" s="4">
        <v>500</v>
      </c>
      <c r="D683" s="4">
        <v>2</v>
      </c>
      <c r="E683" s="4">
        <v>16</v>
      </c>
      <c r="F683" s="4">
        <v>14</v>
      </c>
      <c r="G683" s="4">
        <v>1.31</v>
      </c>
      <c r="H683" s="4">
        <v>12.5</v>
      </c>
      <c r="I683" s="5">
        <v>-0.18</v>
      </c>
    </row>
    <row r="684" spans="2:9" x14ac:dyDescent="0.3">
      <c r="B684" s="99" t="s">
        <v>662</v>
      </c>
      <c r="C684" s="4">
        <v>500</v>
      </c>
      <c r="D684" s="4">
        <v>1</v>
      </c>
      <c r="E684" s="4">
        <v>16</v>
      </c>
      <c r="F684" s="4">
        <v>15</v>
      </c>
      <c r="G684" s="4">
        <v>0.64</v>
      </c>
      <c r="H684" s="4">
        <v>6.25</v>
      </c>
      <c r="I684" s="5">
        <v>0</v>
      </c>
    </row>
    <row r="685" spans="2:9" x14ac:dyDescent="0.3">
      <c r="B685" s="99" t="s">
        <v>662</v>
      </c>
      <c r="C685" s="4">
        <v>100</v>
      </c>
      <c r="D685" s="4">
        <v>5</v>
      </c>
      <c r="E685" s="4">
        <v>17</v>
      </c>
      <c r="F685" s="4">
        <v>12</v>
      </c>
      <c r="G685" s="4">
        <v>1.1299999999999999</v>
      </c>
      <c r="H685" s="4">
        <v>29.41</v>
      </c>
      <c r="I685" s="5">
        <v>0.28999999999999998</v>
      </c>
    </row>
    <row r="686" spans="2:9" x14ac:dyDescent="0.3">
      <c r="B686" s="99" t="s">
        <v>662</v>
      </c>
      <c r="C686" s="4">
        <v>100</v>
      </c>
      <c r="D686" s="4">
        <v>3</v>
      </c>
      <c r="E686" s="4">
        <v>16</v>
      </c>
      <c r="F686" s="4">
        <v>13</v>
      </c>
      <c r="G686" s="4">
        <v>1.29</v>
      </c>
      <c r="H686" s="4">
        <v>18.75</v>
      </c>
      <c r="I686" s="5">
        <v>0.03</v>
      </c>
    </row>
    <row r="687" spans="2:9" x14ac:dyDescent="0.3">
      <c r="B687" s="99" t="s">
        <v>662</v>
      </c>
      <c r="C687" s="4">
        <v>100</v>
      </c>
      <c r="D687" s="4">
        <v>0</v>
      </c>
      <c r="E687" s="4">
        <v>17</v>
      </c>
      <c r="F687" s="4">
        <v>16</v>
      </c>
      <c r="G687" s="4">
        <v>3.55</v>
      </c>
      <c r="H687" s="4">
        <v>0</v>
      </c>
      <c r="I687" s="5">
        <v>-0.09</v>
      </c>
    </row>
    <row r="688" spans="2:9" x14ac:dyDescent="0.3">
      <c r="B688" s="99" t="s">
        <v>662</v>
      </c>
      <c r="C688" s="4">
        <v>100</v>
      </c>
      <c r="D688" s="4">
        <v>1</v>
      </c>
      <c r="E688" s="4">
        <v>15</v>
      </c>
      <c r="F688" s="4">
        <v>14</v>
      </c>
      <c r="G688" s="4">
        <v>3.8</v>
      </c>
      <c r="H688" s="4">
        <v>6.67</v>
      </c>
      <c r="I688" s="5">
        <v>0.12</v>
      </c>
    </row>
    <row r="689" spans="2:9" x14ac:dyDescent="0.3">
      <c r="B689" s="99" t="s">
        <v>662</v>
      </c>
      <c r="C689" s="4">
        <v>100</v>
      </c>
      <c r="D689" s="4">
        <v>1</v>
      </c>
      <c r="E689" s="4">
        <v>15</v>
      </c>
      <c r="F689" s="4">
        <v>14</v>
      </c>
      <c r="G689" s="4">
        <v>1.62</v>
      </c>
      <c r="H689" s="4">
        <v>6.67</v>
      </c>
      <c r="I689" s="5">
        <v>0.11</v>
      </c>
    </row>
    <row r="690" spans="2:9" x14ac:dyDescent="0.3">
      <c r="B690" s="99" t="s">
        <v>662</v>
      </c>
      <c r="C690" s="4">
        <v>100</v>
      </c>
      <c r="D690" s="4">
        <v>1</v>
      </c>
      <c r="E690" s="4">
        <v>17</v>
      </c>
      <c r="F690" s="4">
        <v>16</v>
      </c>
      <c r="G690" s="4">
        <v>1.82</v>
      </c>
      <c r="H690" s="4">
        <v>5.88</v>
      </c>
      <c r="I690" s="5">
        <v>0.09</v>
      </c>
    </row>
    <row r="691" spans="2:9" x14ac:dyDescent="0.3">
      <c r="B691" s="99" t="s">
        <v>662</v>
      </c>
      <c r="C691" s="4">
        <v>500</v>
      </c>
      <c r="D691" s="4">
        <v>1</v>
      </c>
      <c r="E691" s="4">
        <v>17</v>
      </c>
      <c r="F691" s="4">
        <v>8</v>
      </c>
      <c r="G691" s="4">
        <v>0.61</v>
      </c>
      <c r="H691" s="4">
        <v>5.88</v>
      </c>
      <c r="I691" s="5">
        <v>0.08</v>
      </c>
    </row>
    <row r="692" spans="2:9" x14ac:dyDescent="0.3">
      <c r="B692" s="99" t="s">
        <v>662</v>
      </c>
      <c r="C692" s="4">
        <v>500</v>
      </c>
      <c r="D692" s="4">
        <v>0</v>
      </c>
      <c r="E692" s="4">
        <v>17</v>
      </c>
      <c r="F692" s="4">
        <v>8</v>
      </c>
      <c r="G692" s="4">
        <v>0.61</v>
      </c>
      <c r="H692" s="4">
        <v>0</v>
      </c>
      <c r="I692" s="5">
        <v>0.09</v>
      </c>
    </row>
    <row r="693" spans="2:9" x14ac:dyDescent="0.3">
      <c r="B693" s="99" t="s">
        <v>818</v>
      </c>
      <c r="C693" s="4">
        <v>500</v>
      </c>
      <c r="D693" s="4">
        <v>16</v>
      </c>
      <c r="E693" s="4">
        <v>17</v>
      </c>
      <c r="F693" s="4">
        <v>1</v>
      </c>
      <c r="G693" s="4">
        <v>0.45</v>
      </c>
      <c r="H693" s="4">
        <v>94.12</v>
      </c>
      <c r="I693" s="5">
        <v>0.9</v>
      </c>
    </row>
    <row r="694" spans="2:9" x14ac:dyDescent="0.3">
      <c r="B694" s="99" t="s">
        <v>818</v>
      </c>
      <c r="C694" s="4">
        <v>500</v>
      </c>
      <c r="D694" s="4">
        <v>13</v>
      </c>
      <c r="E694" s="4">
        <v>15</v>
      </c>
      <c r="F694" s="4">
        <v>2</v>
      </c>
      <c r="G694" s="4">
        <v>0.16</v>
      </c>
      <c r="H694" s="4">
        <v>86.67</v>
      </c>
      <c r="I694" s="5">
        <v>0.94</v>
      </c>
    </row>
    <row r="695" spans="2:9" x14ac:dyDescent="0.3">
      <c r="B695" s="99" t="s">
        <v>818</v>
      </c>
      <c r="C695" s="4">
        <v>500</v>
      </c>
      <c r="D695" s="4">
        <v>16</v>
      </c>
      <c r="E695" s="4">
        <v>17</v>
      </c>
      <c r="F695" s="4">
        <v>1</v>
      </c>
      <c r="G695" s="4">
        <v>0.16</v>
      </c>
      <c r="H695" s="4">
        <v>94.12</v>
      </c>
      <c r="I695" s="5">
        <v>0.98</v>
      </c>
    </row>
    <row r="696" spans="2:9" x14ac:dyDescent="0.3">
      <c r="B696" s="99" t="s">
        <v>818</v>
      </c>
      <c r="C696" s="4">
        <v>500</v>
      </c>
      <c r="D696" s="4">
        <v>12</v>
      </c>
      <c r="E696" s="4">
        <v>17</v>
      </c>
      <c r="F696" s="4">
        <v>5</v>
      </c>
      <c r="G696" s="4">
        <v>0.24</v>
      </c>
      <c r="H696" s="4">
        <v>70.59</v>
      </c>
      <c r="I696" s="5">
        <v>0.73</v>
      </c>
    </row>
    <row r="697" spans="2:9" x14ac:dyDescent="0.3">
      <c r="B697" s="99" t="s">
        <v>818</v>
      </c>
      <c r="C697" s="4">
        <v>500</v>
      </c>
      <c r="D697" s="4">
        <v>9</v>
      </c>
      <c r="E697" s="4">
        <v>17</v>
      </c>
      <c r="F697" s="4">
        <v>7</v>
      </c>
      <c r="G697" s="4">
        <v>0.14000000000000001</v>
      </c>
      <c r="H697" s="4">
        <v>52.94</v>
      </c>
      <c r="I697" s="5">
        <v>0.89</v>
      </c>
    </row>
    <row r="698" spans="2:9" x14ac:dyDescent="0.3">
      <c r="B698" s="99" t="s">
        <v>818</v>
      </c>
      <c r="C698" s="4">
        <v>500</v>
      </c>
      <c r="D698" s="4">
        <v>12</v>
      </c>
      <c r="E698" s="4">
        <v>17</v>
      </c>
      <c r="F698" s="4">
        <v>5</v>
      </c>
      <c r="G698" s="4">
        <v>0</v>
      </c>
      <c r="H698" s="4">
        <v>70.59</v>
      </c>
      <c r="I698" s="5">
        <v>0.89</v>
      </c>
    </row>
    <row r="699" spans="2:9" x14ac:dyDescent="0.3">
      <c r="B699" s="99" t="s">
        <v>818</v>
      </c>
      <c r="C699" s="4">
        <v>500</v>
      </c>
      <c r="D699" s="4">
        <v>13</v>
      </c>
      <c r="E699" s="4">
        <v>17</v>
      </c>
      <c r="F699" s="4">
        <v>4</v>
      </c>
      <c r="G699" s="4">
        <v>0.18</v>
      </c>
      <c r="H699" s="4">
        <v>76.47</v>
      </c>
      <c r="I699" s="5">
        <v>0.86</v>
      </c>
    </row>
    <row r="700" spans="2:9" ht="15" thickBot="1" x14ac:dyDescent="0.35">
      <c r="B700" s="100" t="s">
        <v>818</v>
      </c>
      <c r="C700" s="6">
        <v>500</v>
      </c>
      <c r="D700" s="6">
        <v>10</v>
      </c>
      <c r="E700" s="6">
        <v>17</v>
      </c>
      <c r="F700" s="6">
        <v>7</v>
      </c>
      <c r="G700" s="6">
        <v>0.14000000000000001</v>
      </c>
      <c r="H700" s="6">
        <v>58.82</v>
      </c>
      <c r="I700" s="7">
        <v>0.78</v>
      </c>
    </row>
  </sheetData>
  <mergeCells count="1">
    <mergeCell ref="B2:I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59"/>
  <sheetViews>
    <sheetView zoomScale="70" zoomScaleNormal="70" workbookViewId="0">
      <selection activeCell="F15" sqref="F15"/>
    </sheetView>
  </sheetViews>
  <sheetFormatPr defaultColWidth="9.109375" defaultRowHeight="14.4" x14ac:dyDescent="0.3"/>
  <cols>
    <col min="1" max="1" width="4.6640625" customWidth="1"/>
    <col min="2" max="2" width="23.5546875" bestFit="1" customWidth="1"/>
    <col min="3" max="4" width="16.6640625" bestFit="1" customWidth="1"/>
    <col min="5" max="5" width="11.5546875" bestFit="1" customWidth="1"/>
    <col min="6" max="6" width="9.109375" bestFit="1" customWidth="1"/>
    <col min="7" max="7" width="15.88671875" bestFit="1" customWidth="1"/>
    <col min="8" max="8" width="16" bestFit="1" customWidth="1"/>
    <col min="9" max="9" width="9.5546875" bestFit="1" customWidth="1"/>
    <col min="10" max="10" width="9.6640625" bestFit="1" customWidth="1"/>
  </cols>
  <sheetData>
    <row r="2" spans="2:10" s="302" customFormat="1" ht="18" x14ac:dyDescent="0.35">
      <c r="B2" s="483" t="s">
        <v>1214</v>
      </c>
      <c r="C2" s="483"/>
      <c r="D2" s="483"/>
      <c r="E2" s="483"/>
      <c r="F2" s="483"/>
      <c r="G2" s="483"/>
      <c r="H2" s="483"/>
      <c r="I2" s="483"/>
      <c r="J2" s="483"/>
    </row>
    <row r="3" spans="2:10" s="8" customFormat="1" ht="15" thickBot="1" x14ac:dyDescent="0.35"/>
    <row r="4" spans="2:10" x14ac:dyDescent="0.3">
      <c r="B4" s="482" t="s">
        <v>821</v>
      </c>
      <c r="C4" s="478"/>
      <c r="D4" s="478"/>
      <c r="E4" s="478"/>
      <c r="F4" s="479"/>
      <c r="G4" s="480" t="s">
        <v>822</v>
      </c>
      <c r="H4" s="481"/>
      <c r="I4" s="478"/>
      <c r="J4" s="479"/>
    </row>
    <row r="5" spans="2:10" s="143" customFormat="1" ht="29.4" thickBot="1" x14ac:dyDescent="0.35">
      <c r="B5" s="140" t="s">
        <v>825</v>
      </c>
      <c r="C5" s="141" t="s">
        <v>823</v>
      </c>
      <c r="D5" s="141" t="s">
        <v>824</v>
      </c>
      <c r="E5" s="142" t="s">
        <v>1059</v>
      </c>
      <c r="F5" s="144" t="s">
        <v>1060</v>
      </c>
      <c r="G5" s="145" t="s">
        <v>1061</v>
      </c>
      <c r="H5" s="146" t="s">
        <v>1062</v>
      </c>
      <c r="I5" s="142" t="s">
        <v>1063</v>
      </c>
      <c r="J5" s="144" t="s">
        <v>1064</v>
      </c>
    </row>
    <row r="6" spans="2:10" x14ac:dyDescent="0.3">
      <c r="B6" s="102" t="s">
        <v>826</v>
      </c>
      <c r="C6" s="103" t="s">
        <v>662</v>
      </c>
      <c r="D6" s="103" t="s">
        <v>827</v>
      </c>
      <c r="E6" s="104">
        <v>41491</v>
      </c>
      <c r="F6" s="105">
        <v>1</v>
      </c>
      <c r="G6" s="106">
        <v>315.2</v>
      </c>
      <c r="H6" s="109">
        <v>364.6</v>
      </c>
      <c r="I6" s="103">
        <v>3</v>
      </c>
      <c r="J6" s="105" t="s">
        <v>829</v>
      </c>
    </row>
    <row r="7" spans="2:10" x14ac:dyDescent="0.3">
      <c r="B7" s="99" t="s">
        <v>830</v>
      </c>
      <c r="C7" s="4" t="s">
        <v>662</v>
      </c>
      <c r="D7" s="4" t="s">
        <v>827</v>
      </c>
      <c r="E7" s="88">
        <v>41491</v>
      </c>
      <c r="F7" s="5">
        <v>1</v>
      </c>
      <c r="G7" s="107">
        <v>184.8</v>
      </c>
      <c r="H7" s="110">
        <v>95</v>
      </c>
      <c r="I7" s="4">
        <v>2.2000000000000002</v>
      </c>
      <c r="J7" s="5" t="s">
        <v>828</v>
      </c>
    </row>
    <row r="8" spans="2:10" x14ac:dyDescent="0.3">
      <c r="B8" s="99" t="s">
        <v>831</v>
      </c>
      <c r="C8" s="4" t="s">
        <v>662</v>
      </c>
      <c r="D8" s="4" t="s">
        <v>827</v>
      </c>
      <c r="E8" s="88">
        <v>41491</v>
      </c>
      <c r="F8" s="5">
        <v>1</v>
      </c>
      <c r="G8" s="107">
        <v>0.2</v>
      </c>
      <c r="H8" s="110">
        <v>0.3</v>
      </c>
      <c r="I8" s="4">
        <v>1.2</v>
      </c>
      <c r="J8" s="5" t="s">
        <v>828</v>
      </c>
    </row>
    <row r="9" spans="2:10" x14ac:dyDescent="0.3">
      <c r="B9" s="99" t="s">
        <v>832</v>
      </c>
      <c r="C9" s="4" t="s">
        <v>662</v>
      </c>
      <c r="D9" s="4" t="s">
        <v>827</v>
      </c>
      <c r="E9" s="88">
        <v>41491</v>
      </c>
      <c r="F9" s="5">
        <v>1</v>
      </c>
      <c r="G9" s="107">
        <v>170.1</v>
      </c>
      <c r="H9" s="110">
        <v>128</v>
      </c>
      <c r="I9" s="4">
        <v>3.3</v>
      </c>
      <c r="J9" s="5" t="s">
        <v>829</v>
      </c>
    </row>
    <row r="10" spans="2:10" x14ac:dyDescent="0.3">
      <c r="B10" s="99" t="s">
        <v>833</v>
      </c>
      <c r="C10" s="4" t="s">
        <v>662</v>
      </c>
      <c r="D10" s="4" t="s">
        <v>827</v>
      </c>
      <c r="E10" s="88">
        <v>41491</v>
      </c>
      <c r="F10" s="5">
        <v>1</v>
      </c>
      <c r="G10" s="107">
        <v>179.8</v>
      </c>
      <c r="H10" s="110">
        <v>104</v>
      </c>
      <c r="I10" s="4">
        <v>1.5</v>
      </c>
      <c r="J10" s="5" t="s">
        <v>828</v>
      </c>
    </row>
    <row r="11" spans="2:10" x14ac:dyDescent="0.3">
      <c r="B11" s="99" t="s">
        <v>834</v>
      </c>
      <c r="C11" s="4" t="s">
        <v>662</v>
      </c>
      <c r="D11" s="4" t="s">
        <v>827</v>
      </c>
      <c r="E11" s="88">
        <v>41491</v>
      </c>
      <c r="F11" s="5">
        <v>1</v>
      </c>
      <c r="G11" s="107">
        <v>98.4</v>
      </c>
      <c r="H11" s="110">
        <v>38.9</v>
      </c>
      <c r="I11" s="4">
        <v>1.6</v>
      </c>
      <c r="J11" s="5" t="s">
        <v>828</v>
      </c>
    </row>
    <row r="12" spans="2:10" x14ac:dyDescent="0.3">
      <c r="B12" s="99" t="s">
        <v>835</v>
      </c>
      <c r="C12" s="4" t="s">
        <v>662</v>
      </c>
      <c r="D12" s="4" t="s">
        <v>827</v>
      </c>
      <c r="E12" s="88">
        <v>41484</v>
      </c>
      <c r="F12" s="5">
        <v>1</v>
      </c>
      <c r="G12" s="107">
        <v>0</v>
      </c>
      <c r="H12" s="110">
        <v>32.700000000000003</v>
      </c>
      <c r="I12" s="4">
        <v>1</v>
      </c>
      <c r="J12" s="5" t="s">
        <v>828</v>
      </c>
    </row>
    <row r="13" spans="2:10" x14ac:dyDescent="0.3">
      <c r="B13" s="99" t="s">
        <v>836</v>
      </c>
      <c r="C13" s="4" t="s">
        <v>662</v>
      </c>
      <c r="D13" s="4" t="s">
        <v>827</v>
      </c>
      <c r="E13" s="88">
        <v>41484</v>
      </c>
      <c r="F13" s="5">
        <v>1</v>
      </c>
      <c r="G13" s="107">
        <v>171.3</v>
      </c>
      <c r="H13" s="110">
        <v>202.3</v>
      </c>
      <c r="I13" s="4">
        <v>1</v>
      </c>
      <c r="J13" s="5" t="s">
        <v>828</v>
      </c>
    </row>
    <row r="14" spans="2:10" x14ac:dyDescent="0.3">
      <c r="B14" s="99" t="s">
        <v>837</v>
      </c>
      <c r="C14" s="4" t="s">
        <v>662</v>
      </c>
      <c r="D14" s="4" t="s">
        <v>827</v>
      </c>
      <c r="E14" s="88">
        <v>41484</v>
      </c>
      <c r="F14" s="5">
        <v>1</v>
      </c>
      <c r="G14" s="107">
        <v>42.5</v>
      </c>
      <c r="H14" s="110">
        <v>45.6</v>
      </c>
      <c r="I14" s="4">
        <v>2</v>
      </c>
      <c r="J14" s="5" t="s">
        <v>828</v>
      </c>
    </row>
    <row r="15" spans="2:10" x14ac:dyDescent="0.3">
      <c r="B15" s="99" t="s">
        <v>838</v>
      </c>
      <c r="C15" s="4" t="s">
        <v>662</v>
      </c>
      <c r="D15" s="4" t="s">
        <v>827</v>
      </c>
      <c r="E15" s="88">
        <v>41484</v>
      </c>
      <c r="F15" s="5">
        <v>0.75</v>
      </c>
      <c r="G15" s="107">
        <v>18.899999999999999</v>
      </c>
      <c r="H15" s="110">
        <v>65.3</v>
      </c>
      <c r="I15" s="4">
        <v>3</v>
      </c>
      <c r="J15" s="5" t="s">
        <v>828</v>
      </c>
    </row>
    <row r="16" spans="2:10" x14ac:dyDescent="0.3">
      <c r="B16" s="99" t="s">
        <v>839</v>
      </c>
      <c r="C16" s="4" t="s">
        <v>840</v>
      </c>
      <c r="D16" s="4" t="s">
        <v>841</v>
      </c>
      <c r="E16" s="88">
        <v>41484</v>
      </c>
      <c r="F16" s="5">
        <v>0.5</v>
      </c>
      <c r="G16" s="107">
        <v>97</v>
      </c>
      <c r="H16" s="110">
        <v>65.3</v>
      </c>
      <c r="I16" s="4">
        <v>1</v>
      </c>
      <c r="J16" s="5" t="s">
        <v>828</v>
      </c>
    </row>
    <row r="17" spans="2:10" x14ac:dyDescent="0.3">
      <c r="B17" s="99" t="s">
        <v>842</v>
      </c>
      <c r="C17" s="4" t="s">
        <v>840</v>
      </c>
      <c r="D17" s="4" t="s">
        <v>841</v>
      </c>
      <c r="E17" s="88">
        <v>41484</v>
      </c>
      <c r="F17" s="5">
        <v>1</v>
      </c>
      <c r="G17" s="107">
        <v>70</v>
      </c>
      <c r="H17" s="110">
        <v>79.3</v>
      </c>
      <c r="I17" s="4">
        <v>1</v>
      </c>
      <c r="J17" s="5" t="s">
        <v>828</v>
      </c>
    </row>
    <row r="18" spans="2:10" x14ac:dyDescent="0.3">
      <c r="B18" s="99" t="s">
        <v>843</v>
      </c>
      <c r="C18" s="4" t="s">
        <v>840</v>
      </c>
      <c r="D18" s="4" t="s">
        <v>841</v>
      </c>
      <c r="E18" s="88">
        <v>41484</v>
      </c>
      <c r="F18" s="5">
        <v>1</v>
      </c>
      <c r="G18" s="107">
        <v>36.299999999999997</v>
      </c>
      <c r="H18" s="110">
        <v>86.2</v>
      </c>
      <c r="I18" s="4">
        <v>1</v>
      </c>
      <c r="J18" s="5" t="s">
        <v>828</v>
      </c>
    </row>
    <row r="19" spans="2:10" x14ac:dyDescent="0.3">
      <c r="B19" s="99" t="s">
        <v>844</v>
      </c>
      <c r="C19" s="4" t="s">
        <v>840</v>
      </c>
      <c r="D19" s="4" t="s">
        <v>841</v>
      </c>
      <c r="E19" s="88">
        <v>41484</v>
      </c>
      <c r="F19" s="5">
        <v>0.05</v>
      </c>
      <c r="G19" s="107">
        <v>79.900000000000006</v>
      </c>
      <c r="H19" s="110">
        <v>101.1</v>
      </c>
      <c r="I19" s="4">
        <v>1</v>
      </c>
      <c r="J19" s="5" t="s">
        <v>828</v>
      </c>
    </row>
    <row r="20" spans="2:10" x14ac:dyDescent="0.3">
      <c r="B20" s="99" t="s">
        <v>845</v>
      </c>
      <c r="C20" s="4" t="s">
        <v>840</v>
      </c>
      <c r="D20" s="4" t="s">
        <v>841</v>
      </c>
      <c r="E20" s="88">
        <v>41484</v>
      </c>
      <c r="F20" s="5">
        <v>1</v>
      </c>
      <c r="G20" s="107">
        <v>35.799999999999997</v>
      </c>
      <c r="H20" s="110">
        <v>54.2</v>
      </c>
      <c r="I20" s="4">
        <v>1</v>
      </c>
      <c r="J20" s="5" t="s">
        <v>828</v>
      </c>
    </row>
    <row r="21" spans="2:10" x14ac:dyDescent="0.3">
      <c r="B21" s="99" t="s">
        <v>846</v>
      </c>
      <c r="C21" s="4" t="s">
        <v>840</v>
      </c>
      <c r="D21" s="4" t="s">
        <v>841</v>
      </c>
      <c r="E21" s="88">
        <v>41484</v>
      </c>
      <c r="F21" s="5">
        <v>1</v>
      </c>
      <c r="G21" s="107">
        <v>82.7</v>
      </c>
      <c r="H21" s="110">
        <v>145</v>
      </c>
      <c r="I21" s="4">
        <v>2</v>
      </c>
      <c r="J21" s="5" t="s">
        <v>828</v>
      </c>
    </row>
    <row r="22" spans="2:10" x14ac:dyDescent="0.3">
      <c r="B22" s="99" t="s">
        <v>847</v>
      </c>
      <c r="C22" s="4" t="s">
        <v>840</v>
      </c>
      <c r="D22" s="4" t="s">
        <v>841</v>
      </c>
      <c r="E22" s="88">
        <v>41484</v>
      </c>
      <c r="F22" s="5">
        <v>1</v>
      </c>
      <c r="G22" s="107">
        <v>59.7</v>
      </c>
      <c r="H22" s="110">
        <v>79.900000000000006</v>
      </c>
      <c r="I22" s="4">
        <v>2</v>
      </c>
      <c r="J22" s="5" t="s">
        <v>828</v>
      </c>
    </row>
    <row r="23" spans="2:10" x14ac:dyDescent="0.3">
      <c r="B23" s="99" t="s">
        <v>848</v>
      </c>
      <c r="C23" s="4" t="s">
        <v>840</v>
      </c>
      <c r="D23" s="4" t="s">
        <v>841</v>
      </c>
      <c r="E23" s="88">
        <v>41484</v>
      </c>
      <c r="F23" s="5">
        <v>1</v>
      </c>
      <c r="G23" s="107">
        <v>0.1</v>
      </c>
      <c r="H23" s="110">
        <v>2.5</v>
      </c>
      <c r="I23" s="4">
        <v>2</v>
      </c>
      <c r="J23" s="5" t="s">
        <v>828</v>
      </c>
    </row>
    <row r="24" spans="2:10" x14ac:dyDescent="0.3">
      <c r="B24" s="99" t="s">
        <v>849</v>
      </c>
      <c r="C24" s="4" t="s">
        <v>840</v>
      </c>
      <c r="D24" s="4" t="s">
        <v>841</v>
      </c>
      <c r="E24" s="88">
        <v>41484</v>
      </c>
      <c r="F24" s="5">
        <v>1</v>
      </c>
      <c r="G24" s="107">
        <v>0.1</v>
      </c>
      <c r="H24" s="110">
        <v>32.9</v>
      </c>
      <c r="I24" s="4">
        <v>1</v>
      </c>
      <c r="J24" s="5" t="s">
        <v>828</v>
      </c>
    </row>
    <row r="25" spans="2:10" x14ac:dyDescent="0.3">
      <c r="B25" s="99" t="s">
        <v>850</v>
      </c>
      <c r="C25" s="4" t="s">
        <v>840</v>
      </c>
      <c r="D25" s="4" t="s">
        <v>841</v>
      </c>
      <c r="E25" s="88">
        <v>41491</v>
      </c>
      <c r="F25" s="5">
        <v>1</v>
      </c>
      <c r="G25" s="107">
        <v>143</v>
      </c>
      <c r="H25" s="110">
        <v>101.8</v>
      </c>
      <c r="I25" s="4">
        <v>1.3</v>
      </c>
      <c r="J25" s="5" t="s">
        <v>828</v>
      </c>
    </row>
    <row r="26" spans="2:10" x14ac:dyDescent="0.3">
      <c r="B26" s="99" t="s">
        <v>851</v>
      </c>
      <c r="C26" s="4" t="s">
        <v>840</v>
      </c>
      <c r="D26" s="4" t="s">
        <v>841</v>
      </c>
      <c r="E26" s="88">
        <v>41491</v>
      </c>
      <c r="F26" s="5">
        <v>1</v>
      </c>
      <c r="G26" s="107">
        <v>159.80000000000001</v>
      </c>
      <c r="H26" s="110">
        <v>139.1</v>
      </c>
      <c r="I26" s="4">
        <v>2.4</v>
      </c>
      <c r="J26" s="5" t="s">
        <v>829</v>
      </c>
    </row>
    <row r="27" spans="2:10" x14ac:dyDescent="0.3">
      <c r="B27" s="99" t="s">
        <v>852</v>
      </c>
      <c r="C27" s="4" t="s">
        <v>840</v>
      </c>
      <c r="D27" s="4" t="s">
        <v>841</v>
      </c>
      <c r="E27" s="88">
        <v>41491</v>
      </c>
      <c r="F27" s="5">
        <v>1</v>
      </c>
      <c r="G27" s="107">
        <v>174.9</v>
      </c>
      <c r="H27" s="110">
        <v>111.4</v>
      </c>
      <c r="I27" s="4">
        <v>1.4</v>
      </c>
      <c r="J27" s="5" t="s">
        <v>829</v>
      </c>
    </row>
    <row r="28" spans="2:10" x14ac:dyDescent="0.3">
      <c r="B28" s="99" t="s">
        <v>853</v>
      </c>
      <c r="C28" s="4" t="s">
        <v>854</v>
      </c>
      <c r="D28" s="4" t="s">
        <v>855</v>
      </c>
      <c r="E28" s="88">
        <v>41484</v>
      </c>
      <c r="F28" s="5">
        <v>0.1</v>
      </c>
      <c r="G28" s="107">
        <v>72.5</v>
      </c>
      <c r="H28" s="110">
        <v>95</v>
      </c>
      <c r="I28" s="4">
        <v>1</v>
      </c>
      <c r="J28" s="5" t="s">
        <v>828</v>
      </c>
    </row>
    <row r="29" spans="2:10" x14ac:dyDescent="0.3">
      <c r="B29" s="99" t="s">
        <v>856</v>
      </c>
      <c r="C29" s="4" t="s">
        <v>854</v>
      </c>
      <c r="D29" s="4" t="s">
        <v>855</v>
      </c>
      <c r="E29" s="88">
        <v>41484</v>
      </c>
      <c r="F29" s="5">
        <v>0.1</v>
      </c>
      <c r="G29" s="107">
        <v>91.8</v>
      </c>
      <c r="H29" s="110">
        <v>174.9</v>
      </c>
      <c r="I29" s="4">
        <v>2</v>
      </c>
      <c r="J29" s="5" t="s">
        <v>828</v>
      </c>
    </row>
    <row r="30" spans="2:10" x14ac:dyDescent="0.3">
      <c r="B30" s="99" t="s">
        <v>857</v>
      </c>
      <c r="C30" s="4" t="s">
        <v>854</v>
      </c>
      <c r="D30" s="4" t="s">
        <v>855</v>
      </c>
      <c r="E30" s="88">
        <v>41484</v>
      </c>
      <c r="F30" s="5">
        <v>0.01</v>
      </c>
      <c r="G30" s="107">
        <v>110.7</v>
      </c>
      <c r="H30" s="110">
        <v>105.4</v>
      </c>
      <c r="I30" s="4">
        <v>2</v>
      </c>
      <c r="J30" s="5" t="s">
        <v>829</v>
      </c>
    </row>
    <row r="31" spans="2:10" x14ac:dyDescent="0.3">
      <c r="B31" s="99" t="s">
        <v>858</v>
      </c>
      <c r="C31" s="4" t="s">
        <v>854</v>
      </c>
      <c r="D31" s="4" t="s">
        <v>855</v>
      </c>
      <c r="E31" s="88">
        <v>41484</v>
      </c>
      <c r="F31" s="5">
        <v>0.01</v>
      </c>
      <c r="G31" s="107">
        <v>76.599999999999994</v>
      </c>
      <c r="H31" s="110">
        <v>209.4</v>
      </c>
      <c r="I31" s="4">
        <v>2</v>
      </c>
      <c r="J31" s="5" t="s">
        <v>828</v>
      </c>
    </row>
    <row r="32" spans="2:10" x14ac:dyDescent="0.3">
      <c r="B32" s="99" t="s">
        <v>859</v>
      </c>
      <c r="C32" s="4" t="s">
        <v>854</v>
      </c>
      <c r="D32" s="4" t="s">
        <v>855</v>
      </c>
      <c r="E32" s="88">
        <v>41484</v>
      </c>
      <c r="F32" s="5">
        <v>0.05</v>
      </c>
      <c r="G32" s="107">
        <v>62.2</v>
      </c>
      <c r="H32" s="110">
        <v>73</v>
      </c>
      <c r="I32" s="4">
        <v>2</v>
      </c>
      <c r="J32" s="5" t="s">
        <v>828</v>
      </c>
    </row>
    <row r="33" spans="2:10" x14ac:dyDescent="0.3">
      <c r="B33" s="99" t="s">
        <v>860</v>
      </c>
      <c r="C33" s="4" t="s">
        <v>854</v>
      </c>
      <c r="D33" s="4" t="s">
        <v>855</v>
      </c>
      <c r="E33" s="88">
        <v>41484</v>
      </c>
      <c r="F33" s="5">
        <v>0.01</v>
      </c>
      <c r="G33" s="107">
        <v>71.5</v>
      </c>
      <c r="H33" s="110">
        <v>106.9</v>
      </c>
      <c r="I33" s="4">
        <v>1</v>
      </c>
      <c r="J33" s="5" t="s">
        <v>828</v>
      </c>
    </row>
    <row r="34" spans="2:10" x14ac:dyDescent="0.3">
      <c r="B34" s="99" t="s">
        <v>861</v>
      </c>
      <c r="C34" s="4" t="s">
        <v>854</v>
      </c>
      <c r="D34" s="4" t="s">
        <v>855</v>
      </c>
      <c r="E34" s="88">
        <v>41491</v>
      </c>
      <c r="F34" s="5">
        <v>0.25</v>
      </c>
      <c r="G34" s="107">
        <v>157.6</v>
      </c>
      <c r="H34" s="110">
        <v>213.8</v>
      </c>
      <c r="I34" s="4">
        <v>1.5</v>
      </c>
      <c r="J34" s="5" t="s">
        <v>828</v>
      </c>
    </row>
    <row r="35" spans="2:10" x14ac:dyDescent="0.3">
      <c r="B35" s="99" t="s">
        <v>862</v>
      </c>
      <c r="C35" s="4" t="s">
        <v>854</v>
      </c>
      <c r="D35" s="4" t="s">
        <v>855</v>
      </c>
      <c r="E35" s="88">
        <v>41491</v>
      </c>
      <c r="F35" s="5">
        <v>0.5</v>
      </c>
      <c r="G35" s="107">
        <v>160.9</v>
      </c>
      <c r="H35" s="110">
        <v>108.4</v>
      </c>
      <c r="I35" s="4">
        <v>1.4</v>
      </c>
      <c r="J35" s="5" t="s">
        <v>828</v>
      </c>
    </row>
    <row r="36" spans="2:10" x14ac:dyDescent="0.3">
      <c r="B36" s="99" t="s">
        <v>863</v>
      </c>
      <c r="C36" s="4" t="s">
        <v>854</v>
      </c>
      <c r="D36" s="4" t="s">
        <v>855</v>
      </c>
      <c r="E36" s="88">
        <v>41491</v>
      </c>
      <c r="F36" s="5">
        <v>0.25</v>
      </c>
      <c r="G36" s="107">
        <v>176.1</v>
      </c>
      <c r="H36" s="110">
        <v>227.5</v>
      </c>
      <c r="I36" s="4">
        <v>1.7</v>
      </c>
      <c r="J36" s="5" t="s">
        <v>828</v>
      </c>
    </row>
    <row r="37" spans="2:10" x14ac:dyDescent="0.3">
      <c r="B37" s="99" t="s">
        <v>864</v>
      </c>
      <c r="C37" s="4" t="s">
        <v>854</v>
      </c>
      <c r="D37" s="4" t="s">
        <v>855</v>
      </c>
      <c r="E37" s="88">
        <v>41491</v>
      </c>
      <c r="F37" s="5">
        <v>1</v>
      </c>
      <c r="G37" s="107">
        <v>266.89999999999998</v>
      </c>
      <c r="H37" s="110">
        <v>144</v>
      </c>
      <c r="I37" s="4">
        <v>1.4</v>
      </c>
      <c r="J37" s="5" t="s">
        <v>828</v>
      </c>
    </row>
    <row r="38" spans="2:10" x14ac:dyDescent="0.3">
      <c r="B38" s="99" t="s">
        <v>865</v>
      </c>
      <c r="C38" s="4" t="s">
        <v>854</v>
      </c>
      <c r="D38" s="4" t="s">
        <v>855</v>
      </c>
      <c r="E38" s="88">
        <v>41491</v>
      </c>
      <c r="F38" s="5">
        <v>0.25</v>
      </c>
      <c r="G38" s="107">
        <v>205.1</v>
      </c>
      <c r="H38" s="110">
        <v>206.5</v>
      </c>
      <c r="I38" s="4">
        <v>1.5</v>
      </c>
      <c r="J38" s="5" t="s">
        <v>828</v>
      </c>
    </row>
    <row r="39" spans="2:10" x14ac:dyDescent="0.3">
      <c r="B39" s="99" t="s">
        <v>866</v>
      </c>
      <c r="C39" s="4" t="s">
        <v>854</v>
      </c>
      <c r="D39" s="4" t="s">
        <v>855</v>
      </c>
      <c r="E39" s="88">
        <v>41491</v>
      </c>
      <c r="F39" s="5">
        <v>0.05</v>
      </c>
      <c r="G39" s="107">
        <v>171.3</v>
      </c>
      <c r="H39" s="110">
        <v>148.1</v>
      </c>
      <c r="I39" s="4">
        <v>1.9</v>
      </c>
      <c r="J39" s="5" t="s">
        <v>828</v>
      </c>
    </row>
    <row r="40" spans="2:10" x14ac:dyDescent="0.3">
      <c r="B40" s="99" t="s">
        <v>867</v>
      </c>
      <c r="C40" s="4" t="s">
        <v>854</v>
      </c>
      <c r="D40" s="4" t="s">
        <v>855</v>
      </c>
      <c r="E40" s="88">
        <v>41491</v>
      </c>
      <c r="F40" s="5">
        <v>0.01</v>
      </c>
      <c r="G40" s="107">
        <v>458.3</v>
      </c>
      <c r="H40" s="110">
        <v>203.7</v>
      </c>
      <c r="I40" s="4">
        <v>2.9</v>
      </c>
      <c r="J40" s="5" t="s">
        <v>828</v>
      </c>
    </row>
    <row r="41" spans="2:10" x14ac:dyDescent="0.3">
      <c r="B41" s="99" t="s">
        <v>868</v>
      </c>
      <c r="C41" s="4" t="s">
        <v>854</v>
      </c>
      <c r="D41" s="4" t="s">
        <v>855</v>
      </c>
      <c r="E41" s="88">
        <v>41491</v>
      </c>
      <c r="F41" s="5">
        <v>0.1</v>
      </c>
      <c r="G41" s="107">
        <v>221.3</v>
      </c>
      <c r="H41" s="110">
        <v>254.2</v>
      </c>
      <c r="I41" s="4">
        <v>2.4</v>
      </c>
      <c r="J41" s="5" t="s">
        <v>828</v>
      </c>
    </row>
    <row r="42" spans="2:10" x14ac:dyDescent="0.3">
      <c r="B42" s="99" t="s">
        <v>869</v>
      </c>
      <c r="C42" s="4" t="s">
        <v>854</v>
      </c>
      <c r="D42" s="4" t="s">
        <v>855</v>
      </c>
      <c r="E42" s="88">
        <v>41491</v>
      </c>
      <c r="F42" s="5">
        <v>0.01</v>
      </c>
      <c r="G42" s="107">
        <v>224.4</v>
      </c>
      <c r="H42" s="110">
        <v>151.19999999999999</v>
      </c>
      <c r="I42" s="4">
        <v>2.7</v>
      </c>
      <c r="J42" s="5" t="s">
        <v>829</v>
      </c>
    </row>
    <row r="43" spans="2:10" x14ac:dyDescent="0.3">
      <c r="B43" s="99" t="s">
        <v>870</v>
      </c>
      <c r="C43" s="4" t="s">
        <v>854</v>
      </c>
      <c r="D43" s="4" t="s">
        <v>855</v>
      </c>
      <c r="E43" s="88">
        <v>41491</v>
      </c>
      <c r="F43" s="5">
        <v>0.1</v>
      </c>
      <c r="G43" s="107">
        <v>219.8</v>
      </c>
      <c r="H43" s="110">
        <v>150.1</v>
      </c>
      <c r="I43" s="4">
        <v>1.4</v>
      </c>
      <c r="J43" s="5" t="s">
        <v>828</v>
      </c>
    </row>
    <row r="44" spans="2:10" x14ac:dyDescent="0.3">
      <c r="B44" s="99" t="s">
        <v>871</v>
      </c>
      <c r="C44" s="4" t="s">
        <v>854</v>
      </c>
      <c r="D44" s="4" t="s">
        <v>855</v>
      </c>
      <c r="E44" s="88">
        <v>41491</v>
      </c>
      <c r="F44" s="5">
        <v>0.1</v>
      </c>
      <c r="G44" s="107">
        <v>261.39999999999998</v>
      </c>
      <c r="H44" s="110">
        <v>369.6</v>
      </c>
      <c r="I44" s="4">
        <v>2.6</v>
      </c>
      <c r="J44" s="5" t="s">
        <v>828</v>
      </c>
    </row>
    <row r="45" spans="2:10" x14ac:dyDescent="0.3">
      <c r="B45" s="99" t="s">
        <v>872</v>
      </c>
      <c r="C45" s="4" t="s">
        <v>854</v>
      </c>
      <c r="D45" s="4" t="s">
        <v>855</v>
      </c>
      <c r="E45" s="88">
        <v>41491</v>
      </c>
      <c r="F45" s="5">
        <v>0.01</v>
      </c>
      <c r="G45" s="107">
        <v>179.8</v>
      </c>
      <c r="H45" s="110">
        <v>170.1</v>
      </c>
      <c r="I45" s="4">
        <v>1.5</v>
      </c>
      <c r="J45" s="5" t="s">
        <v>828</v>
      </c>
    </row>
    <row r="46" spans="2:10" x14ac:dyDescent="0.3">
      <c r="B46" s="99" t="s">
        <v>873</v>
      </c>
      <c r="C46" s="4" t="s">
        <v>854</v>
      </c>
      <c r="D46" s="4" t="s">
        <v>855</v>
      </c>
      <c r="E46" s="88">
        <v>41491</v>
      </c>
      <c r="F46" s="5">
        <v>1</v>
      </c>
      <c r="G46" s="107">
        <v>45.9</v>
      </c>
      <c r="H46" s="110">
        <v>33.6</v>
      </c>
      <c r="I46" s="4">
        <v>2.4</v>
      </c>
      <c r="J46" s="5" t="s">
        <v>828</v>
      </c>
    </row>
    <row r="47" spans="2:10" x14ac:dyDescent="0.3">
      <c r="B47" s="99" t="s">
        <v>874</v>
      </c>
      <c r="C47" s="4" t="s">
        <v>854</v>
      </c>
      <c r="D47" s="4" t="s">
        <v>855</v>
      </c>
      <c r="E47" s="88">
        <v>41491</v>
      </c>
      <c r="F47" s="5">
        <v>0.1</v>
      </c>
      <c r="G47" s="107">
        <v>152.19999999999999</v>
      </c>
      <c r="H47" s="110">
        <v>125.4</v>
      </c>
      <c r="I47" s="4">
        <v>1.4</v>
      </c>
      <c r="J47" s="5" t="s">
        <v>828</v>
      </c>
    </row>
    <row r="48" spans="2:10" x14ac:dyDescent="0.3">
      <c r="B48" s="99" t="s">
        <v>875</v>
      </c>
      <c r="C48" s="4" t="s">
        <v>854</v>
      </c>
      <c r="D48" s="4" t="s">
        <v>855</v>
      </c>
      <c r="E48" s="88">
        <v>41491</v>
      </c>
      <c r="F48" s="5"/>
      <c r="G48" s="107">
        <v>112.2</v>
      </c>
      <c r="H48" s="110">
        <v>192.7</v>
      </c>
      <c r="I48" s="4">
        <v>1.4</v>
      </c>
      <c r="J48" s="5" t="s">
        <v>828</v>
      </c>
    </row>
    <row r="49" spans="2:10" x14ac:dyDescent="0.3">
      <c r="B49" s="99" t="s">
        <v>876</v>
      </c>
      <c r="C49" s="4" t="s">
        <v>854</v>
      </c>
      <c r="D49" s="4" t="s">
        <v>855</v>
      </c>
      <c r="E49" s="88">
        <v>41498</v>
      </c>
      <c r="F49" s="5">
        <v>0.01</v>
      </c>
      <c r="G49" s="107"/>
      <c r="H49" s="110"/>
      <c r="I49" s="4">
        <v>1.3</v>
      </c>
      <c r="J49" s="5" t="s">
        <v>828</v>
      </c>
    </row>
    <row r="50" spans="2:10" x14ac:dyDescent="0.3">
      <c r="B50" s="99" t="s">
        <v>877</v>
      </c>
      <c r="C50" s="4" t="s">
        <v>878</v>
      </c>
      <c r="D50" s="4" t="s">
        <v>879</v>
      </c>
      <c r="E50" s="88">
        <v>41484</v>
      </c>
      <c r="F50" s="5">
        <v>0.1</v>
      </c>
      <c r="G50" s="107">
        <v>97</v>
      </c>
      <c r="H50" s="110">
        <v>50.6</v>
      </c>
      <c r="I50" s="4">
        <v>2</v>
      </c>
      <c r="J50" s="5" t="s">
        <v>828</v>
      </c>
    </row>
    <row r="51" spans="2:10" x14ac:dyDescent="0.3">
      <c r="B51" s="99" t="s">
        <v>880</v>
      </c>
      <c r="C51" s="4" t="s">
        <v>878</v>
      </c>
      <c r="D51" s="4" t="s">
        <v>879</v>
      </c>
      <c r="E51" s="88">
        <v>41484</v>
      </c>
      <c r="F51" s="5">
        <v>0.01</v>
      </c>
      <c r="G51" s="107">
        <v>109.1</v>
      </c>
      <c r="H51" s="110">
        <v>121.1</v>
      </c>
      <c r="I51" s="4">
        <v>1</v>
      </c>
      <c r="J51" s="5" t="s">
        <v>828</v>
      </c>
    </row>
    <row r="52" spans="2:10" x14ac:dyDescent="0.3">
      <c r="B52" s="99" t="s">
        <v>881</v>
      </c>
      <c r="C52" s="4" t="s">
        <v>878</v>
      </c>
      <c r="D52" s="4" t="s">
        <v>879</v>
      </c>
      <c r="E52" s="88">
        <v>41484</v>
      </c>
      <c r="F52" s="5">
        <v>0.05</v>
      </c>
      <c r="G52" s="107">
        <v>150.1</v>
      </c>
      <c r="H52" s="110">
        <v>229.1</v>
      </c>
      <c r="I52" s="4">
        <v>2</v>
      </c>
      <c r="J52" s="5" t="s">
        <v>828</v>
      </c>
    </row>
    <row r="53" spans="2:10" x14ac:dyDescent="0.3">
      <c r="B53" s="99" t="s">
        <v>882</v>
      </c>
      <c r="C53" s="4" t="s">
        <v>878</v>
      </c>
      <c r="D53" s="4" t="s">
        <v>879</v>
      </c>
      <c r="E53" s="88">
        <v>41484</v>
      </c>
      <c r="F53" s="5">
        <v>0.01</v>
      </c>
      <c r="G53" s="107">
        <v>75.599999999999994</v>
      </c>
      <c r="H53" s="110">
        <v>179.8</v>
      </c>
      <c r="I53" s="4">
        <v>2</v>
      </c>
      <c r="J53" s="5" t="s">
        <v>828</v>
      </c>
    </row>
    <row r="54" spans="2:10" x14ac:dyDescent="0.3">
      <c r="B54" s="99" t="s">
        <v>883</v>
      </c>
      <c r="C54" s="4" t="s">
        <v>878</v>
      </c>
      <c r="D54" s="4" t="s">
        <v>879</v>
      </c>
      <c r="E54" s="88">
        <v>41484</v>
      </c>
      <c r="F54" s="5">
        <v>0.01</v>
      </c>
      <c r="G54" s="107">
        <v>44.3</v>
      </c>
      <c r="H54" s="110">
        <v>70</v>
      </c>
      <c r="I54" s="4">
        <v>1</v>
      </c>
      <c r="J54" s="5" t="s">
        <v>828</v>
      </c>
    </row>
    <row r="55" spans="2:10" x14ac:dyDescent="0.3">
      <c r="B55" s="99" t="s">
        <v>884</v>
      </c>
      <c r="C55" s="4" t="s">
        <v>878</v>
      </c>
      <c r="D55" s="4" t="s">
        <v>879</v>
      </c>
      <c r="E55" s="88">
        <v>41484</v>
      </c>
      <c r="F55" s="5">
        <v>0.05</v>
      </c>
      <c r="G55" s="107">
        <v>136.19999999999999</v>
      </c>
      <c r="H55" s="110">
        <v>43.1</v>
      </c>
      <c r="I55" s="4">
        <v>2</v>
      </c>
      <c r="J55" s="5" t="s">
        <v>828</v>
      </c>
    </row>
    <row r="56" spans="2:10" x14ac:dyDescent="0.3">
      <c r="B56" s="99" t="s">
        <v>885</v>
      </c>
      <c r="C56" s="4" t="s">
        <v>878</v>
      </c>
      <c r="D56" s="4" t="s">
        <v>879</v>
      </c>
      <c r="E56" s="88">
        <v>41484</v>
      </c>
      <c r="F56" s="5">
        <v>0.75</v>
      </c>
      <c r="G56" s="107">
        <v>54.2</v>
      </c>
      <c r="H56" s="110">
        <v>93.1</v>
      </c>
      <c r="I56" s="4">
        <v>1</v>
      </c>
      <c r="J56" s="5" t="s">
        <v>828</v>
      </c>
    </row>
    <row r="57" spans="2:10" x14ac:dyDescent="0.3">
      <c r="B57" s="99" t="s">
        <v>886</v>
      </c>
      <c r="C57" s="4" t="s">
        <v>878</v>
      </c>
      <c r="D57" s="4" t="s">
        <v>879</v>
      </c>
      <c r="E57" s="88">
        <v>41491</v>
      </c>
      <c r="F57" s="5"/>
      <c r="G57" s="107">
        <v>65.3</v>
      </c>
      <c r="H57" s="110">
        <v>61</v>
      </c>
      <c r="I57" s="4">
        <v>2</v>
      </c>
      <c r="J57" s="5" t="s">
        <v>828</v>
      </c>
    </row>
    <row r="58" spans="2:10" x14ac:dyDescent="0.3">
      <c r="B58" s="99" t="s">
        <v>887</v>
      </c>
      <c r="C58" s="4" t="s">
        <v>878</v>
      </c>
      <c r="D58" s="4" t="s">
        <v>879</v>
      </c>
      <c r="E58" s="88">
        <v>41491</v>
      </c>
      <c r="F58" s="5"/>
      <c r="G58" s="107">
        <v>125.4</v>
      </c>
      <c r="H58" s="110">
        <v>64.900000000000006</v>
      </c>
      <c r="I58" s="4">
        <v>2</v>
      </c>
      <c r="J58" s="5" t="s">
        <v>829</v>
      </c>
    </row>
    <row r="59" spans="2:10" x14ac:dyDescent="0.3">
      <c r="B59" s="99" t="s">
        <v>888</v>
      </c>
      <c r="C59" s="4" t="s">
        <v>878</v>
      </c>
      <c r="D59" s="4" t="s">
        <v>879</v>
      </c>
      <c r="E59" s="88">
        <v>41491</v>
      </c>
      <c r="F59" s="5">
        <v>2</v>
      </c>
      <c r="G59" s="107">
        <v>0.1</v>
      </c>
      <c r="H59" s="110">
        <v>1.7</v>
      </c>
      <c r="I59" s="4">
        <v>1.8</v>
      </c>
      <c r="J59" s="5" t="s">
        <v>828</v>
      </c>
    </row>
    <row r="60" spans="2:10" x14ac:dyDescent="0.3">
      <c r="B60" s="99" t="s">
        <v>889</v>
      </c>
      <c r="C60" s="4" t="s">
        <v>878</v>
      </c>
      <c r="D60" s="4" t="s">
        <v>879</v>
      </c>
      <c r="E60" s="88">
        <v>41491</v>
      </c>
      <c r="F60" s="5">
        <v>0.1</v>
      </c>
      <c r="G60" s="107">
        <v>141</v>
      </c>
      <c r="H60" s="110">
        <v>127.1</v>
      </c>
      <c r="I60" s="4">
        <v>1.7</v>
      </c>
      <c r="J60" s="5" t="s">
        <v>828</v>
      </c>
    </row>
    <row r="61" spans="2:10" x14ac:dyDescent="0.3">
      <c r="B61" s="99" t="s">
        <v>890</v>
      </c>
      <c r="C61" s="4" t="s">
        <v>878</v>
      </c>
      <c r="D61" s="4" t="s">
        <v>879</v>
      </c>
      <c r="E61" s="88">
        <v>41491</v>
      </c>
      <c r="F61" s="5">
        <v>1</v>
      </c>
      <c r="G61" s="107">
        <v>176.1</v>
      </c>
      <c r="H61" s="110">
        <v>227.5</v>
      </c>
      <c r="I61" s="4">
        <v>1.9</v>
      </c>
      <c r="J61" s="5" t="s">
        <v>828</v>
      </c>
    </row>
    <row r="62" spans="2:10" x14ac:dyDescent="0.3">
      <c r="B62" s="99" t="s">
        <v>891</v>
      </c>
      <c r="C62" s="4" t="s">
        <v>878</v>
      </c>
      <c r="D62" s="4" t="s">
        <v>879</v>
      </c>
      <c r="E62" s="88">
        <v>41491</v>
      </c>
      <c r="F62" s="5">
        <v>0.25</v>
      </c>
      <c r="G62" s="107">
        <v>134.4</v>
      </c>
      <c r="H62" s="110">
        <v>199.5</v>
      </c>
      <c r="I62" s="4">
        <v>1.6</v>
      </c>
      <c r="J62" s="5" t="s">
        <v>828</v>
      </c>
    </row>
    <row r="63" spans="2:10" x14ac:dyDescent="0.3">
      <c r="B63" s="99" t="s">
        <v>892</v>
      </c>
      <c r="C63" s="4" t="s">
        <v>878</v>
      </c>
      <c r="D63" s="4" t="s">
        <v>879</v>
      </c>
      <c r="E63" s="88">
        <v>41491</v>
      </c>
      <c r="F63" s="5">
        <v>0.01</v>
      </c>
      <c r="G63" s="107">
        <v>171.3</v>
      </c>
      <c r="H63" s="110">
        <v>150.1</v>
      </c>
      <c r="I63" s="4">
        <v>1.7</v>
      </c>
      <c r="J63" s="5" t="s">
        <v>828</v>
      </c>
    </row>
    <row r="64" spans="2:10" x14ac:dyDescent="0.3">
      <c r="B64" s="99" t="s">
        <v>893</v>
      </c>
      <c r="C64" s="4" t="s">
        <v>878</v>
      </c>
      <c r="D64" s="4" t="s">
        <v>879</v>
      </c>
      <c r="E64" s="88">
        <v>41491</v>
      </c>
      <c r="F64" s="5">
        <v>1</v>
      </c>
      <c r="G64" s="107">
        <v>0.1</v>
      </c>
      <c r="H64" s="110">
        <v>0.6</v>
      </c>
      <c r="I64" s="4">
        <v>1.7</v>
      </c>
      <c r="J64" s="5" t="s">
        <v>828</v>
      </c>
    </row>
    <row r="65" spans="2:10" x14ac:dyDescent="0.3">
      <c r="B65" s="99" t="s">
        <v>894</v>
      </c>
      <c r="C65" s="4" t="s">
        <v>878</v>
      </c>
      <c r="D65" s="4" t="s">
        <v>879</v>
      </c>
      <c r="E65" s="88">
        <v>41491</v>
      </c>
      <c r="F65" s="5">
        <v>0.05</v>
      </c>
      <c r="G65" s="107">
        <v>202.3</v>
      </c>
      <c r="H65" s="110">
        <v>69.599999999999994</v>
      </c>
      <c r="I65" s="4">
        <v>2</v>
      </c>
      <c r="J65" s="5" t="s">
        <v>828</v>
      </c>
    </row>
    <row r="66" spans="2:10" x14ac:dyDescent="0.3">
      <c r="B66" s="99" t="s">
        <v>895</v>
      </c>
      <c r="C66" s="4" t="s">
        <v>878</v>
      </c>
      <c r="D66" s="4" t="s">
        <v>879</v>
      </c>
      <c r="E66" s="88">
        <v>41491</v>
      </c>
      <c r="F66" s="5">
        <v>0.05</v>
      </c>
      <c r="G66" s="107">
        <v>233.9</v>
      </c>
      <c r="H66" s="110">
        <v>113</v>
      </c>
      <c r="I66" s="4">
        <v>1.8</v>
      </c>
      <c r="J66" s="5" t="s">
        <v>828</v>
      </c>
    </row>
    <row r="67" spans="2:10" x14ac:dyDescent="0.3">
      <c r="B67" s="99" t="s">
        <v>896</v>
      </c>
      <c r="C67" s="4" t="s">
        <v>878</v>
      </c>
      <c r="D67" s="4" t="s">
        <v>879</v>
      </c>
      <c r="E67" s="88">
        <v>41491</v>
      </c>
      <c r="F67" s="5">
        <v>0.05</v>
      </c>
      <c r="G67" s="107">
        <v>118.6</v>
      </c>
      <c r="H67" s="110">
        <v>111.4</v>
      </c>
      <c r="I67" s="4">
        <v>1.9</v>
      </c>
      <c r="J67" s="5" t="s">
        <v>828</v>
      </c>
    </row>
    <row r="68" spans="2:10" x14ac:dyDescent="0.3">
      <c r="B68" s="99" t="s">
        <v>897</v>
      </c>
      <c r="C68" s="4" t="s">
        <v>898</v>
      </c>
      <c r="D68" s="4" t="s">
        <v>899</v>
      </c>
      <c r="E68" s="88">
        <v>41484</v>
      </c>
      <c r="F68" s="5">
        <v>0.75</v>
      </c>
      <c r="G68" s="107"/>
      <c r="H68" s="110"/>
      <c r="I68" s="4"/>
      <c r="J68" s="5"/>
    </row>
    <row r="69" spans="2:10" x14ac:dyDescent="0.3">
      <c r="B69" s="99" t="s">
        <v>897</v>
      </c>
      <c r="C69" s="4" t="s">
        <v>898</v>
      </c>
      <c r="D69" s="4" t="s">
        <v>899</v>
      </c>
      <c r="E69" s="88">
        <v>41484</v>
      </c>
      <c r="F69" s="5">
        <v>1</v>
      </c>
      <c r="G69" s="107"/>
      <c r="H69" s="110"/>
      <c r="I69" s="4"/>
      <c r="J69" s="5"/>
    </row>
    <row r="70" spans="2:10" x14ac:dyDescent="0.3">
      <c r="B70" s="99" t="s">
        <v>897</v>
      </c>
      <c r="C70" s="4" t="s">
        <v>898</v>
      </c>
      <c r="D70" s="4" t="s">
        <v>899</v>
      </c>
      <c r="E70" s="88">
        <v>41484</v>
      </c>
      <c r="F70" s="5">
        <v>1</v>
      </c>
      <c r="G70" s="107"/>
      <c r="H70" s="110"/>
      <c r="I70" s="4"/>
      <c r="J70" s="5"/>
    </row>
    <row r="71" spans="2:10" x14ac:dyDescent="0.3">
      <c r="B71" s="99" t="s">
        <v>897</v>
      </c>
      <c r="C71" s="4" t="s">
        <v>898</v>
      </c>
      <c r="D71" s="4" t="s">
        <v>899</v>
      </c>
      <c r="E71" s="88">
        <v>41484</v>
      </c>
      <c r="F71" s="5">
        <v>1</v>
      </c>
      <c r="G71" s="107"/>
      <c r="H71" s="110"/>
      <c r="I71" s="4"/>
      <c r="J71" s="5"/>
    </row>
    <row r="72" spans="2:10" x14ac:dyDescent="0.3">
      <c r="B72" s="99" t="s">
        <v>897</v>
      </c>
      <c r="C72" s="4" t="s">
        <v>898</v>
      </c>
      <c r="D72" s="4" t="s">
        <v>899</v>
      </c>
      <c r="E72" s="88">
        <v>41491</v>
      </c>
      <c r="F72" s="5">
        <v>1</v>
      </c>
      <c r="G72" s="107"/>
      <c r="H72" s="110"/>
      <c r="I72" s="4"/>
      <c r="J72" s="5"/>
    </row>
    <row r="73" spans="2:10" x14ac:dyDescent="0.3">
      <c r="B73" s="99" t="s">
        <v>897</v>
      </c>
      <c r="C73" s="4" t="s">
        <v>898</v>
      </c>
      <c r="D73" s="4" t="s">
        <v>899</v>
      </c>
      <c r="E73" s="88">
        <v>41491</v>
      </c>
      <c r="F73" s="5">
        <v>1</v>
      </c>
      <c r="G73" s="107"/>
      <c r="H73" s="110"/>
      <c r="I73" s="4"/>
      <c r="J73" s="5"/>
    </row>
    <row r="74" spans="2:10" x14ac:dyDescent="0.3">
      <c r="B74" s="99" t="s">
        <v>897</v>
      </c>
      <c r="C74" s="4" t="s">
        <v>898</v>
      </c>
      <c r="D74" s="4" t="s">
        <v>899</v>
      </c>
      <c r="E74" s="88">
        <v>41491</v>
      </c>
      <c r="F74" s="5">
        <v>1</v>
      </c>
      <c r="G74" s="107"/>
      <c r="H74" s="110"/>
      <c r="I74" s="4"/>
      <c r="J74" s="5"/>
    </row>
    <row r="75" spans="2:10" x14ac:dyDescent="0.3">
      <c r="B75" s="99" t="s">
        <v>897</v>
      </c>
      <c r="C75" s="4" t="s">
        <v>898</v>
      </c>
      <c r="D75" s="4" t="s">
        <v>899</v>
      </c>
      <c r="E75" s="88">
        <v>41491</v>
      </c>
      <c r="F75" s="5">
        <v>1</v>
      </c>
      <c r="G75" s="107"/>
      <c r="H75" s="110"/>
      <c r="I75" s="4"/>
      <c r="J75" s="5"/>
    </row>
    <row r="76" spans="2:10" x14ac:dyDescent="0.3">
      <c r="B76" s="99" t="s">
        <v>897</v>
      </c>
      <c r="C76" s="4" t="s">
        <v>898</v>
      </c>
      <c r="D76" s="4" t="s">
        <v>899</v>
      </c>
      <c r="E76" s="88">
        <v>41491</v>
      </c>
      <c r="F76" s="5">
        <v>0.75</v>
      </c>
      <c r="G76" s="107"/>
      <c r="H76" s="110"/>
      <c r="I76" s="4"/>
      <c r="J76" s="5"/>
    </row>
    <row r="77" spans="2:10" x14ac:dyDescent="0.3">
      <c r="B77" s="99" t="s">
        <v>897</v>
      </c>
      <c r="C77" s="4" t="s">
        <v>898</v>
      </c>
      <c r="D77" s="4" t="s">
        <v>899</v>
      </c>
      <c r="E77" s="88">
        <v>41498</v>
      </c>
      <c r="F77" s="5">
        <v>1</v>
      </c>
      <c r="G77" s="107"/>
      <c r="H77" s="110"/>
      <c r="I77" s="4"/>
      <c r="J77" s="5"/>
    </row>
    <row r="78" spans="2:10" x14ac:dyDescent="0.3">
      <c r="B78" s="99" t="s">
        <v>897</v>
      </c>
      <c r="C78" s="4" t="s">
        <v>898</v>
      </c>
      <c r="D78" s="4" t="s">
        <v>899</v>
      </c>
      <c r="E78" s="88">
        <v>41498</v>
      </c>
      <c r="F78" s="5">
        <v>1</v>
      </c>
      <c r="G78" s="107"/>
      <c r="H78" s="110"/>
      <c r="I78" s="4"/>
      <c r="J78" s="5"/>
    </row>
    <row r="79" spans="2:10" x14ac:dyDescent="0.3">
      <c r="B79" s="99" t="s">
        <v>897</v>
      </c>
      <c r="C79" s="4" t="s">
        <v>898</v>
      </c>
      <c r="D79" s="4" t="s">
        <v>899</v>
      </c>
      <c r="E79" s="88">
        <v>41498</v>
      </c>
      <c r="F79" s="5">
        <v>1</v>
      </c>
      <c r="G79" s="107"/>
      <c r="H79" s="110"/>
      <c r="I79" s="4"/>
      <c r="J79" s="5"/>
    </row>
    <row r="80" spans="2:10" x14ac:dyDescent="0.3">
      <c r="B80" s="99" t="s">
        <v>897</v>
      </c>
      <c r="C80" s="4" t="s">
        <v>898</v>
      </c>
      <c r="D80" s="4" t="s">
        <v>899</v>
      </c>
      <c r="E80" s="88">
        <v>41498</v>
      </c>
      <c r="F80" s="5">
        <v>1</v>
      </c>
      <c r="G80" s="107"/>
      <c r="H80" s="110"/>
      <c r="I80" s="4"/>
      <c r="J80" s="5"/>
    </row>
    <row r="81" spans="2:10" x14ac:dyDescent="0.3">
      <c r="B81" s="99" t="s">
        <v>897</v>
      </c>
      <c r="C81" s="4" t="s">
        <v>898</v>
      </c>
      <c r="D81" s="4" t="s">
        <v>899</v>
      </c>
      <c r="E81" s="88">
        <v>41498</v>
      </c>
      <c r="F81" s="5">
        <v>1</v>
      </c>
      <c r="G81" s="107"/>
      <c r="H81" s="110"/>
      <c r="I81" s="4"/>
      <c r="J81" s="5"/>
    </row>
    <row r="82" spans="2:10" x14ac:dyDescent="0.3">
      <c r="B82" s="99" t="s">
        <v>900</v>
      </c>
      <c r="C82" s="4" t="s">
        <v>901</v>
      </c>
      <c r="D82" s="4" t="s">
        <v>902</v>
      </c>
      <c r="E82" s="88">
        <v>41484</v>
      </c>
      <c r="F82" s="5">
        <v>0.01</v>
      </c>
      <c r="G82" s="107"/>
      <c r="H82" s="110"/>
      <c r="I82" s="4"/>
      <c r="J82" s="5"/>
    </row>
    <row r="83" spans="2:10" x14ac:dyDescent="0.3">
      <c r="B83" s="99" t="s">
        <v>900</v>
      </c>
      <c r="C83" s="4" t="s">
        <v>901</v>
      </c>
      <c r="D83" s="4" t="s">
        <v>902</v>
      </c>
      <c r="E83" s="88">
        <v>41484</v>
      </c>
      <c r="F83" s="5">
        <v>0.01</v>
      </c>
      <c r="G83" s="107"/>
      <c r="H83" s="110"/>
      <c r="I83" s="4"/>
      <c r="J83" s="5"/>
    </row>
    <row r="84" spans="2:10" x14ac:dyDescent="0.3">
      <c r="B84" s="99" t="s">
        <v>900</v>
      </c>
      <c r="C84" s="4" t="s">
        <v>901</v>
      </c>
      <c r="D84" s="4" t="s">
        <v>902</v>
      </c>
      <c r="E84" s="88">
        <v>41484</v>
      </c>
      <c r="F84" s="5">
        <v>0.01</v>
      </c>
      <c r="G84" s="107"/>
      <c r="H84" s="110"/>
      <c r="I84" s="4"/>
      <c r="J84" s="5"/>
    </row>
    <row r="85" spans="2:10" x14ac:dyDescent="0.3">
      <c r="B85" s="99" t="s">
        <v>900</v>
      </c>
      <c r="C85" s="4" t="s">
        <v>901</v>
      </c>
      <c r="D85" s="4" t="s">
        <v>902</v>
      </c>
      <c r="E85" s="88">
        <v>41484</v>
      </c>
      <c r="F85" s="5">
        <v>0.01</v>
      </c>
      <c r="G85" s="107"/>
      <c r="H85" s="110"/>
      <c r="I85" s="4"/>
      <c r="J85" s="5"/>
    </row>
    <row r="86" spans="2:10" x14ac:dyDescent="0.3">
      <c r="B86" s="99" t="s">
        <v>900</v>
      </c>
      <c r="C86" s="4" t="s">
        <v>901</v>
      </c>
      <c r="D86" s="4" t="s">
        <v>902</v>
      </c>
      <c r="E86" s="88">
        <v>41491</v>
      </c>
      <c r="F86" s="5">
        <v>0.01</v>
      </c>
      <c r="G86" s="107"/>
      <c r="H86" s="110"/>
      <c r="I86" s="4"/>
      <c r="J86" s="5"/>
    </row>
    <row r="87" spans="2:10" x14ac:dyDescent="0.3">
      <c r="B87" s="99" t="s">
        <v>900</v>
      </c>
      <c r="C87" s="4" t="s">
        <v>901</v>
      </c>
      <c r="D87" s="4" t="s">
        <v>902</v>
      </c>
      <c r="E87" s="88">
        <v>41491</v>
      </c>
      <c r="F87" s="5">
        <v>0.01</v>
      </c>
      <c r="G87" s="107"/>
      <c r="H87" s="110"/>
      <c r="I87" s="4"/>
      <c r="J87" s="5"/>
    </row>
    <row r="88" spans="2:10" x14ac:dyDescent="0.3">
      <c r="B88" s="99" t="s">
        <v>900</v>
      </c>
      <c r="C88" s="4" t="s">
        <v>901</v>
      </c>
      <c r="D88" s="4" t="s">
        <v>902</v>
      </c>
      <c r="E88" s="88">
        <v>41491</v>
      </c>
      <c r="F88" s="5">
        <v>0.05</v>
      </c>
      <c r="G88" s="107"/>
      <c r="H88" s="110"/>
      <c r="I88" s="4"/>
      <c r="J88" s="5"/>
    </row>
    <row r="89" spans="2:10" x14ac:dyDescent="0.3">
      <c r="B89" s="99" t="s">
        <v>900</v>
      </c>
      <c r="C89" s="4" t="s">
        <v>901</v>
      </c>
      <c r="D89" s="4" t="s">
        <v>902</v>
      </c>
      <c r="E89" s="88">
        <v>41491</v>
      </c>
      <c r="F89" s="5">
        <v>0.01</v>
      </c>
      <c r="G89" s="107"/>
      <c r="H89" s="110"/>
      <c r="I89" s="4"/>
      <c r="J89" s="5"/>
    </row>
    <row r="90" spans="2:10" x14ac:dyDescent="0.3">
      <c r="B90" s="99" t="s">
        <v>900</v>
      </c>
      <c r="C90" s="4" t="s">
        <v>901</v>
      </c>
      <c r="D90" s="4" t="s">
        <v>902</v>
      </c>
      <c r="E90" s="88">
        <v>41491</v>
      </c>
      <c r="F90" s="5">
        <v>0.01</v>
      </c>
      <c r="G90" s="107"/>
      <c r="H90" s="110"/>
      <c r="I90" s="4"/>
      <c r="J90" s="5"/>
    </row>
    <row r="91" spans="2:10" x14ac:dyDescent="0.3">
      <c r="B91" s="99" t="s">
        <v>900</v>
      </c>
      <c r="C91" s="4" t="s">
        <v>901</v>
      </c>
      <c r="D91" s="4" t="s">
        <v>902</v>
      </c>
      <c r="E91" s="88">
        <v>41498</v>
      </c>
      <c r="F91" s="5">
        <v>0.01</v>
      </c>
      <c r="G91" s="107"/>
      <c r="H91" s="110"/>
      <c r="I91" s="4"/>
      <c r="J91" s="5"/>
    </row>
    <row r="92" spans="2:10" x14ac:dyDescent="0.3">
      <c r="B92" s="99" t="s">
        <v>900</v>
      </c>
      <c r="C92" s="4" t="s">
        <v>901</v>
      </c>
      <c r="D92" s="4" t="s">
        <v>902</v>
      </c>
      <c r="E92" s="88">
        <v>41498</v>
      </c>
      <c r="F92" s="5">
        <v>0.05</v>
      </c>
      <c r="G92" s="107"/>
      <c r="H92" s="110"/>
      <c r="I92" s="4"/>
      <c r="J92" s="5"/>
    </row>
    <row r="93" spans="2:10" x14ac:dyDescent="0.3">
      <c r="B93" s="99" t="s">
        <v>900</v>
      </c>
      <c r="C93" s="4" t="s">
        <v>901</v>
      </c>
      <c r="D93" s="4" t="s">
        <v>902</v>
      </c>
      <c r="E93" s="88">
        <v>41498</v>
      </c>
      <c r="F93" s="5">
        <v>0.05</v>
      </c>
      <c r="G93" s="107"/>
      <c r="H93" s="110"/>
      <c r="I93" s="4"/>
      <c r="J93" s="5"/>
    </row>
    <row r="94" spans="2:10" x14ac:dyDescent="0.3">
      <c r="B94" s="99" t="s">
        <v>900</v>
      </c>
      <c r="C94" s="4" t="s">
        <v>901</v>
      </c>
      <c r="D94" s="4" t="s">
        <v>902</v>
      </c>
      <c r="E94" s="88">
        <v>41498</v>
      </c>
      <c r="F94" s="5">
        <v>0.05</v>
      </c>
      <c r="G94" s="107"/>
      <c r="H94" s="110"/>
      <c r="I94" s="4"/>
      <c r="J94" s="5"/>
    </row>
    <row r="95" spans="2:10" x14ac:dyDescent="0.3">
      <c r="B95" s="99" t="s">
        <v>900</v>
      </c>
      <c r="C95" s="4" t="s">
        <v>901</v>
      </c>
      <c r="D95" s="4" t="s">
        <v>902</v>
      </c>
      <c r="E95" s="88">
        <v>41498</v>
      </c>
      <c r="F95" s="5">
        <v>0.01</v>
      </c>
      <c r="G95" s="107"/>
      <c r="H95" s="110"/>
      <c r="I95" s="4"/>
      <c r="J95" s="5"/>
    </row>
    <row r="96" spans="2:10" x14ac:dyDescent="0.3">
      <c r="B96" s="99" t="s">
        <v>903</v>
      </c>
      <c r="C96" s="4" t="s">
        <v>904</v>
      </c>
      <c r="D96" s="4" t="s">
        <v>899</v>
      </c>
      <c r="E96" s="88">
        <v>41484</v>
      </c>
      <c r="F96" s="5">
        <v>1</v>
      </c>
      <c r="G96" s="107"/>
      <c r="H96" s="110"/>
      <c r="I96" s="4"/>
      <c r="J96" s="5"/>
    </row>
    <row r="97" spans="2:10" x14ac:dyDescent="0.3">
      <c r="B97" s="99" t="s">
        <v>903</v>
      </c>
      <c r="C97" s="4" t="s">
        <v>904</v>
      </c>
      <c r="D97" s="4" t="s">
        <v>899</v>
      </c>
      <c r="E97" s="88">
        <v>41484</v>
      </c>
      <c r="F97" s="5">
        <v>1</v>
      </c>
      <c r="G97" s="107"/>
      <c r="H97" s="110"/>
      <c r="I97" s="4"/>
      <c r="J97" s="5"/>
    </row>
    <row r="98" spans="2:10" x14ac:dyDescent="0.3">
      <c r="B98" s="99" t="s">
        <v>903</v>
      </c>
      <c r="C98" s="4" t="s">
        <v>904</v>
      </c>
      <c r="D98" s="4" t="s">
        <v>899</v>
      </c>
      <c r="E98" s="88">
        <v>41484</v>
      </c>
      <c r="F98" s="5">
        <v>1</v>
      </c>
      <c r="G98" s="107"/>
      <c r="H98" s="110"/>
      <c r="I98" s="4"/>
      <c r="J98" s="5"/>
    </row>
    <row r="99" spans="2:10" x14ac:dyDescent="0.3">
      <c r="B99" s="99" t="s">
        <v>903</v>
      </c>
      <c r="C99" s="4" t="s">
        <v>904</v>
      </c>
      <c r="D99" s="4" t="s">
        <v>899</v>
      </c>
      <c r="E99" s="88">
        <v>41484</v>
      </c>
      <c r="F99" s="5">
        <v>1</v>
      </c>
      <c r="G99" s="107"/>
      <c r="H99" s="110"/>
      <c r="I99" s="4"/>
      <c r="J99" s="5"/>
    </row>
    <row r="100" spans="2:10" x14ac:dyDescent="0.3">
      <c r="B100" s="99" t="s">
        <v>903</v>
      </c>
      <c r="C100" s="4" t="s">
        <v>904</v>
      </c>
      <c r="D100" s="4" t="s">
        <v>899</v>
      </c>
      <c r="E100" s="88">
        <v>41484</v>
      </c>
      <c r="F100" s="5">
        <v>1</v>
      </c>
      <c r="G100" s="107"/>
      <c r="H100" s="110"/>
      <c r="I100" s="4"/>
      <c r="J100" s="5"/>
    </row>
    <row r="101" spans="2:10" x14ac:dyDescent="0.3">
      <c r="B101" s="99" t="s">
        <v>903</v>
      </c>
      <c r="C101" s="4" t="s">
        <v>904</v>
      </c>
      <c r="D101" s="4" t="s">
        <v>899</v>
      </c>
      <c r="E101" s="88">
        <v>41491</v>
      </c>
      <c r="F101" s="5">
        <v>1</v>
      </c>
      <c r="G101" s="107"/>
      <c r="H101" s="110"/>
      <c r="I101" s="4"/>
      <c r="J101" s="5"/>
    </row>
    <row r="102" spans="2:10" x14ac:dyDescent="0.3">
      <c r="B102" s="99" t="s">
        <v>903</v>
      </c>
      <c r="C102" s="4" t="s">
        <v>904</v>
      </c>
      <c r="D102" s="4" t="s">
        <v>899</v>
      </c>
      <c r="E102" s="88">
        <v>41491</v>
      </c>
      <c r="F102" s="5">
        <v>1</v>
      </c>
      <c r="G102" s="107"/>
      <c r="H102" s="110"/>
      <c r="I102" s="4"/>
      <c r="J102" s="5"/>
    </row>
    <row r="103" spans="2:10" x14ac:dyDescent="0.3">
      <c r="B103" s="99" t="s">
        <v>903</v>
      </c>
      <c r="C103" s="4" t="s">
        <v>904</v>
      </c>
      <c r="D103" s="4" t="s">
        <v>899</v>
      </c>
      <c r="E103" s="88">
        <v>41491</v>
      </c>
      <c r="F103" s="5">
        <v>1</v>
      </c>
      <c r="G103" s="107"/>
      <c r="H103" s="110"/>
      <c r="I103" s="4"/>
      <c r="J103" s="5"/>
    </row>
    <row r="104" spans="2:10" x14ac:dyDescent="0.3">
      <c r="B104" s="99" t="s">
        <v>903</v>
      </c>
      <c r="C104" s="4" t="s">
        <v>904</v>
      </c>
      <c r="D104" s="4" t="s">
        <v>899</v>
      </c>
      <c r="E104" s="88">
        <v>41491</v>
      </c>
      <c r="F104" s="5">
        <v>1</v>
      </c>
      <c r="G104" s="107"/>
      <c r="H104" s="110"/>
      <c r="I104" s="4"/>
      <c r="J104" s="5"/>
    </row>
    <row r="105" spans="2:10" x14ac:dyDescent="0.3">
      <c r="B105" s="99" t="s">
        <v>903</v>
      </c>
      <c r="C105" s="4" t="s">
        <v>904</v>
      </c>
      <c r="D105" s="4" t="s">
        <v>899</v>
      </c>
      <c r="E105" s="88">
        <v>41491</v>
      </c>
      <c r="F105" s="5">
        <v>1</v>
      </c>
      <c r="G105" s="107"/>
      <c r="H105" s="110"/>
      <c r="I105" s="4"/>
      <c r="J105" s="5"/>
    </row>
    <row r="106" spans="2:10" x14ac:dyDescent="0.3">
      <c r="B106" s="99" t="s">
        <v>903</v>
      </c>
      <c r="C106" s="4" t="s">
        <v>904</v>
      </c>
      <c r="D106" s="4" t="s">
        <v>899</v>
      </c>
      <c r="E106" s="88">
        <v>41498</v>
      </c>
      <c r="F106" s="5">
        <v>1</v>
      </c>
      <c r="G106" s="107"/>
      <c r="H106" s="110"/>
      <c r="I106" s="4"/>
      <c r="J106" s="5"/>
    </row>
    <row r="107" spans="2:10" x14ac:dyDescent="0.3">
      <c r="B107" s="99" t="s">
        <v>903</v>
      </c>
      <c r="C107" s="4" t="s">
        <v>904</v>
      </c>
      <c r="D107" s="4" t="s">
        <v>899</v>
      </c>
      <c r="E107" s="88">
        <v>41498</v>
      </c>
      <c r="F107" s="5">
        <v>1</v>
      </c>
      <c r="G107" s="107"/>
      <c r="H107" s="110"/>
      <c r="I107" s="4"/>
      <c r="J107" s="5"/>
    </row>
    <row r="108" spans="2:10" x14ac:dyDescent="0.3">
      <c r="B108" s="99" t="s">
        <v>903</v>
      </c>
      <c r="C108" s="4" t="s">
        <v>904</v>
      </c>
      <c r="D108" s="4" t="s">
        <v>899</v>
      </c>
      <c r="E108" s="88">
        <v>41498</v>
      </c>
      <c r="F108" s="5">
        <v>1</v>
      </c>
      <c r="G108" s="107"/>
      <c r="H108" s="110"/>
      <c r="I108" s="4"/>
      <c r="J108" s="5"/>
    </row>
    <row r="109" spans="2:10" x14ac:dyDescent="0.3">
      <c r="B109" s="99" t="s">
        <v>903</v>
      </c>
      <c r="C109" s="4" t="s">
        <v>904</v>
      </c>
      <c r="D109" s="4" t="s">
        <v>899</v>
      </c>
      <c r="E109" s="88">
        <v>41498</v>
      </c>
      <c r="F109" s="5">
        <v>1</v>
      </c>
      <c r="G109" s="107"/>
      <c r="H109" s="110"/>
      <c r="I109" s="4"/>
      <c r="J109" s="5"/>
    </row>
    <row r="110" spans="2:10" x14ac:dyDescent="0.3">
      <c r="B110" s="99" t="s">
        <v>903</v>
      </c>
      <c r="C110" s="4" t="s">
        <v>904</v>
      </c>
      <c r="D110" s="4" t="s">
        <v>899</v>
      </c>
      <c r="E110" s="88">
        <v>41498</v>
      </c>
      <c r="F110" s="5">
        <v>1</v>
      </c>
      <c r="G110" s="107"/>
      <c r="H110" s="110"/>
      <c r="I110" s="4"/>
      <c r="J110" s="5"/>
    </row>
    <row r="111" spans="2:10" x14ac:dyDescent="0.3">
      <c r="B111" s="99" t="s">
        <v>905</v>
      </c>
      <c r="C111" s="4" t="s">
        <v>662</v>
      </c>
      <c r="D111" s="4" t="s">
        <v>827</v>
      </c>
      <c r="E111" s="88">
        <v>41631</v>
      </c>
      <c r="F111" s="5">
        <v>1</v>
      </c>
      <c r="G111" s="107">
        <v>0.03</v>
      </c>
      <c r="H111" s="110">
        <v>0.03</v>
      </c>
      <c r="I111" s="4">
        <v>7</v>
      </c>
      <c r="J111" s="5" t="s">
        <v>829</v>
      </c>
    </row>
    <row r="112" spans="2:10" x14ac:dyDescent="0.3">
      <c r="B112" s="99" t="s">
        <v>906</v>
      </c>
      <c r="C112" s="4" t="s">
        <v>662</v>
      </c>
      <c r="D112" s="4" t="s">
        <v>827</v>
      </c>
      <c r="E112" s="88">
        <v>41631</v>
      </c>
      <c r="F112" s="5">
        <v>1</v>
      </c>
      <c r="G112" s="107">
        <v>0.01</v>
      </c>
      <c r="H112" s="110">
        <v>0</v>
      </c>
      <c r="I112" s="4">
        <v>3</v>
      </c>
      <c r="J112" s="5" t="s">
        <v>828</v>
      </c>
    </row>
    <row r="113" spans="2:10" x14ac:dyDescent="0.3">
      <c r="B113" s="99" t="s">
        <v>907</v>
      </c>
      <c r="C113" s="4" t="s">
        <v>662</v>
      </c>
      <c r="D113" s="4" t="s">
        <v>827</v>
      </c>
      <c r="E113" s="88">
        <v>41631</v>
      </c>
      <c r="F113" s="5">
        <v>1</v>
      </c>
      <c r="G113" s="107">
        <v>0.01</v>
      </c>
      <c r="H113" s="110">
        <v>0.01</v>
      </c>
      <c r="I113" s="4">
        <v>2</v>
      </c>
      <c r="J113" s="5" t="s">
        <v>828</v>
      </c>
    </row>
    <row r="114" spans="2:10" x14ac:dyDescent="0.3">
      <c r="B114" s="99" t="s">
        <v>908</v>
      </c>
      <c r="C114" s="4" t="s">
        <v>840</v>
      </c>
      <c r="D114" s="4" t="s">
        <v>841</v>
      </c>
      <c r="E114" s="88">
        <v>41631</v>
      </c>
      <c r="F114" s="5">
        <v>1</v>
      </c>
      <c r="G114" s="107">
        <v>0.01</v>
      </c>
      <c r="H114" s="110">
        <v>0.01</v>
      </c>
      <c r="I114" s="4">
        <v>1</v>
      </c>
      <c r="J114" s="5" t="s">
        <v>828</v>
      </c>
    </row>
    <row r="115" spans="2:10" x14ac:dyDescent="0.3">
      <c r="B115" s="99" t="s">
        <v>909</v>
      </c>
      <c r="C115" s="4" t="s">
        <v>840</v>
      </c>
      <c r="D115" s="4" t="s">
        <v>841</v>
      </c>
      <c r="E115" s="88">
        <v>41631</v>
      </c>
      <c r="F115" s="5">
        <v>0.02</v>
      </c>
      <c r="G115" s="107">
        <v>0.01</v>
      </c>
      <c r="H115" s="110">
        <v>0.01</v>
      </c>
      <c r="I115" s="4">
        <v>4</v>
      </c>
      <c r="J115" s="5" t="s">
        <v>829</v>
      </c>
    </row>
    <row r="116" spans="2:10" x14ac:dyDescent="0.3">
      <c r="B116" s="99" t="s">
        <v>910</v>
      </c>
      <c r="C116" s="4" t="s">
        <v>840</v>
      </c>
      <c r="D116" s="4" t="s">
        <v>841</v>
      </c>
      <c r="E116" s="88">
        <v>41631</v>
      </c>
      <c r="F116" s="5">
        <v>1</v>
      </c>
      <c r="G116" s="107">
        <v>0.01</v>
      </c>
      <c r="H116" s="110">
        <v>0.01</v>
      </c>
      <c r="I116" s="4">
        <v>2</v>
      </c>
      <c r="J116" s="5" t="s">
        <v>828</v>
      </c>
    </row>
    <row r="117" spans="2:10" x14ac:dyDescent="0.3">
      <c r="B117" s="99" t="s">
        <v>911</v>
      </c>
      <c r="C117" s="4" t="s">
        <v>840</v>
      </c>
      <c r="D117" s="4" t="s">
        <v>841</v>
      </c>
      <c r="E117" s="88">
        <v>41631</v>
      </c>
      <c r="F117" s="5">
        <v>1</v>
      </c>
      <c r="G117" s="107">
        <v>0.01</v>
      </c>
      <c r="H117" s="110">
        <v>0</v>
      </c>
      <c r="I117" s="4">
        <v>1</v>
      </c>
      <c r="J117" s="5" t="s">
        <v>828</v>
      </c>
    </row>
    <row r="118" spans="2:10" x14ac:dyDescent="0.3">
      <c r="B118" s="99" t="s">
        <v>912</v>
      </c>
      <c r="C118" s="4" t="s">
        <v>913</v>
      </c>
      <c r="D118" s="4" t="s">
        <v>914</v>
      </c>
      <c r="E118" s="88">
        <v>41631</v>
      </c>
      <c r="F118" s="5">
        <v>1</v>
      </c>
      <c r="G118" s="107">
        <v>7.84</v>
      </c>
      <c r="H118" s="110">
        <v>1.36</v>
      </c>
      <c r="I118" s="4">
        <v>2</v>
      </c>
      <c r="J118" s="5" t="s">
        <v>829</v>
      </c>
    </row>
    <row r="119" spans="2:10" x14ac:dyDescent="0.3">
      <c r="B119" s="99" t="s">
        <v>915</v>
      </c>
      <c r="C119" s="4" t="s">
        <v>913</v>
      </c>
      <c r="D119" s="4" t="s">
        <v>914</v>
      </c>
      <c r="E119" s="88">
        <v>41631</v>
      </c>
      <c r="F119" s="5">
        <v>0.02</v>
      </c>
      <c r="G119" s="107">
        <v>8.94</v>
      </c>
      <c r="H119" s="110">
        <v>2.75</v>
      </c>
      <c r="I119" s="4">
        <v>2</v>
      </c>
      <c r="J119" s="5" t="s">
        <v>828</v>
      </c>
    </row>
    <row r="120" spans="2:10" x14ac:dyDescent="0.3">
      <c r="B120" s="99" t="s">
        <v>916</v>
      </c>
      <c r="C120" s="4" t="s">
        <v>913</v>
      </c>
      <c r="D120" s="4" t="s">
        <v>914</v>
      </c>
      <c r="E120" s="88">
        <v>41631</v>
      </c>
      <c r="F120" s="5">
        <v>0.25</v>
      </c>
      <c r="G120" s="107">
        <v>7.89</v>
      </c>
      <c r="H120" s="110">
        <v>1.53</v>
      </c>
      <c r="I120" s="4">
        <v>2</v>
      </c>
      <c r="J120" s="5" t="s">
        <v>828</v>
      </c>
    </row>
    <row r="121" spans="2:10" x14ac:dyDescent="0.3">
      <c r="B121" s="99" t="s">
        <v>917</v>
      </c>
      <c r="C121" s="4" t="s">
        <v>913</v>
      </c>
      <c r="D121" s="4" t="s">
        <v>914</v>
      </c>
      <c r="E121" s="88">
        <v>41631</v>
      </c>
      <c r="F121" s="5">
        <v>0.25</v>
      </c>
      <c r="G121" s="107">
        <v>4.99</v>
      </c>
      <c r="H121" s="110">
        <v>2.99</v>
      </c>
      <c r="I121" s="4">
        <v>2</v>
      </c>
      <c r="J121" s="5" t="s">
        <v>828</v>
      </c>
    </row>
    <row r="122" spans="2:10" x14ac:dyDescent="0.3">
      <c r="B122" s="99" t="s">
        <v>918</v>
      </c>
      <c r="C122" s="4" t="s">
        <v>913</v>
      </c>
      <c r="D122" s="4" t="s">
        <v>914</v>
      </c>
      <c r="E122" s="88">
        <v>41631</v>
      </c>
      <c r="F122" s="5">
        <v>0.75</v>
      </c>
      <c r="G122" s="107">
        <v>4.76</v>
      </c>
      <c r="H122" s="110">
        <v>6.77</v>
      </c>
      <c r="I122" s="4">
        <v>2</v>
      </c>
      <c r="J122" s="5" t="s">
        <v>828</v>
      </c>
    </row>
    <row r="123" spans="2:10" x14ac:dyDescent="0.3">
      <c r="B123" s="99" t="s">
        <v>919</v>
      </c>
      <c r="C123" s="4" t="s">
        <v>913</v>
      </c>
      <c r="D123" s="4" t="s">
        <v>914</v>
      </c>
      <c r="E123" s="88">
        <v>41631</v>
      </c>
      <c r="F123" s="5">
        <v>1</v>
      </c>
      <c r="G123" s="107">
        <v>4.32</v>
      </c>
      <c r="H123" s="110">
        <v>5.35</v>
      </c>
      <c r="I123" s="4">
        <v>2</v>
      </c>
      <c r="J123" s="5" t="s">
        <v>828</v>
      </c>
    </row>
    <row r="124" spans="2:10" x14ac:dyDescent="0.3">
      <c r="B124" s="99" t="s">
        <v>920</v>
      </c>
      <c r="C124" s="4" t="s">
        <v>913</v>
      </c>
      <c r="D124" s="4" t="s">
        <v>914</v>
      </c>
      <c r="E124" s="88">
        <v>41631</v>
      </c>
      <c r="F124" s="5">
        <v>0.02</v>
      </c>
      <c r="G124" s="107">
        <v>9.25</v>
      </c>
      <c r="H124" s="110">
        <v>1.72</v>
      </c>
      <c r="I124" s="4">
        <v>2</v>
      </c>
      <c r="J124" s="5" t="s">
        <v>828</v>
      </c>
    </row>
    <row r="125" spans="2:10" x14ac:dyDescent="0.3">
      <c r="B125" s="99" t="s">
        <v>921</v>
      </c>
      <c r="C125" s="4" t="s">
        <v>913</v>
      </c>
      <c r="D125" s="4" t="s">
        <v>914</v>
      </c>
      <c r="E125" s="88">
        <v>41631</v>
      </c>
      <c r="F125" s="5">
        <v>1</v>
      </c>
      <c r="G125" s="107">
        <v>9.06</v>
      </c>
      <c r="H125" s="110">
        <v>1.78</v>
      </c>
      <c r="I125" s="4">
        <v>2</v>
      </c>
      <c r="J125" s="5" t="s">
        <v>828</v>
      </c>
    </row>
    <row r="126" spans="2:10" x14ac:dyDescent="0.3">
      <c r="B126" s="99" t="s">
        <v>922</v>
      </c>
      <c r="C126" s="4" t="s">
        <v>913</v>
      </c>
      <c r="D126" s="4" t="s">
        <v>914</v>
      </c>
      <c r="E126" s="88">
        <v>41631</v>
      </c>
      <c r="F126" s="5">
        <v>0.02</v>
      </c>
      <c r="G126" s="107">
        <v>6.28</v>
      </c>
      <c r="H126" s="110">
        <v>7.16</v>
      </c>
      <c r="I126" s="4">
        <v>2</v>
      </c>
      <c r="J126" s="5" t="s">
        <v>828</v>
      </c>
    </row>
    <row r="127" spans="2:10" x14ac:dyDescent="0.3">
      <c r="B127" s="99" t="s">
        <v>923</v>
      </c>
      <c r="C127" s="4" t="s">
        <v>913</v>
      </c>
      <c r="D127" s="4" t="s">
        <v>914</v>
      </c>
      <c r="E127" s="88">
        <v>41631</v>
      </c>
      <c r="F127" s="5">
        <v>1</v>
      </c>
      <c r="G127" s="107">
        <v>5.94</v>
      </c>
      <c r="H127" s="110">
        <v>2.11</v>
      </c>
      <c r="I127" s="4">
        <v>2</v>
      </c>
      <c r="J127" s="5" t="s">
        <v>829</v>
      </c>
    </row>
    <row r="128" spans="2:10" x14ac:dyDescent="0.3">
      <c r="B128" s="99" t="s">
        <v>924</v>
      </c>
      <c r="C128" s="4" t="s">
        <v>913</v>
      </c>
      <c r="D128" s="4" t="s">
        <v>914</v>
      </c>
      <c r="E128" s="88">
        <v>41631</v>
      </c>
      <c r="F128" s="5">
        <v>0.25</v>
      </c>
      <c r="G128" s="107">
        <v>5.24</v>
      </c>
      <c r="H128" s="110">
        <v>2.1</v>
      </c>
      <c r="I128" s="4">
        <v>2</v>
      </c>
      <c r="J128" s="5" t="s">
        <v>828</v>
      </c>
    </row>
    <row r="129" spans="2:10" x14ac:dyDescent="0.3">
      <c r="B129" s="99" t="s">
        <v>925</v>
      </c>
      <c r="C129" s="4" t="s">
        <v>926</v>
      </c>
      <c r="D129" s="4" t="s">
        <v>927</v>
      </c>
      <c r="E129" s="88">
        <v>41631</v>
      </c>
      <c r="F129" s="5">
        <v>0.25</v>
      </c>
      <c r="G129" s="107">
        <v>5.94</v>
      </c>
      <c r="H129" s="110">
        <v>3.86</v>
      </c>
      <c r="I129" s="4">
        <v>2</v>
      </c>
      <c r="J129" s="5" t="s">
        <v>828</v>
      </c>
    </row>
    <row r="130" spans="2:10" x14ac:dyDescent="0.3">
      <c r="B130" s="99" t="s">
        <v>928</v>
      </c>
      <c r="C130" s="4" t="s">
        <v>926</v>
      </c>
      <c r="D130" s="4" t="s">
        <v>927</v>
      </c>
      <c r="E130" s="88">
        <v>41631</v>
      </c>
      <c r="F130" s="5">
        <v>1</v>
      </c>
      <c r="G130" s="107">
        <v>7.0000000000000007E-2</v>
      </c>
      <c r="H130" s="110">
        <v>0.05</v>
      </c>
      <c r="I130" s="4">
        <v>2</v>
      </c>
      <c r="J130" s="5" t="s">
        <v>828</v>
      </c>
    </row>
    <row r="131" spans="2:10" x14ac:dyDescent="0.3">
      <c r="B131" s="99" t="s">
        <v>929</v>
      </c>
      <c r="C131" s="4" t="s">
        <v>926</v>
      </c>
      <c r="D131" s="4" t="s">
        <v>927</v>
      </c>
      <c r="E131" s="88">
        <v>41631</v>
      </c>
      <c r="F131" s="5">
        <v>0.75</v>
      </c>
      <c r="G131" s="107">
        <v>8.06</v>
      </c>
      <c r="H131" s="110">
        <v>2.36</v>
      </c>
      <c r="I131" s="4">
        <v>2</v>
      </c>
      <c r="J131" s="5" t="s">
        <v>828</v>
      </c>
    </row>
    <row r="132" spans="2:10" x14ac:dyDescent="0.3">
      <c r="B132" s="99" t="s">
        <v>930</v>
      </c>
      <c r="C132" s="4" t="s">
        <v>926</v>
      </c>
      <c r="D132" s="4" t="s">
        <v>927</v>
      </c>
      <c r="E132" s="88">
        <v>41631</v>
      </c>
      <c r="F132" s="5">
        <v>0.5</v>
      </c>
      <c r="G132" s="107">
        <v>7.67</v>
      </c>
      <c r="H132" s="110">
        <v>4.47</v>
      </c>
      <c r="I132" s="4">
        <v>2</v>
      </c>
      <c r="J132" s="5" t="s">
        <v>829</v>
      </c>
    </row>
    <row r="133" spans="2:10" x14ac:dyDescent="0.3">
      <c r="B133" s="99" t="s">
        <v>931</v>
      </c>
      <c r="C133" s="4" t="s">
        <v>926</v>
      </c>
      <c r="D133" s="4" t="s">
        <v>927</v>
      </c>
      <c r="E133" s="88">
        <v>41631</v>
      </c>
      <c r="F133" s="5">
        <v>1</v>
      </c>
      <c r="G133" s="107">
        <v>5.03</v>
      </c>
      <c r="H133" s="110">
        <v>2.13</v>
      </c>
      <c r="I133" s="4">
        <v>2</v>
      </c>
      <c r="J133" s="5" t="s">
        <v>828</v>
      </c>
    </row>
    <row r="134" spans="2:10" x14ac:dyDescent="0.3">
      <c r="B134" s="99" t="s">
        <v>932</v>
      </c>
      <c r="C134" s="4" t="s">
        <v>926</v>
      </c>
      <c r="D134" s="4" t="s">
        <v>927</v>
      </c>
      <c r="E134" s="88">
        <v>41631</v>
      </c>
      <c r="F134" s="5">
        <v>0.75</v>
      </c>
      <c r="G134" s="107">
        <v>4.6900000000000004</v>
      </c>
      <c r="H134" s="110">
        <v>5.35</v>
      </c>
      <c r="I134" s="4">
        <v>2</v>
      </c>
      <c r="J134" s="5" t="s">
        <v>828</v>
      </c>
    </row>
    <row r="135" spans="2:10" x14ac:dyDescent="0.3">
      <c r="B135" s="99" t="s">
        <v>933</v>
      </c>
      <c r="C135" s="4" t="s">
        <v>926</v>
      </c>
      <c r="D135" s="4" t="s">
        <v>927</v>
      </c>
      <c r="E135" s="88">
        <v>41631</v>
      </c>
      <c r="F135" s="5">
        <v>0.75</v>
      </c>
      <c r="G135" s="107">
        <v>8</v>
      </c>
      <c r="H135" s="110">
        <v>4.99</v>
      </c>
      <c r="I135" s="4">
        <v>2</v>
      </c>
      <c r="J135" s="5" t="s">
        <v>828</v>
      </c>
    </row>
    <row r="136" spans="2:10" x14ac:dyDescent="0.3">
      <c r="B136" s="99" t="s">
        <v>934</v>
      </c>
      <c r="C136" s="4" t="s">
        <v>926</v>
      </c>
      <c r="D136" s="4" t="s">
        <v>927</v>
      </c>
      <c r="E136" s="88">
        <v>41631</v>
      </c>
      <c r="F136" s="5">
        <v>0.02</v>
      </c>
      <c r="G136" s="107">
        <v>8.4600000000000009</v>
      </c>
      <c r="H136" s="110">
        <v>3.89</v>
      </c>
      <c r="I136" s="4">
        <v>2</v>
      </c>
      <c r="J136" s="5" t="s">
        <v>828</v>
      </c>
    </row>
    <row r="137" spans="2:10" x14ac:dyDescent="0.3">
      <c r="B137" s="99" t="s">
        <v>935</v>
      </c>
      <c r="C137" s="4" t="s">
        <v>926</v>
      </c>
      <c r="D137" s="4" t="s">
        <v>927</v>
      </c>
      <c r="E137" s="88">
        <v>41631</v>
      </c>
      <c r="F137" s="5">
        <v>0.02</v>
      </c>
      <c r="G137" s="107">
        <v>5.0999999999999996</v>
      </c>
      <c r="H137" s="110">
        <v>1.46</v>
      </c>
      <c r="I137" s="4">
        <v>2</v>
      </c>
      <c r="J137" s="5" t="s">
        <v>829</v>
      </c>
    </row>
    <row r="138" spans="2:10" x14ac:dyDescent="0.3">
      <c r="B138" s="99" t="s">
        <v>936</v>
      </c>
      <c r="C138" s="4" t="s">
        <v>926</v>
      </c>
      <c r="D138" s="4" t="s">
        <v>927</v>
      </c>
      <c r="E138" s="88">
        <v>41631</v>
      </c>
      <c r="F138" s="5">
        <v>0.01</v>
      </c>
      <c r="G138" s="107">
        <v>8.11</v>
      </c>
      <c r="H138" s="110">
        <v>36.5</v>
      </c>
      <c r="I138" s="4">
        <v>2</v>
      </c>
      <c r="J138" s="5" t="s">
        <v>829</v>
      </c>
    </row>
    <row r="139" spans="2:10" x14ac:dyDescent="0.3">
      <c r="B139" s="99" t="s">
        <v>937</v>
      </c>
      <c r="C139" s="4" t="s">
        <v>926</v>
      </c>
      <c r="D139" s="4" t="s">
        <v>927</v>
      </c>
      <c r="E139" s="88">
        <v>41631</v>
      </c>
      <c r="F139" s="5">
        <v>0.5</v>
      </c>
      <c r="G139" s="107">
        <v>3.48</v>
      </c>
      <c r="H139" s="110">
        <v>2.66</v>
      </c>
      <c r="I139" s="4">
        <v>2</v>
      </c>
      <c r="J139" s="5" t="s">
        <v>828</v>
      </c>
    </row>
    <row r="140" spans="2:10" x14ac:dyDescent="0.3">
      <c r="B140" s="99" t="s">
        <v>897</v>
      </c>
      <c r="C140" s="4" t="s">
        <v>898</v>
      </c>
      <c r="D140" s="4" t="s">
        <v>899</v>
      </c>
      <c r="E140" s="88">
        <v>41631</v>
      </c>
      <c r="F140" s="5">
        <v>1</v>
      </c>
      <c r="G140" s="107"/>
      <c r="H140" s="110"/>
      <c r="I140" s="4"/>
      <c r="J140" s="5"/>
    </row>
    <row r="141" spans="2:10" x14ac:dyDescent="0.3">
      <c r="B141" s="99" t="s">
        <v>897</v>
      </c>
      <c r="C141" s="4" t="s">
        <v>898</v>
      </c>
      <c r="D141" s="4" t="s">
        <v>899</v>
      </c>
      <c r="E141" s="88">
        <v>41631</v>
      </c>
      <c r="F141" s="5">
        <v>0.75</v>
      </c>
      <c r="G141" s="107"/>
      <c r="H141" s="110"/>
      <c r="I141" s="4"/>
      <c r="J141" s="5"/>
    </row>
    <row r="142" spans="2:10" x14ac:dyDescent="0.3">
      <c r="B142" s="99" t="s">
        <v>897</v>
      </c>
      <c r="C142" s="4" t="s">
        <v>898</v>
      </c>
      <c r="D142" s="4" t="s">
        <v>899</v>
      </c>
      <c r="E142" s="88">
        <v>41631</v>
      </c>
      <c r="F142" s="5">
        <v>1</v>
      </c>
      <c r="G142" s="107"/>
      <c r="H142" s="110"/>
      <c r="I142" s="4"/>
      <c r="J142" s="5"/>
    </row>
    <row r="143" spans="2:10" x14ac:dyDescent="0.3">
      <c r="B143" s="99" t="s">
        <v>897</v>
      </c>
      <c r="C143" s="4" t="s">
        <v>898</v>
      </c>
      <c r="D143" s="4" t="s">
        <v>899</v>
      </c>
      <c r="E143" s="88">
        <v>41631</v>
      </c>
      <c r="F143" s="5">
        <v>1</v>
      </c>
      <c r="G143" s="107"/>
      <c r="H143" s="110"/>
      <c r="I143" s="4"/>
      <c r="J143" s="5"/>
    </row>
    <row r="144" spans="2:10" x14ac:dyDescent="0.3">
      <c r="B144" s="99" t="s">
        <v>897</v>
      </c>
      <c r="C144" s="4" t="s">
        <v>898</v>
      </c>
      <c r="D144" s="4" t="s">
        <v>899</v>
      </c>
      <c r="E144" s="88">
        <v>41631</v>
      </c>
      <c r="F144" s="5">
        <v>1</v>
      </c>
      <c r="G144" s="107"/>
      <c r="H144" s="110"/>
      <c r="I144" s="4"/>
      <c r="J144" s="5"/>
    </row>
    <row r="145" spans="2:10" x14ac:dyDescent="0.3">
      <c r="B145" s="99" t="s">
        <v>900</v>
      </c>
      <c r="C145" s="4" t="s">
        <v>901</v>
      </c>
      <c r="D145" s="4" t="s">
        <v>902</v>
      </c>
      <c r="E145" s="88">
        <v>41631</v>
      </c>
      <c r="F145" s="5">
        <v>0.01</v>
      </c>
      <c r="G145" s="107"/>
      <c r="H145" s="110"/>
      <c r="I145" s="4"/>
      <c r="J145" s="5"/>
    </row>
    <row r="146" spans="2:10" x14ac:dyDescent="0.3">
      <c r="B146" s="99" t="s">
        <v>900</v>
      </c>
      <c r="C146" s="4" t="s">
        <v>901</v>
      </c>
      <c r="D146" s="4" t="s">
        <v>902</v>
      </c>
      <c r="E146" s="88">
        <v>41631</v>
      </c>
      <c r="F146" s="5">
        <v>0.01</v>
      </c>
      <c r="G146" s="107"/>
      <c r="H146" s="110"/>
      <c r="I146" s="4"/>
      <c r="J146" s="5"/>
    </row>
    <row r="147" spans="2:10" x14ac:dyDescent="0.3">
      <c r="B147" s="99" t="s">
        <v>900</v>
      </c>
      <c r="C147" s="4" t="s">
        <v>901</v>
      </c>
      <c r="D147" s="4" t="s">
        <v>902</v>
      </c>
      <c r="E147" s="88">
        <v>41631</v>
      </c>
      <c r="F147" s="5">
        <v>0.01</v>
      </c>
      <c r="G147" s="107"/>
      <c r="H147" s="110"/>
      <c r="I147" s="4"/>
      <c r="J147" s="5"/>
    </row>
    <row r="148" spans="2:10" x14ac:dyDescent="0.3">
      <c r="B148" s="99" t="s">
        <v>900</v>
      </c>
      <c r="C148" s="4" t="s">
        <v>901</v>
      </c>
      <c r="D148" s="4" t="s">
        <v>902</v>
      </c>
      <c r="E148" s="88">
        <v>41631</v>
      </c>
      <c r="F148" s="5">
        <v>0.01</v>
      </c>
      <c r="G148" s="107"/>
      <c r="H148" s="110"/>
      <c r="I148" s="4"/>
      <c r="J148" s="5"/>
    </row>
    <row r="149" spans="2:10" x14ac:dyDescent="0.3">
      <c r="B149" s="99" t="s">
        <v>903</v>
      </c>
      <c r="C149" s="4" t="s">
        <v>904</v>
      </c>
      <c r="D149" s="4" t="s">
        <v>899</v>
      </c>
      <c r="E149" s="88">
        <v>41631</v>
      </c>
      <c r="F149" s="5">
        <v>0.75</v>
      </c>
      <c r="G149" s="107"/>
      <c r="H149" s="110"/>
      <c r="I149" s="4"/>
      <c r="J149" s="5"/>
    </row>
    <row r="150" spans="2:10" x14ac:dyDescent="0.3">
      <c r="B150" s="99" t="s">
        <v>903</v>
      </c>
      <c r="C150" s="4" t="s">
        <v>904</v>
      </c>
      <c r="D150" s="4" t="s">
        <v>899</v>
      </c>
      <c r="E150" s="88">
        <v>41631</v>
      </c>
      <c r="F150" s="5">
        <v>1</v>
      </c>
      <c r="G150" s="107"/>
      <c r="H150" s="110"/>
      <c r="I150" s="4"/>
      <c r="J150" s="5"/>
    </row>
    <row r="151" spans="2:10" x14ac:dyDescent="0.3">
      <c r="B151" s="99" t="s">
        <v>903</v>
      </c>
      <c r="C151" s="4" t="s">
        <v>904</v>
      </c>
      <c r="D151" s="4" t="s">
        <v>899</v>
      </c>
      <c r="E151" s="88">
        <v>41631</v>
      </c>
      <c r="F151" s="5">
        <v>1</v>
      </c>
      <c r="G151" s="107"/>
      <c r="H151" s="110"/>
      <c r="I151" s="4"/>
      <c r="J151" s="5"/>
    </row>
    <row r="152" spans="2:10" x14ac:dyDescent="0.3">
      <c r="B152" s="99" t="s">
        <v>903</v>
      </c>
      <c r="C152" s="4" t="s">
        <v>904</v>
      </c>
      <c r="D152" s="4" t="s">
        <v>899</v>
      </c>
      <c r="E152" s="88">
        <v>41631</v>
      </c>
      <c r="F152" s="5">
        <v>1</v>
      </c>
      <c r="G152" s="107"/>
      <c r="H152" s="110"/>
      <c r="I152" s="4"/>
      <c r="J152" s="5"/>
    </row>
    <row r="153" spans="2:10" x14ac:dyDescent="0.3">
      <c r="B153" s="99" t="s">
        <v>826</v>
      </c>
      <c r="C153" s="4" t="s">
        <v>662</v>
      </c>
      <c r="D153" s="4" t="s">
        <v>827</v>
      </c>
      <c r="E153" s="88">
        <v>41491</v>
      </c>
      <c r="F153" s="5">
        <v>1</v>
      </c>
      <c r="G153" s="107">
        <v>315.2</v>
      </c>
      <c r="H153" s="110">
        <v>364.6</v>
      </c>
      <c r="I153" s="4">
        <v>3</v>
      </c>
      <c r="J153" s="5" t="s">
        <v>829</v>
      </c>
    </row>
    <row r="154" spans="2:10" x14ac:dyDescent="0.3">
      <c r="B154" s="99" t="s">
        <v>830</v>
      </c>
      <c r="C154" s="4" t="s">
        <v>662</v>
      </c>
      <c r="D154" s="4" t="s">
        <v>827</v>
      </c>
      <c r="E154" s="88">
        <v>41491</v>
      </c>
      <c r="F154" s="5">
        <v>1</v>
      </c>
      <c r="G154" s="107">
        <v>184.8</v>
      </c>
      <c r="H154" s="110">
        <v>95</v>
      </c>
      <c r="I154" s="4">
        <v>2.2000000000000002</v>
      </c>
      <c r="J154" s="5" t="s">
        <v>828</v>
      </c>
    </row>
    <row r="155" spans="2:10" x14ac:dyDescent="0.3">
      <c r="B155" s="99" t="s">
        <v>831</v>
      </c>
      <c r="C155" s="4" t="s">
        <v>662</v>
      </c>
      <c r="D155" s="4" t="s">
        <v>827</v>
      </c>
      <c r="E155" s="88">
        <v>41491</v>
      </c>
      <c r="F155" s="5">
        <v>1</v>
      </c>
      <c r="G155" s="107">
        <v>0.2</v>
      </c>
      <c r="H155" s="110">
        <v>0.3</v>
      </c>
      <c r="I155" s="4">
        <v>1.2</v>
      </c>
      <c r="J155" s="5" t="s">
        <v>828</v>
      </c>
    </row>
    <row r="156" spans="2:10" x14ac:dyDescent="0.3">
      <c r="B156" s="99" t="s">
        <v>832</v>
      </c>
      <c r="C156" s="4" t="s">
        <v>662</v>
      </c>
      <c r="D156" s="4" t="s">
        <v>827</v>
      </c>
      <c r="E156" s="88">
        <v>41491</v>
      </c>
      <c r="F156" s="5">
        <v>1</v>
      </c>
      <c r="G156" s="107">
        <v>170.1</v>
      </c>
      <c r="H156" s="110">
        <v>128</v>
      </c>
      <c r="I156" s="4">
        <v>3.3</v>
      </c>
      <c r="J156" s="5" t="s">
        <v>829</v>
      </c>
    </row>
    <row r="157" spans="2:10" x14ac:dyDescent="0.3">
      <c r="B157" s="99" t="s">
        <v>833</v>
      </c>
      <c r="C157" s="4" t="s">
        <v>662</v>
      </c>
      <c r="D157" s="4" t="s">
        <v>827</v>
      </c>
      <c r="E157" s="88">
        <v>41491</v>
      </c>
      <c r="F157" s="5">
        <v>1</v>
      </c>
      <c r="G157" s="107">
        <v>179.8</v>
      </c>
      <c r="H157" s="110">
        <v>104</v>
      </c>
      <c r="I157" s="4">
        <v>1.5</v>
      </c>
      <c r="J157" s="5" t="s">
        <v>828</v>
      </c>
    </row>
    <row r="158" spans="2:10" x14ac:dyDescent="0.3">
      <c r="B158" s="99" t="s">
        <v>834</v>
      </c>
      <c r="C158" s="4" t="s">
        <v>662</v>
      </c>
      <c r="D158" s="4" t="s">
        <v>827</v>
      </c>
      <c r="E158" s="88">
        <v>41491</v>
      </c>
      <c r="F158" s="5">
        <v>1</v>
      </c>
      <c r="G158" s="107">
        <v>98.4</v>
      </c>
      <c r="H158" s="110">
        <v>38.9</v>
      </c>
      <c r="I158" s="4">
        <v>1.6</v>
      </c>
      <c r="J158" s="5" t="s">
        <v>828</v>
      </c>
    </row>
    <row r="159" spans="2:10" x14ac:dyDescent="0.3">
      <c r="B159" s="99" t="s">
        <v>835</v>
      </c>
      <c r="C159" s="4" t="s">
        <v>662</v>
      </c>
      <c r="D159" s="4" t="s">
        <v>827</v>
      </c>
      <c r="E159" s="88">
        <v>41484</v>
      </c>
      <c r="F159" s="5">
        <v>1</v>
      </c>
      <c r="G159" s="107">
        <v>0</v>
      </c>
      <c r="H159" s="110">
        <v>32.700000000000003</v>
      </c>
      <c r="I159" s="4">
        <v>1</v>
      </c>
      <c r="J159" s="5" t="s">
        <v>828</v>
      </c>
    </row>
    <row r="160" spans="2:10" x14ac:dyDescent="0.3">
      <c r="B160" s="99" t="s">
        <v>836</v>
      </c>
      <c r="C160" s="4" t="s">
        <v>662</v>
      </c>
      <c r="D160" s="4" t="s">
        <v>827</v>
      </c>
      <c r="E160" s="88">
        <v>41484</v>
      </c>
      <c r="F160" s="5">
        <v>1</v>
      </c>
      <c r="G160" s="107">
        <v>171.3</v>
      </c>
      <c r="H160" s="110">
        <v>202.3</v>
      </c>
      <c r="I160" s="4">
        <v>1</v>
      </c>
      <c r="J160" s="5" t="s">
        <v>828</v>
      </c>
    </row>
    <row r="161" spans="2:10" x14ac:dyDescent="0.3">
      <c r="B161" s="99" t="s">
        <v>837</v>
      </c>
      <c r="C161" s="4" t="s">
        <v>662</v>
      </c>
      <c r="D161" s="4" t="s">
        <v>827</v>
      </c>
      <c r="E161" s="88">
        <v>41484</v>
      </c>
      <c r="F161" s="5">
        <v>1</v>
      </c>
      <c r="G161" s="107">
        <v>42.5</v>
      </c>
      <c r="H161" s="110">
        <v>45.6</v>
      </c>
      <c r="I161" s="4">
        <v>2</v>
      </c>
      <c r="J161" s="5" t="s">
        <v>828</v>
      </c>
    </row>
    <row r="162" spans="2:10" x14ac:dyDescent="0.3">
      <c r="B162" s="99" t="s">
        <v>838</v>
      </c>
      <c r="C162" s="4" t="s">
        <v>662</v>
      </c>
      <c r="D162" s="4" t="s">
        <v>827</v>
      </c>
      <c r="E162" s="88">
        <v>41484</v>
      </c>
      <c r="F162" s="5">
        <v>0.75</v>
      </c>
      <c r="G162" s="107">
        <v>18.899999999999999</v>
      </c>
      <c r="H162" s="110">
        <v>65.3</v>
      </c>
      <c r="I162" s="4">
        <v>3</v>
      </c>
      <c r="J162" s="5" t="s">
        <v>828</v>
      </c>
    </row>
    <row r="163" spans="2:10" x14ac:dyDescent="0.3">
      <c r="B163" s="99" t="s">
        <v>839</v>
      </c>
      <c r="C163" s="4" t="s">
        <v>840</v>
      </c>
      <c r="D163" s="4" t="s">
        <v>841</v>
      </c>
      <c r="E163" s="88">
        <v>41484</v>
      </c>
      <c r="F163" s="5">
        <v>0.5</v>
      </c>
      <c r="G163" s="107">
        <v>97</v>
      </c>
      <c r="H163" s="110">
        <v>65.3</v>
      </c>
      <c r="I163" s="4">
        <v>1</v>
      </c>
      <c r="J163" s="5" t="s">
        <v>828</v>
      </c>
    </row>
    <row r="164" spans="2:10" x14ac:dyDescent="0.3">
      <c r="B164" s="99" t="s">
        <v>842</v>
      </c>
      <c r="C164" s="4" t="s">
        <v>840</v>
      </c>
      <c r="D164" s="4" t="s">
        <v>841</v>
      </c>
      <c r="E164" s="88">
        <v>41484</v>
      </c>
      <c r="F164" s="5">
        <v>1</v>
      </c>
      <c r="G164" s="107">
        <v>70</v>
      </c>
      <c r="H164" s="110">
        <v>79.3</v>
      </c>
      <c r="I164" s="4">
        <v>1</v>
      </c>
      <c r="J164" s="5" t="s">
        <v>828</v>
      </c>
    </row>
    <row r="165" spans="2:10" x14ac:dyDescent="0.3">
      <c r="B165" s="99" t="s">
        <v>843</v>
      </c>
      <c r="C165" s="4" t="s">
        <v>840</v>
      </c>
      <c r="D165" s="4" t="s">
        <v>841</v>
      </c>
      <c r="E165" s="88">
        <v>41484</v>
      </c>
      <c r="F165" s="5">
        <v>1</v>
      </c>
      <c r="G165" s="107">
        <v>36.299999999999997</v>
      </c>
      <c r="H165" s="110">
        <v>86.2</v>
      </c>
      <c r="I165" s="4">
        <v>1</v>
      </c>
      <c r="J165" s="5" t="s">
        <v>828</v>
      </c>
    </row>
    <row r="166" spans="2:10" x14ac:dyDescent="0.3">
      <c r="B166" s="99" t="s">
        <v>844</v>
      </c>
      <c r="C166" s="4" t="s">
        <v>840</v>
      </c>
      <c r="D166" s="4" t="s">
        <v>841</v>
      </c>
      <c r="E166" s="88">
        <v>41484</v>
      </c>
      <c r="F166" s="5">
        <v>0.05</v>
      </c>
      <c r="G166" s="107">
        <v>79.900000000000006</v>
      </c>
      <c r="H166" s="110">
        <v>101.1</v>
      </c>
      <c r="I166" s="4">
        <v>1</v>
      </c>
      <c r="J166" s="5" t="s">
        <v>828</v>
      </c>
    </row>
    <row r="167" spans="2:10" x14ac:dyDescent="0.3">
      <c r="B167" s="99" t="s">
        <v>845</v>
      </c>
      <c r="C167" s="4" t="s">
        <v>840</v>
      </c>
      <c r="D167" s="4" t="s">
        <v>841</v>
      </c>
      <c r="E167" s="88">
        <v>41484</v>
      </c>
      <c r="F167" s="5">
        <v>1</v>
      </c>
      <c r="G167" s="107">
        <v>35.799999999999997</v>
      </c>
      <c r="H167" s="110">
        <v>54.2</v>
      </c>
      <c r="I167" s="4">
        <v>1</v>
      </c>
      <c r="J167" s="5" t="s">
        <v>828</v>
      </c>
    </row>
    <row r="168" spans="2:10" x14ac:dyDescent="0.3">
      <c r="B168" s="99" t="s">
        <v>846</v>
      </c>
      <c r="C168" s="4" t="s">
        <v>840</v>
      </c>
      <c r="D168" s="4" t="s">
        <v>841</v>
      </c>
      <c r="E168" s="88">
        <v>41484</v>
      </c>
      <c r="F168" s="5">
        <v>1</v>
      </c>
      <c r="G168" s="107">
        <v>82.7</v>
      </c>
      <c r="H168" s="110">
        <v>145</v>
      </c>
      <c r="I168" s="4">
        <v>2</v>
      </c>
      <c r="J168" s="5" t="s">
        <v>828</v>
      </c>
    </row>
    <row r="169" spans="2:10" x14ac:dyDescent="0.3">
      <c r="B169" s="99" t="s">
        <v>847</v>
      </c>
      <c r="C169" s="4" t="s">
        <v>840</v>
      </c>
      <c r="D169" s="4" t="s">
        <v>841</v>
      </c>
      <c r="E169" s="88">
        <v>41484</v>
      </c>
      <c r="F169" s="5">
        <v>1</v>
      </c>
      <c r="G169" s="107">
        <v>59.7</v>
      </c>
      <c r="H169" s="110">
        <v>79.900000000000006</v>
      </c>
      <c r="I169" s="4">
        <v>2</v>
      </c>
      <c r="J169" s="5" t="s">
        <v>828</v>
      </c>
    </row>
    <row r="170" spans="2:10" x14ac:dyDescent="0.3">
      <c r="B170" s="99" t="s">
        <v>848</v>
      </c>
      <c r="C170" s="4" t="s">
        <v>840</v>
      </c>
      <c r="D170" s="4" t="s">
        <v>841</v>
      </c>
      <c r="E170" s="88">
        <v>41484</v>
      </c>
      <c r="F170" s="5">
        <v>1</v>
      </c>
      <c r="G170" s="107">
        <v>0.1</v>
      </c>
      <c r="H170" s="110">
        <v>2.5</v>
      </c>
      <c r="I170" s="4">
        <v>2</v>
      </c>
      <c r="J170" s="5" t="s">
        <v>828</v>
      </c>
    </row>
    <row r="171" spans="2:10" x14ac:dyDescent="0.3">
      <c r="B171" s="99" t="s">
        <v>849</v>
      </c>
      <c r="C171" s="4" t="s">
        <v>840</v>
      </c>
      <c r="D171" s="4" t="s">
        <v>841</v>
      </c>
      <c r="E171" s="88">
        <v>41484</v>
      </c>
      <c r="F171" s="5">
        <v>1</v>
      </c>
      <c r="G171" s="107">
        <v>0.1</v>
      </c>
      <c r="H171" s="110">
        <v>32.9</v>
      </c>
      <c r="I171" s="4">
        <v>1</v>
      </c>
      <c r="J171" s="5" t="s">
        <v>828</v>
      </c>
    </row>
    <row r="172" spans="2:10" x14ac:dyDescent="0.3">
      <c r="B172" s="99" t="s">
        <v>850</v>
      </c>
      <c r="C172" s="4" t="s">
        <v>840</v>
      </c>
      <c r="D172" s="4" t="s">
        <v>841</v>
      </c>
      <c r="E172" s="88">
        <v>41491</v>
      </c>
      <c r="F172" s="5">
        <v>1</v>
      </c>
      <c r="G172" s="107">
        <v>143</v>
      </c>
      <c r="H172" s="110">
        <v>101.8</v>
      </c>
      <c r="I172" s="4">
        <v>1.3</v>
      </c>
      <c r="J172" s="5" t="s">
        <v>828</v>
      </c>
    </row>
    <row r="173" spans="2:10" x14ac:dyDescent="0.3">
      <c r="B173" s="99" t="s">
        <v>851</v>
      </c>
      <c r="C173" s="4" t="s">
        <v>840</v>
      </c>
      <c r="D173" s="4" t="s">
        <v>841</v>
      </c>
      <c r="E173" s="88">
        <v>41491</v>
      </c>
      <c r="F173" s="5">
        <v>1</v>
      </c>
      <c r="G173" s="107">
        <v>159.80000000000001</v>
      </c>
      <c r="H173" s="110">
        <v>139.1</v>
      </c>
      <c r="I173" s="4">
        <v>2.4</v>
      </c>
      <c r="J173" s="5" t="s">
        <v>829</v>
      </c>
    </row>
    <row r="174" spans="2:10" x14ac:dyDescent="0.3">
      <c r="B174" s="99" t="s">
        <v>852</v>
      </c>
      <c r="C174" s="4" t="s">
        <v>840</v>
      </c>
      <c r="D174" s="4" t="s">
        <v>841</v>
      </c>
      <c r="E174" s="88">
        <v>41491</v>
      </c>
      <c r="F174" s="5">
        <v>1</v>
      </c>
      <c r="G174" s="107">
        <v>174.9</v>
      </c>
      <c r="H174" s="110">
        <v>111.4</v>
      </c>
      <c r="I174" s="4">
        <v>1.4</v>
      </c>
      <c r="J174" s="5" t="s">
        <v>829</v>
      </c>
    </row>
    <row r="175" spans="2:10" x14ac:dyDescent="0.3">
      <c r="B175" s="99" t="s">
        <v>938</v>
      </c>
      <c r="C175" s="4" t="s">
        <v>939</v>
      </c>
      <c r="D175" s="4" t="s">
        <v>940</v>
      </c>
      <c r="E175" s="88">
        <v>41484</v>
      </c>
      <c r="F175" s="5">
        <v>0.01</v>
      </c>
      <c r="G175" s="107">
        <v>242.2</v>
      </c>
      <c r="H175" s="110">
        <v>404.5</v>
      </c>
      <c r="I175" s="4">
        <v>2</v>
      </c>
      <c r="J175" s="5" t="s">
        <v>828</v>
      </c>
    </row>
    <row r="176" spans="2:10" x14ac:dyDescent="0.3">
      <c r="B176" s="99" t="s">
        <v>941</v>
      </c>
      <c r="C176" s="4" t="s">
        <v>939</v>
      </c>
      <c r="D176" s="4" t="s">
        <v>940</v>
      </c>
      <c r="E176" s="88">
        <v>41484</v>
      </c>
      <c r="F176" s="5">
        <v>0.05</v>
      </c>
      <c r="G176" s="107">
        <v>128</v>
      </c>
      <c r="H176" s="110">
        <v>404.5</v>
      </c>
      <c r="I176" s="4">
        <v>1</v>
      </c>
      <c r="J176" s="5" t="s">
        <v>828</v>
      </c>
    </row>
    <row r="177" spans="2:10" x14ac:dyDescent="0.3">
      <c r="B177" s="99" t="s">
        <v>942</v>
      </c>
      <c r="C177" s="4" t="s">
        <v>939</v>
      </c>
      <c r="D177" s="4" t="s">
        <v>940</v>
      </c>
      <c r="E177" s="88">
        <v>41484</v>
      </c>
      <c r="F177" s="5">
        <v>0.05</v>
      </c>
      <c r="G177" s="107">
        <v>90.5</v>
      </c>
      <c r="H177" s="110">
        <v>148.1</v>
      </c>
      <c r="I177" s="4">
        <v>2</v>
      </c>
      <c r="J177" s="5" t="s">
        <v>828</v>
      </c>
    </row>
    <row r="178" spans="2:10" x14ac:dyDescent="0.3">
      <c r="B178" s="99" t="s">
        <v>943</v>
      </c>
      <c r="C178" s="4" t="s">
        <v>939</v>
      </c>
      <c r="D178" s="4" t="s">
        <v>940</v>
      </c>
      <c r="E178" s="88">
        <v>41484</v>
      </c>
      <c r="F178" s="5">
        <v>0.05</v>
      </c>
      <c r="G178" s="107">
        <v>143</v>
      </c>
      <c r="H178" s="110">
        <v>96.3</v>
      </c>
      <c r="I178" s="4">
        <v>2</v>
      </c>
      <c r="J178" s="5" t="s">
        <v>828</v>
      </c>
    </row>
    <row r="179" spans="2:10" x14ac:dyDescent="0.3">
      <c r="B179" s="99" t="s">
        <v>944</v>
      </c>
      <c r="C179" s="4" t="s">
        <v>939</v>
      </c>
      <c r="D179" s="4" t="s">
        <v>940</v>
      </c>
      <c r="E179" s="88">
        <v>41484</v>
      </c>
      <c r="F179" s="5">
        <v>0.01</v>
      </c>
      <c r="G179" s="107">
        <v>88</v>
      </c>
      <c r="H179" s="110">
        <v>238.9</v>
      </c>
      <c r="I179" s="4">
        <v>1</v>
      </c>
      <c r="J179" s="5" t="s">
        <v>828</v>
      </c>
    </row>
    <row r="180" spans="2:10" x14ac:dyDescent="0.3">
      <c r="B180" s="99" t="s">
        <v>945</v>
      </c>
      <c r="C180" s="4" t="s">
        <v>939</v>
      </c>
      <c r="D180" s="4" t="s">
        <v>940</v>
      </c>
      <c r="E180" s="88">
        <v>41484</v>
      </c>
      <c r="F180" s="5">
        <v>0.1</v>
      </c>
      <c r="G180" s="107">
        <v>117.8</v>
      </c>
      <c r="H180" s="110">
        <v>68.599999999999994</v>
      </c>
      <c r="I180" s="4">
        <v>1</v>
      </c>
      <c r="J180" s="5" t="s">
        <v>828</v>
      </c>
    </row>
    <row r="181" spans="2:10" x14ac:dyDescent="0.3">
      <c r="B181" s="99" t="s">
        <v>946</v>
      </c>
      <c r="C181" s="4" t="s">
        <v>939</v>
      </c>
      <c r="D181" s="4" t="s">
        <v>940</v>
      </c>
      <c r="E181" s="88">
        <v>41491</v>
      </c>
      <c r="F181" s="5">
        <v>0.5</v>
      </c>
      <c r="G181" s="107">
        <v>298.2</v>
      </c>
      <c r="H181" s="110">
        <v>199.5</v>
      </c>
      <c r="I181" s="4">
        <v>1.9</v>
      </c>
      <c r="J181" s="5" t="s">
        <v>828</v>
      </c>
    </row>
    <row r="182" spans="2:10" x14ac:dyDescent="0.3">
      <c r="B182" s="99" t="s">
        <v>947</v>
      </c>
      <c r="C182" s="4" t="s">
        <v>939</v>
      </c>
      <c r="D182" s="4" t="s">
        <v>940</v>
      </c>
      <c r="E182" s="88">
        <v>41491</v>
      </c>
      <c r="F182" s="5">
        <v>0.75</v>
      </c>
      <c r="G182" s="107">
        <v>467.9</v>
      </c>
      <c r="H182" s="110">
        <v>424.6</v>
      </c>
      <c r="I182" s="4">
        <v>2.2000000000000002</v>
      </c>
      <c r="J182" s="5" t="s">
        <v>829</v>
      </c>
    </row>
    <row r="183" spans="2:10" x14ac:dyDescent="0.3">
      <c r="B183" s="99" t="s">
        <v>948</v>
      </c>
      <c r="C183" s="4" t="s">
        <v>939</v>
      </c>
      <c r="D183" s="4" t="s">
        <v>940</v>
      </c>
      <c r="E183" s="88">
        <v>41491</v>
      </c>
      <c r="F183" s="5">
        <v>0.75</v>
      </c>
      <c r="G183" s="107">
        <v>266.89999999999998</v>
      </c>
      <c r="H183" s="110">
        <v>226</v>
      </c>
      <c r="I183" s="4">
        <v>1.9</v>
      </c>
      <c r="J183" s="5" t="s">
        <v>828</v>
      </c>
    </row>
    <row r="184" spans="2:10" x14ac:dyDescent="0.3">
      <c r="B184" s="99" t="s">
        <v>949</v>
      </c>
      <c r="C184" s="4" t="s">
        <v>939</v>
      </c>
      <c r="D184" s="4" t="s">
        <v>940</v>
      </c>
      <c r="E184" s="88">
        <v>41491</v>
      </c>
      <c r="F184" s="5">
        <v>0.75</v>
      </c>
      <c r="G184" s="107">
        <v>245.6</v>
      </c>
      <c r="H184" s="110">
        <v>238.9</v>
      </c>
      <c r="I184" s="4">
        <v>1.7</v>
      </c>
      <c r="J184" s="5" t="s">
        <v>828</v>
      </c>
    </row>
    <row r="185" spans="2:10" x14ac:dyDescent="0.3">
      <c r="B185" s="99" t="s">
        <v>950</v>
      </c>
      <c r="C185" s="4" t="s">
        <v>939</v>
      </c>
      <c r="D185" s="4" t="s">
        <v>940</v>
      </c>
      <c r="E185" s="88">
        <v>41491</v>
      </c>
      <c r="F185" s="5">
        <v>0.5</v>
      </c>
      <c r="G185" s="107">
        <v>243.9</v>
      </c>
      <c r="H185" s="110">
        <v>296.10000000000002</v>
      </c>
      <c r="I185" s="4">
        <v>1.8</v>
      </c>
      <c r="J185" s="5" t="s">
        <v>828</v>
      </c>
    </row>
    <row r="186" spans="2:10" x14ac:dyDescent="0.3">
      <c r="B186" s="99" t="s">
        <v>951</v>
      </c>
      <c r="C186" s="4" t="s">
        <v>939</v>
      </c>
      <c r="D186" s="4" t="s">
        <v>940</v>
      </c>
      <c r="E186" s="88">
        <v>41491</v>
      </c>
      <c r="F186" s="5">
        <v>0.75</v>
      </c>
      <c r="G186" s="107">
        <v>252.5</v>
      </c>
      <c r="H186" s="110">
        <v>369.6</v>
      </c>
      <c r="I186" s="4">
        <v>1.7</v>
      </c>
      <c r="J186" s="5" t="s">
        <v>828</v>
      </c>
    </row>
    <row r="187" spans="2:10" x14ac:dyDescent="0.3">
      <c r="B187" s="99" t="s">
        <v>952</v>
      </c>
      <c r="C187" s="4" t="s">
        <v>939</v>
      </c>
      <c r="D187" s="4" t="s">
        <v>940</v>
      </c>
      <c r="E187" s="88">
        <v>41491</v>
      </c>
      <c r="F187" s="5">
        <v>0.1</v>
      </c>
      <c r="G187" s="107">
        <v>296.10000000000002</v>
      </c>
      <c r="H187" s="110">
        <v>498</v>
      </c>
      <c r="I187" s="4">
        <v>1.7</v>
      </c>
      <c r="J187" s="5" t="s">
        <v>828</v>
      </c>
    </row>
    <row r="188" spans="2:10" x14ac:dyDescent="0.3">
      <c r="B188" s="99" t="s">
        <v>953</v>
      </c>
      <c r="C188" s="4" t="s">
        <v>939</v>
      </c>
      <c r="D188" s="4" t="s">
        <v>940</v>
      </c>
      <c r="E188" s="88">
        <v>41491</v>
      </c>
      <c r="F188" s="5">
        <v>0.25</v>
      </c>
      <c r="G188" s="107">
        <v>333.1</v>
      </c>
      <c r="H188" s="110">
        <v>261.39999999999998</v>
      </c>
      <c r="I188" s="4">
        <v>3</v>
      </c>
      <c r="J188" s="5" t="s">
        <v>828</v>
      </c>
    </row>
    <row r="189" spans="2:10" x14ac:dyDescent="0.3">
      <c r="B189" s="99" t="s">
        <v>954</v>
      </c>
      <c r="C189" s="4" t="s">
        <v>939</v>
      </c>
      <c r="D189" s="4" t="s">
        <v>940</v>
      </c>
      <c r="E189" s="88">
        <v>41491</v>
      </c>
      <c r="F189" s="5">
        <v>0.75</v>
      </c>
      <c r="G189" s="107">
        <v>337.8</v>
      </c>
      <c r="H189" s="110">
        <v>487.8</v>
      </c>
      <c r="I189" s="4">
        <v>2.4</v>
      </c>
      <c r="J189" s="5" t="s">
        <v>828</v>
      </c>
    </row>
    <row r="190" spans="2:10" x14ac:dyDescent="0.3">
      <c r="B190" s="99" t="s">
        <v>955</v>
      </c>
      <c r="C190" s="4" t="s">
        <v>939</v>
      </c>
      <c r="D190" s="4" t="s">
        <v>940</v>
      </c>
      <c r="E190" s="88">
        <v>41491</v>
      </c>
      <c r="F190" s="5">
        <v>0.75</v>
      </c>
      <c r="G190" s="107">
        <v>166.6</v>
      </c>
      <c r="H190" s="110">
        <v>121.1</v>
      </c>
      <c r="I190" s="4">
        <v>1.8</v>
      </c>
      <c r="J190" s="5" t="s">
        <v>828</v>
      </c>
    </row>
    <row r="191" spans="2:10" x14ac:dyDescent="0.3">
      <c r="B191" s="99" t="s">
        <v>956</v>
      </c>
      <c r="C191" s="4" t="s">
        <v>939</v>
      </c>
      <c r="D191" s="4" t="s">
        <v>940</v>
      </c>
      <c r="E191" s="88">
        <v>41491</v>
      </c>
      <c r="F191" s="5">
        <v>0.5</v>
      </c>
      <c r="G191" s="107">
        <v>252.5</v>
      </c>
      <c r="H191" s="110">
        <v>315.2</v>
      </c>
      <c r="I191" s="4">
        <v>1.7</v>
      </c>
      <c r="J191" s="5" t="s">
        <v>828</v>
      </c>
    </row>
    <row r="192" spans="2:10" x14ac:dyDescent="0.3">
      <c r="B192" s="99" t="s">
        <v>897</v>
      </c>
      <c r="C192" s="4" t="s">
        <v>898</v>
      </c>
      <c r="D192" s="4" t="s">
        <v>899</v>
      </c>
      <c r="E192" s="88">
        <v>41484</v>
      </c>
      <c r="F192" s="5">
        <v>0.75</v>
      </c>
      <c r="G192" s="107"/>
      <c r="H192" s="110"/>
      <c r="I192" s="4"/>
      <c r="J192" s="5"/>
    </row>
    <row r="193" spans="2:10" x14ac:dyDescent="0.3">
      <c r="B193" s="99" t="s">
        <v>897</v>
      </c>
      <c r="C193" s="4" t="s">
        <v>898</v>
      </c>
      <c r="D193" s="4" t="s">
        <v>899</v>
      </c>
      <c r="E193" s="88">
        <v>41484</v>
      </c>
      <c r="F193" s="5">
        <v>1</v>
      </c>
      <c r="G193" s="107"/>
      <c r="H193" s="110"/>
      <c r="I193" s="4"/>
      <c r="J193" s="5"/>
    </row>
    <row r="194" spans="2:10" x14ac:dyDescent="0.3">
      <c r="B194" s="99" t="s">
        <v>897</v>
      </c>
      <c r="C194" s="4" t="s">
        <v>898</v>
      </c>
      <c r="D194" s="4" t="s">
        <v>899</v>
      </c>
      <c r="E194" s="88">
        <v>41484</v>
      </c>
      <c r="F194" s="5">
        <v>1</v>
      </c>
      <c r="G194" s="107"/>
      <c r="H194" s="110"/>
      <c r="I194" s="4"/>
      <c r="J194" s="5"/>
    </row>
    <row r="195" spans="2:10" x14ac:dyDescent="0.3">
      <c r="B195" s="99" t="s">
        <v>897</v>
      </c>
      <c r="C195" s="4" t="s">
        <v>898</v>
      </c>
      <c r="D195" s="4" t="s">
        <v>899</v>
      </c>
      <c r="E195" s="88">
        <v>41484</v>
      </c>
      <c r="F195" s="5">
        <v>1</v>
      </c>
      <c r="G195" s="107"/>
      <c r="H195" s="110"/>
      <c r="I195" s="4"/>
      <c r="J195" s="5"/>
    </row>
    <row r="196" spans="2:10" x14ac:dyDescent="0.3">
      <c r="B196" s="99" t="s">
        <v>897</v>
      </c>
      <c r="C196" s="4" t="s">
        <v>898</v>
      </c>
      <c r="D196" s="4" t="s">
        <v>899</v>
      </c>
      <c r="E196" s="88">
        <v>41491</v>
      </c>
      <c r="F196" s="5">
        <v>1</v>
      </c>
      <c r="G196" s="107"/>
      <c r="H196" s="110"/>
      <c r="I196" s="4"/>
      <c r="J196" s="5"/>
    </row>
    <row r="197" spans="2:10" x14ac:dyDescent="0.3">
      <c r="B197" s="99" t="s">
        <v>897</v>
      </c>
      <c r="C197" s="4" t="s">
        <v>898</v>
      </c>
      <c r="D197" s="4" t="s">
        <v>899</v>
      </c>
      <c r="E197" s="88">
        <v>41491</v>
      </c>
      <c r="F197" s="5">
        <v>1</v>
      </c>
      <c r="G197" s="107"/>
      <c r="H197" s="110"/>
      <c r="I197" s="4"/>
      <c r="J197" s="5"/>
    </row>
    <row r="198" spans="2:10" x14ac:dyDescent="0.3">
      <c r="B198" s="99" t="s">
        <v>897</v>
      </c>
      <c r="C198" s="4" t="s">
        <v>898</v>
      </c>
      <c r="D198" s="4" t="s">
        <v>899</v>
      </c>
      <c r="E198" s="88">
        <v>41491</v>
      </c>
      <c r="F198" s="5">
        <v>1</v>
      </c>
      <c r="G198" s="107"/>
      <c r="H198" s="110"/>
      <c r="I198" s="4"/>
      <c r="J198" s="5"/>
    </row>
    <row r="199" spans="2:10" x14ac:dyDescent="0.3">
      <c r="B199" s="99" t="s">
        <v>897</v>
      </c>
      <c r="C199" s="4" t="s">
        <v>898</v>
      </c>
      <c r="D199" s="4" t="s">
        <v>899</v>
      </c>
      <c r="E199" s="88">
        <v>41491</v>
      </c>
      <c r="F199" s="5">
        <v>1</v>
      </c>
      <c r="G199" s="107"/>
      <c r="H199" s="110"/>
      <c r="I199" s="4"/>
      <c r="J199" s="5"/>
    </row>
    <row r="200" spans="2:10" x14ac:dyDescent="0.3">
      <c r="B200" s="99" t="s">
        <v>897</v>
      </c>
      <c r="C200" s="4" t="s">
        <v>898</v>
      </c>
      <c r="D200" s="4" t="s">
        <v>899</v>
      </c>
      <c r="E200" s="88">
        <v>41491</v>
      </c>
      <c r="F200" s="5">
        <v>0.75</v>
      </c>
      <c r="G200" s="107"/>
      <c r="H200" s="110"/>
      <c r="I200" s="4"/>
      <c r="J200" s="5"/>
    </row>
    <row r="201" spans="2:10" x14ac:dyDescent="0.3">
      <c r="B201" s="99" t="s">
        <v>900</v>
      </c>
      <c r="C201" s="4" t="s">
        <v>901</v>
      </c>
      <c r="D201" s="4" t="s">
        <v>902</v>
      </c>
      <c r="E201" s="88">
        <v>41484</v>
      </c>
      <c r="F201" s="5">
        <v>0.01</v>
      </c>
      <c r="G201" s="107"/>
      <c r="H201" s="110"/>
      <c r="I201" s="4"/>
      <c r="J201" s="5"/>
    </row>
    <row r="202" spans="2:10" x14ac:dyDescent="0.3">
      <c r="B202" s="99" t="s">
        <v>900</v>
      </c>
      <c r="C202" s="4" t="s">
        <v>901</v>
      </c>
      <c r="D202" s="4" t="s">
        <v>902</v>
      </c>
      <c r="E202" s="88">
        <v>41484</v>
      </c>
      <c r="F202" s="5">
        <v>0.01</v>
      </c>
      <c r="G202" s="107"/>
      <c r="H202" s="110"/>
      <c r="I202" s="4"/>
      <c r="J202" s="5"/>
    </row>
    <row r="203" spans="2:10" x14ac:dyDescent="0.3">
      <c r="B203" s="99" t="s">
        <v>900</v>
      </c>
      <c r="C203" s="4" t="s">
        <v>901</v>
      </c>
      <c r="D203" s="4" t="s">
        <v>902</v>
      </c>
      <c r="E203" s="88">
        <v>41484</v>
      </c>
      <c r="F203" s="5">
        <v>0.01</v>
      </c>
      <c r="G203" s="107"/>
      <c r="H203" s="110"/>
      <c r="I203" s="4"/>
      <c r="J203" s="5"/>
    </row>
    <row r="204" spans="2:10" x14ac:dyDescent="0.3">
      <c r="B204" s="99" t="s">
        <v>900</v>
      </c>
      <c r="C204" s="4" t="s">
        <v>901</v>
      </c>
      <c r="D204" s="4" t="s">
        <v>902</v>
      </c>
      <c r="E204" s="88">
        <v>41484</v>
      </c>
      <c r="F204" s="5">
        <v>0.01</v>
      </c>
      <c r="G204" s="107"/>
      <c r="H204" s="110"/>
      <c r="I204" s="4"/>
      <c r="J204" s="5"/>
    </row>
    <row r="205" spans="2:10" x14ac:dyDescent="0.3">
      <c r="B205" s="99" t="s">
        <v>900</v>
      </c>
      <c r="C205" s="4" t="s">
        <v>901</v>
      </c>
      <c r="D205" s="4" t="s">
        <v>902</v>
      </c>
      <c r="E205" s="88">
        <v>41491</v>
      </c>
      <c r="F205" s="5">
        <v>0.01</v>
      </c>
      <c r="G205" s="107"/>
      <c r="H205" s="110"/>
      <c r="I205" s="4"/>
      <c r="J205" s="5"/>
    </row>
    <row r="206" spans="2:10" x14ac:dyDescent="0.3">
      <c r="B206" s="99" t="s">
        <v>900</v>
      </c>
      <c r="C206" s="4" t="s">
        <v>901</v>
      </c>
      <c r="D206" s="4" t="s">
        <v>902</v>
      </c>
      <c r="E206" s="88">
        <v>41491</v>
      </c>
      <c r="F206" s="5">
        <v>0.01</v>
      </c>
      <c r="G206" s="107"/>
      <c r="H206" s="110"/>
      <c r="I206" s="4"/>
      <c r="J206" s="5"/>
    </row>
    <row r="207" spans="2:10" x14ac:dyDescent="0.3">
      <c r="B207" s="99" t="s">
        <v>900</v>
      </c>
      <c r="C207" s="4" t="s">
        <v>901</v>
      </c>
      <c r="D207" s="4" t="s">
        <v>902</v>
      </c>
      <c r="E207" s="88">
        <v>41491</v>
      </c>
      <c r="F207" s="5">
        <v>0.05</v>
      </c>
      <c r="G207" s="107"/>
      <c r="H207" s="110"/>
      <c r="I207" s="4"/>
      <c r="J207" s="5"/>
    </row>
    <row r="208" spans="2:10" x14ac:dyDescent="0.3">
      <c r="B208" s="99" t="s">
        <v>900</v>
      </c>
      <c r="C208" s="4" t="s">
        <v>901</v>
      </c>
      <c r="D208" s="4" t="s">
        <v>902</v>
      </c>
      <c r="E208" s="88">
        <v>41491</v>
      </c>
      <c r="F208" s="5">
        <v>0.01</v>
      </c>
      <c r="G208" s="107"/>
      <c r="H208" s="110"/>
      <c r="I208" s="4"/>
      <c r="J208" s="5"/>
    </row>
    <row r="209" spans="2:10" x14ac:dyDescent="0.3">
      <c r="B209" s="99" t="s">
        <v>900</v>
      </c>
      <c r="C209" s="4" t="s">
        <v>901</v>
      </c>
      <c r="D209" s="4" t="s">
        <v>902</v>
      </c>
      <c r="E209" s="88">
        <v>41491</v>
      </c>
      <c r="F209" s="5">
        <v>0.01</v>
      </c>
      <c r="G209" s="107"/>
      <c r="H209" s="110"/>
      <c r="I209" s="4"/>
      <c r="J209" s="5"/>
    </row>
    <row r="210" spans="2:10" x14ac:dyDescent="0.3">
      <c r="B210" s="99" t="s">
        <v>903</v>
      </c>
      <c r="C210" s="4" t="s">
        <v>904</v>
      </c>
      <c r="D210" s="4" t="s">
        <v>899</v>
      </c>
      <c r="E210" s="88">
        <v>41484</v>
      </c>
      <c r="F210" s="5">
        <v>1</v>
      </c>
      <c r="G210" s="107"/>
      <c r="H210" s="110"/>
      <c r="I210" s="4"/>
      <c r="J210" s="5"/>
    </row>
    <row r="211" spans="2:10" x14ac:dyDescent="0.3">
      <c r="B211" s="99" t="s">
        <v>903</v>
      </c>
      <c r="C211" s="4" t="s">
        <v>904</v>
      </c>
      <c r="D211" s="4" t="s">
        <v>899</v>
      </c>
      <c r="E211" s="88">
        <v>41484</v>
      </c>
      <c r="F211" s="5">
        <v>1</v>
      </c>
      <c r="G211" s="107"/>
      <c r="H211" s="110"/>
      <c r="I211" s="4"/>
      <c r="J211" s="5"/>
    </row>
    <row r="212" spans="2:10" x14ac:dyDescent="0.3">
      <c r="B212" s="99" t="s">
        <v>903</v>
      </c>
      <c r="C212" s="4" t="s">
        <v>904</v>
      </c>
      <c r="D212" s="4" t="s">
        <v>899</v>
      </c>
      <c r="E212" s="88">
        <v>41484</v>
      </c>
      <c r="F212" s="5">
        <v>1</v>
      </c>
      <c r="G212" s="107"/>
      <c r="H212" s="110"/>
      <c r="I212" s="4"/>
      <c r="J212" s="5"/>
    </row>
    <row r="213" spans="2:10" x14ac:dyDescent="0.3">
      <c r="B213" s="99" t="s">
        <v>903</v>
      </c>
      <c r="C213" s="4" t="s">
        <v>904</v>
      </c>
      <c r="D213" s="4" t="s">
        <v>899</v>
      </c>
      <c r="E213" s="88">
        <v>41484</v>
      </c>
      <c r="F213" s="5">
        <v>1</v>
      </c>
      <c r="G213" s="107"/>
      <c r="H213" s="110"/>
      <c r="I213" s="4"/>
      <c r="J213" s="5"/>
    </row>
    <row r="214" spans="2:10" x14ac:dyDescent="0.3">
      <c r="B214" s="99" t="s">
        <v>903</v>
      </c>
      <c r="C214" s="4" t="s">
        <v>904</v>
      </c>
      <c r="D214" s="4" t="s">
        <v>899</v>
      </c>
      <c r="E214" s="88">
        <v>41484</v>
      </c>
      <c r="F214" s="5">
        <v>1</v>
      </c>
      <c r="G214" s="107"/>
      <c r="H214" s="110"/>
      <c r="I214" s="4"/>
      <c r="J214" s="5"/>
    </row>
    <row r="215" spans="2:10" x14ac:dyDescent="0.3">
      <c r="B215" s="99" t="s">
        <v>903</v>
      </c>
      <c r="C215" s="4" t="s">
        <v>904</v>
      </c>
      <c r="D215" s="4" t="s">
        <v>899</v>
      </c>
      <c r="E215" s="88">
        <v>41491</v>
      </c>
      <c r="F215" s="5">
        <v>1</v>
      </c>
      <c r="G215" s="107"/>
      <c r="H215" s="110"/>
      <c r="I215" s="4"/>
      <c r="J215" s="5"/>
    </row>
    <row r="216" spans="2:10" x14ac:dyDescent="0.3">
      <c r="B216" s="99" t="s">
        <v>903</v>
      </c>
      <c r="C216" s="4" t="s">
        <v>904</v>
      </c>
      <c r="D216" s="4" t="s">
        <v>899</v>
      </c>
      <c r="E216" s="88">
        <v>41491</v>
      </c>
      <c r="F216" s="5">
        <v>1</v>
      </c>
      <c r="G216" s="107"/>
      <c r="H216" s="110"/>
      <c r="I216" s="4"/>
      <c r="J216" s="5"/>
    </row>
    <row r="217" spans="2:10" x14ac:dyDescent="0.3">
      <c r="B217" s="99" t="s">
        <v>903</v>
      </c>
      <c r="C217" s="4" t="s">
        <v>904</v>
      </c>
      <c r="D217" s="4" t="s">
        <v>899</v>
      </c>
      <c r="E217" s="88">
        <v>41491</v>
      </c>
      <c r="F217" s="5">
        <v>1</v>
      </c>
      <c r="G217" s="107"/>
      <c r="H217" s="110"/>
      <c r="I217" s="4"/>
      <c r="J217" s="5"/>
    </row>
    <row r="218" spans="2:10" x14ac:dyDescent="0.3">
      <c r="B218" s="99" t="s">
        <v>903</v>
      </c>
      <c r="C218" s="4" t="s">
        <v>904</v>
      </c>
      <c r="D218" s="4" t="s">
        <v>899</v>
      </c>
      <c r="E218" s="88">
        <v>41491</v>
      </c>
      <c r="F218" s="5">
        <v>1</v>
      </c>
      <c r="G218" s="107"/>
      <c r="H218" s="110"/>
      <c r="I218" s="4"/>
      <c r="J218" s="5"/>
    </row>
    <row r="219" spans="2:10" x14ac:dyDescent="0.3">
      <c r="B219" s="99" t="s">
        <v>903</v>
      </c>
      <c r="C219" s="4" t="s">
        <v>904</v>
      </c>
      <c r="D219" s="4" t="s">
        <v>899</v>
      </c>
      <c r="E219" s="88">
        <v>41491</v>
      </c>
      <c r="F219" s="5">
        <v>1</v>
      </c>
      <c r="G219" s="107"/>
      <c r="H219" s="110"/>
      <c r="I219" s="4"/>
      <c r="J219" s="5"/>
    </row>
    <row r="220" spans="2:10" x14ac:dyDescent="0.3">
      <c r="B220" s="99" t="s">
        <v>957</v>
      </c>
      <c r="C220" s="4" t="s">
        <v>958</v>
      </c>
      <c r="D220" s="4" t="s">
        <v>959</v>
      </c>
      <c r="E220" s="89">
        <v>41666</v>
      </c>
      <c r="F220" s="5">
        <v>1</v>
      </c>
      <c r="G220" s="107"/>
      <c r="H220" s="110"/>
      <c r="I220" s="4"/>
      <c r="J220" s="5"/>
    </row>
    <row r="221" spans="2:10" x14ac:dyDescent="0.3">
      <c r="B221" s="99" t="s">
        <v>960</v>
      </c>
      <c r="C221" s="4" t="s">
        <v>958</v>
      </c>
      <c r="D221" s="4" t="s">
        <v>959</v>
      </c>
      <c r="E221" s="89">
        <v>41666</v>
      </c>
      <c r="F221" s="5">
        <v>1</v>
      </c>
      <c r="G221" s="107"/>
      <c r="H221" s="110"/>
      <c r="I221" s="4"/>
      <c r="J221" s="5"/>
    </row>
    <row r="222" spans="2:10" x14ac:dyDescent="0.3">
      <c r="B222" s="99" t="s">
        <v>961</v>
      </c>
      <c r="C222" s="4" t="s">
        <v>958</v>
      </c>
      <c r="D222" s="4" t="s">
        <v>959</v>
      </c>
      <c r="E222" s="89">
        <v>41666</v>
      </c>
      <c r="F222" s="5">
        <v>1</v>
      </c>
      <c r="G222" s="107"/>
      <c r="H222" s="110"/>
      <c r="I222" s="4"/>
      <c r="J222" s="5"/>
    </row>
    <row r="223" spans="2:10" x14ac:dyDescent="0.3">
      <c r="B223" s="99" t="s">
        <v>962</v>
      </c>
      <c r="C223" s="4" t="s">
        <v>958</v>
      </c>
      <c r="D223" s="4" t="s">
        <v>959</v>
      </c>
      <c r="E223" s="89">
        <v>41666</v>
      </c>
      <c r="F223" s="5">
        <v>1</v>
      </c>
      <c r="G223" s="107"/>
      <c r="H223" s="110"/>
      <c r="I223" s="4"/>
      <c r="J223" s="5"/>
    </row>
    <row r="224" spans="2:10" x14ac:dyDescent="0.3">
      <c r="B224" s="99" t="s">
        <v>963</v>
      </c>
      <c r="C224" s="4" t="s">
        <v>958</v>
      </c>
      <c r="D224" s="4" t="s">
        <v>959</v>
      </c>
      <c r="E224" s="89">
        <v>41666</v>
      </c>
      <c r="F224" s="5">
        <v>1</v>
      </c>
      <c r="G224" s="107"/>
      <c r="H224" s="110"/>
      <c r="I224" s="4"/>
      <c r="J224" s="5"/>
    </row>
    <row r="225" spans="2:10" x14ac:dyDescent="0.3">
      <c r="B225" s="99" t="s">
        <v>964</v>
      </c>
      <c r="C225" s="4" t="s">
        <v>958</v>
      </c>
      <c r="D225" s="4" t="s">
        <v>959</v>
      </c>
      <c r="E225" s="89">
        <v>41666</v>
      </c>
      <c r="F225" s="5">
        <v>1</v>
      </c>
      <c r="G225" s="107"/>
      <c r="H225" s="110"/>
      <c r="I225" s="4"/>
      <c r="J225" s="5"/>
    </row>
    <row r="226" spans="2:10" x14ac:dyDescent="0.3">
      <c r="B226" s="99" t="s">
        <v>965</v>
      </c>
      <c r="C226" s="4" t="s">
        <v>662</v>
      </c>
      <c r="D226" s="4" t="s">
        <v>827</v>
      </c>
      <c r="E226" s="88">
        <v>41666</v>
      </c>
      <c r="F226" s="5">
        <v>1</v>
      </c>
      <c r="G226" s="107"/>
      <c r="H226" s="110"/>
      <c r="I226" s="4"/>
      <c r="J226" s="5"/>
    </row>
    <row r="227" spans="2:10" x14ac:dyDescent="0.3">
      <c r="B227" s="99" t="s">
        <v>965</v>
      </c>
      <c r="C227" s="4" t="s">
        <v>662</v>
      </c>
      <c r="D227" s="4" t="s">
        <v>827</v>
      </c>
      <c r="E227" s="88">
        <v>41666</v>
      </c>
      <c r="F227" s="5">
        <v>1</v>
      </c>
      <c r="G227" s="107"/>
      <c r="H227" s="110"/>
      <c r="I227" s="4"/>
      <c r="J227" s="5"/>
    </row>
    <row r="228" spans="2:10" x14ac:dyDescent="0.3">
      <c r="B228" s="99" t="s">
        <v>966</v>
      </c>
      <c r="C228" s="4" t="s">
        <v>662</v>
      </c>
      <c r="D228" s="4" t="s">
        <v>827</v>
      </c>
      <c r="E228" s="88">
        <v>41666</v>
      </c>
      <c r="F228" s="5">
        <v>1</v>
      </c>
      <c r="G228" s="107"/>
      <c r="H228" s="110"/>
      <c r="I228" s="4"/>
      <c r="J228" s="5"/>
    </row>
    <row r="229" spans="2:10" x14ac:dyDescent="0.3">
      <c r="B229" s="99" t="s">
        <v>966</v>
      </c>
      <c r="C229" s="4" t="s">
        <v>662</v>
      </c>
      <c r="D229" s="4" t="s">
        <v>827</v>
      </c>
      <c r="E229" s="88">
        <v>41666</v>
      </c>
      <c r="F229" s="5">
        <v>1</v>
      </c>
      <c r="G229" s="107"/>
      <c r="H229" s="110"/>
      <c r="I229" s="4"/>
      <c r="J229" s="5"/>
    </row>
    <row r="230" spans="2:10" x14ac:dyDescent="0.3">
      <c r="B230" s="99" t="s">
        <v>967</v>
      </c>
      <c r="C230" s="4" t="s">
        <v>662</v>
      </c>
      <c r="D230" s="4" t="s">
        <v>827</v>
      </c>
      <c r="E230" s="88">
        <v>41666</v>
      </c>
      <c r="F230" s="5">
        <v>1</v>
      </c>
      <c r="G230" s="107"/>
      <c r="H230" s="110"/>
      <c r="I230" s="4"/>
      <c r="J230" s="5"/>
    </row>
    <row r="231" spans="2:10" x14ac:dyDescent="0.3">
      <c r="B231" s="99" t="s">
        <v>967</v>
      </c>
      <c r="C231" s="4" t="s">
        <v>662</v>
      </c>
      <c r="D231" s="4" t="s">
        <v>827</v>
      </c>
      <c r="E231" s="88">
        <v>41666</v>
      </c>
      <c r="F231" s="5">
        <v>1</v>
      </c>
      <c r="G231" s="107"/>
      <c r="H231" s="110"/>
      <c r="I231" s="4"/>
      <c r="J231" s="5"/>
    </row>
    <row r="232" spans="2:10" x14ac:dyDescent="0.3">
      <c r="B232" s="99" t="s">
        <v>968</v>
      </c>
      <c r="C232" s="4" t="s">
        <v>662</v>
      </c>
      <c r="D232" s="4" t="s">
        <v>827</v>
      </c>
      <c r="E232" s="88">
        <v>41666</v>
      </c>
      <c r="F232" s="5">
        <v>1</v>
      </c>
      <c r="G232" s="107"/>
      <c r="H232" s="110"/>
      <c r="I232" s="4"/>
      <c r="J232" s="5"/>
    </row>
    <row r="233" spans="2:10" x14ac:dyDescent="0.3">
      <c r="B233" s="99" t="s">
        <v>968</v>
      </c>
      <c r="C233" s="4" t="s">
        <v>662</v>
      </c>
      <c r="D233" s="4" t="s">
        <v>827</v>
      </c>
      <c r="E233" s="88">
        <v>41666</v>
      </c>
      <c r="F233" s="5">
        <v>1</v>
      </c>
      <c r="G233" s="107"/>
      <c r="H233" s="110"/>
      <c r="I233" s="4"/>
      <c r="J233" s="5"/>
    </row>
    <row r="234" spans="2:10" x14ac:dyDescent="0.3">
      <c r="B234" s="99" t="s">
        <v>969</v>
      </c>
      <c r="C234" s="4" t="s">
        <v>662</v>
      </c>
      <c r="D234" s="4" t="s">
        <v>827</v>
      </c>
      <c r="E234" s="88">
        <v>41666</v>
      </c>
      <c r="F234" s="5">
        <v>1</v>
      </c>
      <c r="G234" s="107"/>
      <c r="H234" s="110"/>
      <c r="I234" s="4"/>
      <c r="J234" s="5"/>
    </row>
    <row r="235" spans="2:10" x14ac:dyDescent="0.3">
      <c r="B235" s="99" t="s">
        <v>969</v>
      </c>
      <c r="C235" s="4" t="s">
        <v>662</v>
      </c>
      <c r="D235" s="4" t="s">
        <v>827</v>
      </c>
      <c r="E235" s="88">
        <v>41666</v>
      </c>
      <c r="F235" s="5">
        <v>1</v>
      </c>
      <c r="G235" s="107"/>
      <c r="H235" s="110"/>
      <c r="I235" s="4"/>
      <c r="J235" s="5"/>
    </row>
    <row r="236" spans="2:10" x14ac:dyDescent="0.3">
      <c r="B236" s="99" t="s">
        <v>970</v>
      </c>
      <c r="C236" s="4" t="s">
        <v>840</v>
      </c>
      <c r="D236" s="4" t="s">
        <v>841</v>
      </c>
      <c r="E236" s="88">
        <v>41666</v>
      </c>
      <c r="F236" s="5">
        <v>1</v>
      </c>
      <c r="G236" s="107"/>
      <c r="H236" s="110"/>
      <c r="I236" s="4"/>
      <c r="J236" s="5"/>
    </row>
    <row r="237" spans="2:10" x14ac:dyDescent="0.3">
      <c r="B237" s="99" t="s">
        <v>971</v>
      </c>
      <c r="C237" s="4" t="s">
        <v>840</v>
      </c>
      <c r="D237" s="4" t="s">
        <v>841</v>
      </c>
      <c r="E237" s="88">
        <v>41666</v>
      </c>
      <c r="F237" s="5">
        <v>1</v>
      </c>
      <c r="G237" s="107"/>
      <c r="H237" s="110"/>
      <c r="I237" s="4"/>
      <c r="J237" s="5"/>
    </row>
    <row r="238" spans="2:10" x14ac:dyDescent="0.3">
      <c r="B238" s="99" t="s">
        <v>972</v>
      </c>
      <c r="C238" s="4" t="s">
        <v>840</v>
      </c>
      <c r="D238" s="4" t="s">
        <v>841</v>
      </c>
      <c r="E238" s="88">
        <v>41666</v>
      </c>
      <c r="F238" s="5"/>
      <c r="G238" s="107"/>
      <c r="H238" s="110"/>
      <c r="I238" s="4"/>
      <c r="J238" s="5"/>
    </row>
    <row r="239" spans="2:10" x14ac:dyDescent="0.3">
      <c r="B239" s="99" t="s">
        <v>973</v>
      </c>
      <c r="C239" s="4" t="s">
        <v>840</v>
      </c>
      <c r="D239" s="4" t="s">
        <v>841</v>
      </c>
      <c r="E239" s="88">
        <v>41666</v>
      </c>
      <c r="F239" s="5">
        <v>1</v>
      </c>
      <c r="G239" s="107"/>
      <c r="H239" s="110"/>
      <c r="I239" s="4"/>
      <c r="J239" s="5"/>
    </row>
    <row r="240" spans="2:10" x14ac:dyDescent="0.3">
      <c r="B240" s="99" t="s">
        <v>974</v>
      </c>
      <c r="C240" s="4" t="s">
        <v>840</v>
      </c>
      <c r="D240" s="4" t="s">
        <v>841</v>
      </c>
      <c r="E240" s="88">
        <v>41666</v>
      </c>
      <c r="F240" s="5">
        <v>1</v>
      </c>
      <c r="G240" s="107"/>
      <c r="H240" s="110"/>
      <c r="I240" s="4"/>
      <c r="J240" s="5"/>
    </row>
    <row r="241" spans="2:10" x14ac:dyDescent="0.3">
      <c r="B241" s="99" t="s">
        <v>975</v>
      </c>
      <c r="C241" s="4" t="s">
        <v>840</v>
      </c>
      <c r="D241" s="4" t="s">
        <v>841</v>
      </c>
      <c r="E241" s="88">
        <v>41666</v>
      </c>
      <c r="F241" s="5">
        <v>1</v>
      </c>
      <c r="G241" s="107"/>
      <c r="H241" s="110"/>
      <c r="I241" s="4"/>
      <c r="J241" s="5"/>
    </row>
    <row r="242" spans="2:10" x14ac:dyDescent="0.3">
      <c r="B242" s="99" t="s">
        <v>976</v>
      </c>
      <c r="C242" s="4" t="s">
        <v>977</v>
      </c>
      <c r="D242" s="4" t="s">
        <v>959</v>
      </c>
      <c r="E242" s="88">
        <v>41666</v>
      </c>
      <c r="F242" s="5">
        <v>1</v>
      </c>
      <c r="G242" s="107"/>
      <c r="H242" s="110"/>
      <c r="I242" s="4">
        <v>2</v>
      </c>
      <c r="J242" s="5" t="s">
        <v>828</v>
      </c>
    </row>
    <row r="243" spans="2:10" x14ac:dyDescent="0.3">
      <c r="B243" s="99" t="s">
        <v>978</v>
      </c>
      <c r="C243" s="4" t="s">
        <v>977</v>
      </c>
      <c r="D243" s="4" t="s">
        <v>959</v>
      </c>
      <c r="E243" s="88">
        <v>41666</v>
      </c>
      <c r="F243" s="5">
        <v>1</v>
      </c>
      <c r="G243" s="107"/>
      <c r="H243" s="110"/>
      <c r="I243" s="4">
        <v>2</v>
      </c>
      <c r="J243" s="5" t="s">
        <v>829</v>
      </c>
    </row>
    <row r="244" spans="2:10" x14ac:dyDescent="0.3">
      <c r="B244" s="99" t="s">
        <v>979</v>
      </c>
      <c r="C244" s="4" t="s">
        <v>977</v>
      </c>
      <c r="D244" s="4" t="s">
        <v>959</v>
      </c>
      <c r="E244" s="88">
        <v>41666</v>
      </c>
      <c r="F244" s="5">
        <v>1</v>
      </c>
      <c r="G244" s="107"/>
      <c r="H244" s="110"/>
      <c r="I244" s="4">
        <v>2</v>
      </c>
      <c r="J244" s="5" t="s">
        <v>828</v>
      </c>
    </row>
    <row r="245" spans="2:10" x14ac:dyDescent="0.3">
      <c r="B245" s="99" t="s">
        <v>980</v>
      </c>
      <c r="C245" s="4" t="s">
        <v>977</v>
      </c>
      <c r="D245" s="4" t="s">
        <v>959</v>
      </c>
      <c r="E245" s="88">
        <v>41666</v>
      </c>
      <c r="F245" s="5">
        <v>1</v>
      </c>
      <c r="G245" s="107"/>
      <c r="H245" s="110"/>
      <c r="I245" s="4">
        <v>2</v>
      </c>
      <c r="J245" s="5" t="s">
        <v>828</v>
      </c>
    </row>
    <row r="246" spans="2:10" x14ac:dyDescent="0.3">
      <c r="B246" s="99" t="s">
        <v>981</v>
      </c>
      <c r="C246" s="4" t="s">
        <v>977</v>
      </c>
      <c r="D246" s="4" t="s">
        <v>959</v>
      </c>
      <c r="E246" s="88">
        <v>41666</v>
      </c>
      <c r="F246" s="5">
        <v>1</v>
      </c>
      <c r="G246" s="107"/>
      <c r="H246" s="110"/>
      <c r="I246" s="4">
        <v>2</v>
      </c>
      <c r="J246" s="5" t="s">
        <v>829</v>
      </c>
    </row>
    <row r="247" spans="2:10" x14ac:dyDescent="0.3">
      <c r="B247" s="99" t="s">
        <v>982</v>
      </c>
      <c r="C247" s="4" t="s">
        <v>977</v>
      </c>
      <c r="D247" s="4" t="s">
        <v>959</v>
      </c>
      <c r="E247" s="88">
        <v>41666</v>
      </c>
      <c r="F247" s="5">
        <v>1</v>
      </c>
      <c r="G247" s="107"/>
      <c r="H247" s="110"/>
      <c r="I247" s="4">
        <v>2</v>
      </c>
      <c r="J247" s="5" t="s">
        <v>828</v>
      </c>
    </row>
    <row r="248" spans="2:10" x14ac:dyDescent="0.3">
      <c r="B248" s="99" t="s">
        <v>897</v>
      </c>
      <c r="C248" s="4" t="s">
        <v>898</v>
      </c>
      <c r="D248" s="4" t="s">
        <v>898</v>
      </c>
      <c r="E248" s="88">
        <v>41666</v>
      </c>
      <c r="F248" s="5">
        <v>1</v>
      </c>
      <c r="G248" s="107"/>
      <c r="H248" s="110"/>
      <c r="I248" s="4"/>
      <c r="J248" s="5"/>
    </row>
    <row r="249" spans="2:10" x14ac:dyDescent="0.3">
      <c r="B249" s="99" t="s">
        <v>897</v>
      </c>
      <c r="C249" s="4" t="s">
        <v>898</v>
      </c>
      <c r="D249" s="4" t="s">
        <v>898</v>
      </c>
      <c r="E249" s="88">
        <v>41666</v>
      </c>
      <c r="F249" s="5">
        <v>1</v>
      </c>
      <c r="G249" s="107"/>
      <c r="H249" s="110"/>
      <c r="I249" s="4"/>
      <c r="J249" s="5"/>
    </row>
    <row r="250" spans="2:10" x14ac:dyDescent="0.3">
      <c r="B250" s="99" t="s">
        <v>897</v>
      </c>
      <c r="C250" s="4" t="s">
        <v>898</v>
      </c>
      <c r="D250" s="4" t="s">
        <v>898</v>
      </c>
      <c r="E250" s="88">
        <v>41666</v>
      </c>
      <c r="F250" s="5">
        <v>1</v>
      </c>
      <c r="G250" s="107"/>
      <c r="H250" s="110"/>
      <c r="I250" s="4"/>
      <c r="J250" s="5"/>
    </row>
    <row r="251" spans="2:10" x14ac:dyDescent="0.3">
      <c r="B251" s="99" t="s">
        <v>897</v>
      </c>
      <c r="C251" s="4" t="s">
        <v>898</v>
      </c>
      <c r="D251" s="4" t="s">
        <v>898</v>
      </c>
      <c r="E251" s="88">
        <v>41666</v>
      </c>
      <c r="F251" s="5">
        <v>1</v>
      </c>
      <c r="G251" s="107"/>
      <c r="H251" s="110"/>
      <c r="I251" s="4"/>
      <c r="J251" s="5"/>
    </row>
    <row r="252" spans="2:10" x14ac:dyDescent="0.3">
      <c r="B252" s="99" t="s">
        <v>983</v>
      </c>
      <c r="C252" s="4" t="s">
        <v>901</v>
      </c>
      <c r="D252" s="4" t="s">
        <v>901</v>
      </c>
      <c r="E252" s="88">
        <v>41666</v>
      </c>
      <c r="F252" s="5">
        <v>0.02</v>
      </c>
      <c r="G252" s="107"/>
      <c r="H252" s="110"/>
      <c r="I252" s="4"/>
      <c r="J252" s="5"/>
    </row>
    <row r="253" spans="2:10" x14ac:dyDescent="0.3">
      <c r="B253" s="99" t="s">
        <v>983</v>
      </c>
      <c r="C253" s="4" t="s">
        <v>901</v>
      </c>
      <c r="D253" s="4" t="s">
        <v>901</v>
      </c>
      <c r="E253" s="88">
        <v>41666</v>
      </c>
      <c r="F253" s="5">
        <v>0.1</v>
      </c>
      <c r="G253" s="107"/>
      <c r="H253" s="110"/>
      <c r="I253" s="4"/>
      <c r="J253" s="5"/>
    </row>
    <row r="254" spans="2:10" x14ac:dyDescent="0.3">
      <c r="B254" s="99" t="s">
        <v>983</v>
      </c>
      <c r="C254" s="4" t="s">
        <v>901</v>
      </c>
      <c r="D254" s="4" t="s">
        <v>901</v>
      </c>
      <c r="E254" s="88">
        <v>41666</v>
      </c>
      <c r="F254" s="5">
        <v>0.1</v>
      </c>
      <c r="G254" s="107"/>
      <c r="H254" s="110"/>
      <c r="I254" s="4"/>
      <c r="J254" s="5"/>
    </row>
    <row r="255" spans="2:10" x14ac:dyDescent="0.3">
      <c r="B255" s="99" t="s">
        <v>903</v>
      </c>
      <c r="C255" s="4" t="s">
        <v>904</v>
      </c>
      <c r="D255" s="4" t="s">
        <v>904</v>
      </c>
      <c r="E255" s="88">
        <v>41666</v>
      </c>
      <c r="F255" s="5">
        <v>1</v>
      </c>
      <c r="G255" s="107"/>
      <c r="H255" s="110"/>
      <c r="I255" s="4"/>
      <c r="J255" s="5"/>
    </row>
    <row r="256" spans="2:10" x14ac:dyDescent="0.3">
      <c r="B256" s="99" t="s">
        <v>903</v>
      </c>
      <c r="C256" s="4" t="s">
        <v>904</v>
      </c>
      <c r="D256" s="4" t="s">
        <v>904</v>
      </c>
      <c r="E256" s="88">
        <v>41666</v>
      </c>
      <c r="F256" s="5">
        <v>1</v>
      </c>
      <c r="G256" s="107"/>
      <c r="H256" s="110"/>
      <c r="I256" s="4"/>
      <c r="J256" s="5"/>
    </row>
    <row r="257" spans="2:10" x14ac:dyDescent="0.3">
      <c r="B257" s="99" t="s">
        <v>903</v>
      </c>
      <c r="C257" s="4" t="s">
        <v>904</v>
      </c>
      <c r="D257" s="4" t="s">
        <v>904</v>
      </c>
      <c r="E257" s="88">
        <v>41666</v>
      </c>
      <c r="F257" s="5">
        <v>1</v>
      </c>
      <c r="G257" s="107"/>
      <c r="H257" s="110"/>
      <c r="I257" s="4"/>
      <c r="J257" s="5"/>
    </row>
    <row r="258" spans="2:10" x14ac:dyDescent="0.3">
      <c r="B258" s="99" t="s">
        <v>903</v>
      </c>
      <c r="C258" s="4" t="s">
        <v>904</v>
      </c>
      <c r="D258" s="4" t="s">
        <v>904</v>
      </c>
      <c r="E258" s="88">
        <v>41666</v>
      </c>
      <c r="F258" s="5">
        <v>1</v>
      </c>
      <c r="G258" s="107"/>
      <c r="H258" s="110"/>
      <c r="I258" s="4"/>
      <c r="J258" s="5"/>
    </row>
    <row r="259" spans="2:10" ht="15" thickBot="1" x14ac:dyDescent="0.35">
      <c r="B259" s="100" t="s">
        <v>903</v>
      </c>
      <c r="C259" s="6" t="s">
        <v>904</v>
      </c>
      <c r="D259" s="6" t="s">
        <v>904</v>
      </c>
      <c r="E259" s="101">
        <v>41666</v>
      </c>
      <c r="F259" s="7">
        <v>1</v>
      </c>
      <c r="G259" s="108"/>
      <c r="H259" s="111"/>
      <c r="I259" s="6"/>
      <c r="J259" s="7"/>
    </row>
  </sheetData>
  <mergeCells count="4">
    <mergeCell ref="I4:J4"/>
    <mergeCell ref="G4:H4"/>
    <mergeCell ref="B4:F4"/>
    <mergeCell ref="B2:J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X18"/>
  <sheetViews>
    <sheetView zoomScale="70" zoomScaleNormal="70" workbookViewId="0">
      <pane xSplit="3" ySplit="5" topLeftCell="D6" activePane="bottomRight" state="frozen"/>
      <selection pane="topRight" activeCell="C1" sqref="C1"/>
      <selection pane="bottomLeft" activeCell="A5" sqref="A5"/>
      <selection pane="bottomRight" activeCell="T39" sqref="T39"/>
    </sheetView>
  </sheetViews>
  <sheetFormatPr defaultColWidth="11.44140625" defaultRowHeight="13.8" x14ac:dyDescent="0.25"/>
  <cols>
    <col min="1" max="1" width="3.44140625" style="9" customWidth="1"/>
    <col min="2" max="2" width="5.44140625" style="9" bestFit="1" customWidth="1"/>
    <col min="3" max="3" width="12.33203125" style="9" customWidth="1"/>
    <col min="4" max="17" width="4.33203125" style="9" customWidth="1"/>
    <col min="18" max="19" width="3" style="9" customWidth="1"/>
    <col min="20" max="20" width="4.33203125" style="9" customWidth="1"/>
    <col min="21" max="22" width="3" style="9" customWidth="1"/>
    <col min="23" max="23" width="4.33203125" style="9" customWidth="1"/>
    <col min="24" max="25" width="3" style="9" customWidth="1"/>
    <col min="26" max="26" width="4.33203125" style="9" customWidth="1"/>
    <col min="27" max="27" width="3" style="9" customWidth="1"/>
    <col min="28" max="66" width="4.5546875" style="9" customWidth="1"/>
    <col min="67" max="67" width="8" style="9" customWidth="1"/>
    <col min="68" max="74" width="4.44140625" style="9" customWidth="1"/>
    <col min="75" max="75" width="8" style="9" customWidth="1"/>
    <col min="76" max="16384" width="11.44140625" style="9"/>
  </cols>
  <sheetData>
    <row r="2" spans="2:76" s="299" customFormat="1" ht="17.399999999999999" x14ac:dyDescent="0.3">
      <c r="B2" s="457" t="s">
        <v>1213</v>
      </c>
      <c r="C2" s="457"/>
      <c r="D2" s="457"/>
      <c r="E2" s="457"/>
      <c r="F2" s="457"/>
      <c r="G2" s="457"/>
      <c r="H2" s="457"/>
      <c r="I2" s="457"/>
      <c r="J2" s="457"/>
      <c r="K2" s="457"/>
      <c r="L2" s="457"/>
      <c r="M2" s="457"/>
      <c r="N2" s="457"/>
      <c r="O2" s="457"/>
      <c r="P2" s="457"/>
      <c r="Q2" s="457"/>
      <c r="R2" s="457"/>
      <c r="S2" s="457"/>
      <c r="T2" s="457"/>
      <c r="U2" s="457"/>
      <c r="V2" s="457"/>
      <c r="W2" s="457"/>
      <c r="X2" s="457"/>
      <c r="Y2" s="457"/>
      <c r="Z2" s="457"/>
      <c r="AA2" s="457"/>
      <c r="AB2" s="457"/>
      <c r="AC2" s="457"/>
      <c r="AD2" s="457"/>
      <c r="AE2" s="457"/>
      <c r="AF2" s="457"/>
      <c r="AG2" s="457"/>
      <c r="AH2" s="457"/>
      <c r="AI2" s="457"/>
      <c r="AJ2" s="457"/>
      <c r="AK2" s="457"/>
      <c r="AL2" s="457"/>
      <c r="AM2" s="457"/>
      <c r="AN2" s="457"/>
      <c r="AO2" s="457"/>
      <c r="AP2" s="457"/>
      <c r="AQ2" s="457"/>
      <c r="AR2" s="457"/>
      <c r="AS2" s="457"/>
      <c r="AT2" s="457"/>
      <c r="AU2" s="457"/>
      <c r="AV2" s="457"/>
      <c r="AW2" s="457"/>
      <c r="AX2" s="457"/>
      <c r="AY2" s="457"/>
      <c r="AZ2" s="457"/>
      <c r="BA2" s="457"/>
      <c r="BB2" s="457"/>
      <c r="BC2" s="457"/>
      <c r="BD2" s="457"/>
      <c r="BE2" s="457"/>
      <c r="BF2" s="457"/>
      <c r="BG2" s="457"/>
      <c r="BH2" s="457"/>
      <c r="BI2" s="457"/>
      <c r="BJ2" s="457"/>
      <c r="BK2" s="457"/>
      <c r="BL2" s="457"/>
      <c r="BM2" s="457"/>
      <c r="BN2" s="457"/>
      <c r="BO2" s="457"/>
      <c r="BP2" s="457"/>
      <c r="BQ2" s="457"/>
      <c r="BR2" s="457"/>
      <c r="BS2" s="457"/>
      <c r="BT2" s="457"/>
      <c r="BU2" s="457"/>
      <c r="BV2" s="457"/>
      <c r="BW2" s="457"/>
    </row>
    <row r="3" spans="2:76" ht="14.4" thickBot="1" x14ac:dyDescent="0.3"/>
    <row r="4" spans="2:76" ht="15" customHeight="1" x14ac:dyDescent="0.25">
      <c r="B4" s="433" t="s">
        <v>1056</v>
      </c>
      <c r="C4" s="443"/>
      <c r="D4" s="466" t="s">
        <v>791</v>
      </c>
      <c r="E4" s="465"/>
      <c r="F4" s="467"/>
      <c r="G4" s="465" t="s">
        <v>792</v>
      </c>
      <c r="H4" s="465"/>
      <c r="I4" s="465"/>
      <c r="J4" s="466" t="s">
        <v>793</v>
      </c>
      <c r="K4" s="465"/>
      <c r="L4" s="467"/>
      <c r="M4" s="465" t="s">
        <v>794</v>
      </c>
      <c r="N4" s="465"/>
      <c r="O4" s="465"/>
      <c r="P4" s="466" t="s">
        <v>795</v>
      </c>
      <c r="Q4" s="465"/>
      <c r="R4" s="467"/>
      <c r="S4" s="465" t="s">
        <v>796</v>
      </c>
      <c r="T4" s="465"/>
      <c r="U4" s="465"/>
      <c r="V4" s="466" t="s">
        <v>797</v>
      </c>
      <c r="W4" s="465"/>
      <c r="X4" s="467"/>
      <c r="Y4" s="465" t="s">
        <v>798</v>
      </c>
      <c r="Z4" s="465"/>
      <c r="AA4" s="465"/>
      <c r="AB4" s="466">
        <v>0</v>
      </c>
      <c r="AC4" s="465"/>
      <c r="AD4" s="467"/>
      <c r="AE4" s="465" t="s">
        <v>792</v>
      </c>
      <c r="AF4" s="465"/>
      <c r="AG4" s="465"/>
      <c r="AH4" s="466" t="s">
        <v>793</v>
      </c>
      <c r="AI4" s="465"/>
      <c r="AJ4" s="467"/>
      <c r="AK4" s="465" t="s">
        <v>794</v>
      </c>
      <c r="AL4" s="465"/>
      <c r="AM4" s="465"/>
      <c r="AN4" s="466" t="s">
        <v>795</v>
      </c>
      <c r="AO4" s="465"/>
      <c r="AP4" s="467"/>
      <c r="AQ4" s="465" t="s">
        <v>796</v>
      </c>
      <c r="AR4" s="465"/>
      <c r="AS4" s="465"/>
      <c r="AT4" s="466" t="s">
        <v>797</v>
      </c>
      <c r="AU4" s="465"/>
      <c r="AV4" s="467"/>
      <c r="AW4" s="465" t="s">
        <v>798</v>
      </c>
      <c r="AX4" s="465"/>
      <c r="AY4" s="465"/>
      <c r="AZ4" s="458" t="s">
        <v>1049</v>
      </c>
      <c r="BA4" s="459"/>
      <c r="BB4" s="459"/>
      <c r="BC4" s="459"/>
      <c r="BD4" s="459"/>
      <c r="BE4" s="459"/>
      <c r="BF4" s="459"/>
      <c r="BG4" s="460"/>
      <c r="BH4" s="461" t="s">
        <v>1048</v>
      </c>
      <c r="BI4" s="459"/>
      <c r="BJ4" s="459"/>
      <c r="BK4" s="459"/>
      <c r="BL4" s="459"/>
      <c r="BM4" s="459"/>
      <c r="BN4" s="459"/>
      <c r="BO4" s="460"/>
      <c r="BP4" s="461" t="s">
        <v>1050</v>
      </c>
      <c r="BQ4" s="459"/>
      <c r="BR4" s="459"/>
      <c r="BS4" s="459"/>
      <c r="BT4" s="459"/>
      <c r="BU4" s="459"/>
      <c r="BV4" s="459"/>
      <c r="BW4" s="460"/>
    </row>
    <row r="5" spans="2:76" ht="15.75" customHeight="1" thickBot="1" x14ac:dyDescent="0.3">
      <c r="B5" s="439"/>
      <c r="C5" s="445"/>
      <c r="D5" s="10">
        <v>1</v>
      </c>
      <c r="E5" s="11">
        <v>2</v>
      </c>
      <c r="F5" s="12">
        <v>3</v>
      </c>
      <c r="G5" s="13">
        <v>1</v>
      </c>
      <c r="H5" s="11">
        <v>2</v>
      </c>
      <c r="I5" s="14">
        <v>3</v>
      </c>
      <c r="J5" s="10">
        <v>1</v>
      </c>
      <c r="K5" s="11">
        <v>2</v>
      </c>
      <c r="L5" s="12">
        <v>3</v>
      </c>
      <c r="M5" s="13">
        <v>1</v>
      </c>
      <c r="N5" s="11">
        <v>2</v>
      </c>
      <c r="O5" s="14">
        <v>3</v>
      </c>
      <c r="P5" s="10">
        <v>1</v>
      </c>
      <c r="Q5" s="11">
        <v>2</v>
      </c>
      <c r="R5" s="12">
        <v>3</v>
      </c>
      <c r="S5" s="13">
        <v>1</v>
      </c>
      <c r="T5" s="11">
        <v>2</v>
      </c>
      <c r="U5" s="14">
        <v>3</v>
      </c>
      <c r="V5" s="10">
        <v>1</v>
      </c>
      <c r="W5" s="11">
        <v>2</v>
      </c>
      <c r="X5" s="12">
        <v>3</v>
      </c>
      <c r="Y5" s="13">
        <v>1</v>
      </c>
      <c r="Z5" s="11">
        <v>2</v>
      </c>
      <c r="AA5" s="14">
        <v>3</v>
      </c>
      <c r="AB5" s="10">
        <v>1</v>
      </c>
      <c r="AC5" s="11">
        <v>2</v>
      </c>
      <c r="AD5" s="12">
        <v>3</v>
      </c>
      <c r="AE5" s="13">
        <v>1</v>
      </c>
      <c r="AF5" s="11">
        <v>2</v>
      </c>
      <c r="AG5" s="14">
        <v>3</v>
      </c>
      <c r="AH5" s="10">
        <v>1</v>
      </c>
      <c r="AI5" s="11">
        <v>2</v>
      </c>
      <c r="AJ5" s="12">
        <v>3</v>
      </c>
      <c r="AK5" s="13">
        <v>1</v>
      </c>
      <c r="AL5" s="11">
        <v>2</v>
      </c>
      <c r="AM5" s="14">
        <v>3</v>
      </c>
      <c r="AN5" s="10">
        <v>1</v>
      </c>
      <c r="AO5" s="11">
        <v>2</v>
      </c>
      <c r="AP5" s="12">
        <v>3</v>
      </c>
      <c r="AQ5" s="13">
        <v>1</v>
      </c>
      <c r="AR5" s="11">
        <v>2</v>
      </c>
      <c r="AS5" s="14">
        <v>3</v>
      </c>
      <c r="AT5" s="10">
        <v>1</v>
      </c>
      <c r="AU5" s="11">
        <v>2</v>
      </c>
      <c r="AV5" s="12">
        <v>3</v>
      </c>
      <c r="AW5" s="13">
        <v>1</v>
      </c>
      <c r="AX5" s="11">
        <v>2</v>
      </c>
      <c r="AY5" s="14">
        <v>3</v>
      </c>
      <c r="AZ5" s="10">
        <v>0</v>
      </c>
      <c r="BA5" s="11">
        <v>2</v>
      </c>
      <c r="BB5" s="11">
        <v>4</v>
      </c>
      <c r="BC5" s="11">
        <v>6</v>
      </c>
      <c r="BD5" s="11">
        <v>8</v>
      </c>
      <c r="BE5" s="11">
        <v>10</v>
      </c>
      <c r="BF5" s="11">
        <v>12</v>
      </c>
      <c r="BG5" s="12">
        <v>14</v>
      </c>
      <c r="BH5" s="13">
        <v>0</v>
      </c>
      <c r="BI5" s="11">
        <v>2</v>
      </c>
      <c r="BJ5" s="11">
        <v>4</v>
      </c>
      <c r="BK5" s="11">
        <v>6</v>
      </c>
      <c r="BL5" s="11">
        <v>8</v>
      </c>
      <c r="BM5" s="11">
        <v>10</v>
      </c>
      <c r="BN5" s="11">
        <v>12</v>
      </c>
      <c r="BO5" s="12">
        <v>14</v>
      </c>
      <c r="BP5" s="13">
        <v>0</v>
      </c>
      <c r="BQ5" s="11">
        <v>2</v>
      </c>
      <c r="BR5" s="11">
        <v>4</v>
      </c>
      <c r="BS5" s="11">
        <v>6</v>
      </c>
      <c r="BT5" s="11">
        <v>8</v>
      </c>
      <c r="BU5" s="11">
        <v>10</v>
      </c>
      <c r="BV5" s="11">
        <v>12</v>
      </c>
      <c r="BW5" s="12">
        <v>14</v>
      </c>
    </row>
    <row r="6" spans="2:76" x14ac:dyDescent="0.25">
      <c r="B6" s="475" t="s">
        <v>984</v>
      </c>
      <c r="C6" s="15" t="s">
        <v>985</v>
      </c>
      <c r="D6" s="16">
        <v>10</v>
      </c>
      <c r="E6" s="17">
        <v>10</v>
      </c>
      <c r="F6" s="18">
        <v>10</v>
      </c>
      <c r="G6" s="19">
        <v>10</v>
      </c>
      <c r="H6" s="17">
        <v>10</v>
      </c>
      <c r="I6" s="20">
        <v>10</v>
      </c>
      <c r="J6" s="16">
        <v>10</v>
      </c>
      <c r="K6" s="17">
        <v>10</v>
      </c>
      <c r="L6" s="18">
        <v>10</v>
      </c>
      <c r="M6" s="19">
        <v>10</v>
      </c>
      <c r="N6" s="17">
        <v>10</v>
      </c>
      <c r="O6" s="20">
        <v>9</v>
      </c>
      <c r="P6" s="16">
        <v>5</v>
      </c>
      <c r="Q6" s="17">
        <v>7</v>
      </c>
      <c r="R6" s="18">
        <v>7</v>
      </c>
      <c r="S6" s="19">
        <v>2</v>
      </c>
      <c r="T6" s="17">
        <v>3</v>
      </c>
      <c r="U6" s="20">
        <v>1</v>
      </c>
      <c r="V6" s="16">
        <v>1</v>
      </c>
      <c r="W6" s="17">
        <v>1</v>
      </c>
      <c r="X6" s="18">
        <v>0</v>
      </c>
      <c r="Y6" s="19">
        <v>1</v>
      </c>
      <c r="Z6" s="17">
        <v>1</v>
      </c>
      <c r="AA6" s="20">
        <v>0</v>
      </c>
      <c r="AB6" s="16">
        <f>100/D6*D6</f>
        <v>100</v>
      </c>
      <c r="AC6" s="17">
        <f>100/E6*E6</f>
        <v>100</v>
      </c>
      <c r="AD6" s="18">
        <f>100/F6*F6</f>
        <v>100</v>
      </c>
      <c r="AE6" s="19">
        <f>100/D6*G6</f>
        <v>100</v>
      </c>
      <c r="AF6" s="17">
        <f>100/E6*H6</f>
        <v>100</v>
      </c>
      <c r="AG6" s="20">
        <f>100/F6*I6</f>
        <v>100</v>
      </c>
      <c r="AH6" s="16">
        <f>100/D6*J6</f>
        <v>100</v>
      </c>
      <c r="AI6" s="17">
        <f>100/E6*K6</f>
        <v>100</v>
      </c>
      <c r="AJ6" s="18">
        <f>100/F6*L6</f>
        <v>100</v>
      </c>
      <c r="AK6" s="19">
        <f>100/D6*M6</f>
        <v>100</v>
      </c>
      <c r="AL6" s="17">
        <f>100/E6*N6</f>
        <v>100</v>
      </c>
      <c r="AM6" s="20">
        <f>100/F6*O6</f>
        <v>90</v>
      </c>
      <c r="AN6" s="16">
        <f>100/D6*P6</f>
        <v>50</v>
      </c>
      <c r="AO6" s="17">
        <f>100/E6*Q6</f>
        <v>70</v>
      </c>
      <c r="AP6" s="18">
        <f>100/F6*R6</f>
        <v>70</v>
      </c>
      <c r="AQ6" s="19">
        <f>100/D6*S6</f>
        <v>20</v>
      </c>
      <c r="AR6" s="17">
        <f>100/E6*T6</f>
        <v>30</v>
      </c>
      <c r="AS6" s="20">
        <f>100/F6*U6</f>
        <v>10</v>
      </c>
      <c r="AT6" s="16">
        <f>100/D6*V6</f>
        <v>10</v>
      </c>
      <c r="AU6" s="17">
        <f>100/E6*W6</f>
        <v>10</v>
      </c>
      <c r="AV6" s="18">
        <f>100/F6*X6</f>
        <v>0</v>
      </c>
      <c r="AW6" s="19">
        <f>100/D6*Y6</f>
        <v>10</v>
      </c>
      <c r="AX6" s="17">
        <f>100/E6*Z6</f>
        <v>10</v>
      </c>
      <c r="AY6" s="20">
        <f>100/F6*AA6</f>
        <v>0</v>
      </c>
      <c r="AZ6" s="21">
        <f>_xlfn.STDEV.P(AB6:AD6)</f>
        <v>0</v>
      </c>
      <c r="BA6" s="22">
        <f>_xlfn.STDEV.P(AE6:AG6)</f>
        <v>0</v>
      </c>
      <c r="BB6" s="22">
        <f>_xlfn.STDEV.P(AH6:AJ6)</f>
        <v>0</v>
      </c>
      <c r="BC6" s="22">
        <f>_xlfn.STDEV.P(AK6:AM6)</f>
        <v>4.7140452079103161</v>
      </c>
      <c r="BD6" s="22">
        <f>_xlfn.STDEV.P(AN6:AP6)</f>
        <v>9.428090415820634</v>
      </c>
      <c r="BE6" s="22">
        <f>_xlfn.STDEV.P(AQ6:AS6)</f>
        <v>8.1649658092772608</v>
      </c>
      <c r="BF6" s="22">
        <f>_xlfn.STDEV.P(AT6:AV6)</f>
        <v>4.714045207910317</v>
      </c>
      <c r="BG6" s="23">
        <f>_xlfn.STDEV.P(AW6:AY6)</f>
        <v>4.714045207910317</v>
      </c>
      <c r="BH6" s="24">
        <f>AVERAGE(AB6:AD6)</f>
        <v>100</v>
      </c>
      <c r="BI6" s="22">
        <f>AVERAGE(AE6:AG6)</f>
        <v>100</v>
      </c>
      <c r="BJ6" s="22">
        <f>AVERAGE(AH6:AJ6)</f>
        <v>100</v>
      </c>
      <c r="BK6" s="22">
        <f>AVERAGE(AK6:AM6)</f>
        <v>96.666666666666671</v>
      </c>
      <c r="BL6" s="22">
        <f>AVERAGE(AN6:AP6)</f>
        <v>63.333333333333336</v>
      </c>
      <c r="BM6" s="22">
        <f>AVERAGE(AQ6:AS6)</f>
        <v>20</v>
      </c>
      <c r="BN6" s="22">
        <f>AVERAGE(AT6:AV6)</f>
        <v>6.666666666666667</v>
      </c>
      <c r="BO6" s="25">
        <f>AVERAGE(AW6:AY6)</f>
        <v>6.666666666666667</v>
      </c>
      <c r="BP6" s="24">
        <f>100-BH6</f>
        <v>0</v>
      </c>
      <c r="BQ6" s="22">
        <f t="shared" ref="BQ6:BW17" si="0">100-BI6</f>
        <v>0</v>
      </c>
      <c r="BR6" s="22">
        <f t="shared" si="0"/>
        <v>0</v>
      </c>
      <c r="BS6" s="22">
        <f t="shared" si="0"/>
        <v>3.3333333333333286</v>
      </c>
      <c r="BT6" s="22">
        <f t="shared" si="0"/>
        <v>36.666666666666664</v>
      </c>
      <c r="BU6" s="22">
        <f t="shared" si="0"/>
        <v>80</v>
      </c>
      <c r="BV6" s="22">
        <f t="shared" si="0"/>
        <v>93.333333333333329</v>
      </c>
      <c r="BW6" s="25">
        <f t="shared" si="0"/>
        <v>93.333333333333329</v>
      </c>
    </row>
    <row r="7" spans="2:76" x14ac:dyDescent="0.25">
      <c r="B7" s="476"/>
      <c r="C7" s="26" t="s">
        <v>986</v>
      </c>
      <c r="D7" s="27">
        <v>10</v>
      </c>
      <c r="E7" s="28">
        <v>10</v>
      </c>
      <c r="F7" s="29">
        <v>10</v>
      </c>
      <c r="G7" s="30">
        <v>9</v>
      </c>
      <c r="H7" s="28">
        <v>9</v>
      </c>
      <c r="I7" s="31">
        <v>9</v>
      </c>
      <c r="J7" s="27">
        <v>7</v>
      </c>
      <c r="K7" s="28">
        <v>8</v>
      </c>
      <c r="L7" s="29">
        <v>9</v>
      </c>
      <c r="M7" s="30">
        <v>6</v>
      </c>
      <c r="N7" s="28">
        <v>2</v>
      </c>
      <c r="O7" s="31">
        <v>3</v>
      </c>
      <c r="P7" s="27">
        <v>1</v>
      </c>
      <c r="Q7" s="28">
        <v>1</v>
      </c>
      <c r="R7" s="29">
        <v>0</v>
      </c>
      <c r="S7" s="30">
        <v>0</v>
      </c>
      <c r="T7" s="28">
        <v>1</v>
      </c>
      <c r="U7" s="31">
        <v>0</v>
      </c>
      <c r="V7" s="27">
        <v>0</v>
      </c>
      <c r="W7" s="28">
        <v>0</v>
      </c>
      <c r="X7" s="29">
        <v>0</v>
      </c>
      <c r="Y7" s="30">
        <v>0</v>
      </c>
      <c r="Z7" s="28">
        <v>0</v>
      </c>
      <c r="AA7" s="31">
        <v>0</v>
      </c>
      <c r="AB7" s="32">
        <f t="shared" ref="AB7:AD17" si="1">100/D7*D7</f>
        <v>100</v>
      </c>
      <c r="AC7" s="33">
        <f t="shared" si="1"/>
        <v>100</v>
      </c>
      <c r="AD7" s="34">
        <f t="shared" si="1"/>
        <v>100</v>
      </c>
      <c r="AE7" s="35">
        <f t="shared" ref="AE7:AG17" si="2">100/D7*G7</f>
        <v>90</v>
      </c>
      <c r="AF7" s="33">
        <f t="shared" si="2"/>
        <v>90</v>
      </c>
      <c r="AG7" s="36">
        <f t="shared" si="2"/>
        <v>90</v>
      </c>
      <c r="AH7" s="32">
        <f t="shared" ref="AH7:AJ17" si="3">100/D7*J7</f>
        <v>70</v>
      </c>
      <c r="AI7" s="33">
        <f t="shared" si="3"/>
        <v>80</v>
      </c>
      <c r="AJ7" s="34">
        <f t="shared" si="3"/>
        <v>90</v>
      </c>
      <c r="AK7" s="35">
        <f t="shared" ref="AK7:AM17" si="4">100/D7*M7</f>
        <v>60</v>
      </c>
      <c r="AL7" s="33">
        <f t="shared" si="4"/>
        <v>20</v>
      </c>
      <c r="AM7" s="36">
        <f t="shared" si="4"/>
        <v>30</v>
      </c>
      <c r="AN7" s="32">
        <f t="shared" ref="AN7:AP17" si="5">100/D7*P7</f>
        <v>10</v>
      </c>
      <c r="AO7" s="33">
        <f t="shared" si="5"/>
        <v>10</v>
      </c>
      <c r="AP7" s="34">
        <f t="shared" si="5"/>
        <v>0</v>
      </c>
      <c r="AQ7" s="35">
        <f t="shared" ref="AQ7:AS17" si="6">100/D7*S7</f>
        <v>0</v>
      </c>
      <c r="AR7" s="33">
        <f t="shared" si="6"/>
        <v>10</v>
      </c>
      <c r="AS7" s="36">
        <f t="shared" si="6"/>
        <v>0</v>
      </c>
      <c r="AT7" s="32">
        <f t="shared" ref="AT7:AV17" si="7">100/D7*V7</f>
        <v>0</v>
      </c>
      <c r="AU7" s="33">
        <f t="shared" si="7"/>
        <v>0</v>
      </c>
      <c r="AV7" s="34">
        <f t="shared" si="7"/>
        <v>0</v>
      </c>
      <c r="AW7" s="35">
        <f t="shared" ref="AW7:AY17" si="8">100/D7*Y7</f>
        <v>0</v>
      </c>
      <c r="AX7" s="33">
        <f t="shared" si="8"/>
        <v>0</v>
      </c>
      <c r="AY7" s="36">
        <f t="shared" si="8"/>
        <v>0</v>
      </c>
      <c r="AZ7" s="37">
        <f t="shared" ref="AZ7:AZ17" si="9">_xlfn.STDEV.P(AB7:AD7)</f>
        <v>0</v>
      </c>
      <c r="BA7" s="38">
        <f t="shared" ref="BA7:BA17" si="10">_xlfn.STDEV.P(AE7:AG7)</f>
        <v>0</v>
      </c>
      <c r="BB7" s="38">
        <f t="shared" ref="BB7:BB17" si="11">_xlfn.STDEV.P(AH7:AJ7)</f>
        <v>8.1649658092772608</v>
      </c>
      <c r="BC7" s="38">
        <f t="shared" ref="BC7:BC17" si="12">_xlfn.STDEV.P(AK7:AM7)</f>
        <v>16.996731711975951</v>
      </c>
      <c r="BD7" s="38">
        <f t="shared" ref="BD7:BD17" si="13">_xlfn.STDEV.P(AN7:AP7)</f>
        <v>4.714045207910317</v>
      </c>
      <c r="BE7" s="38">
        <f t="shared" ref="BE7:BE17" si="14">_xlfn.STDEV.P(AQ7:AS7)</f>
        <v>4.714045207910317</v>
      </c>
      <c r="BF7" s="38">
        <f t="shared" ref="BF7:BG17" si="15">_xlfn.STDEV.P(AT7:AV7)</f>
        <v>0</v>
      </c>
      <c r="BG7" s="38">
        <f t="shared" si="15"/>
        <v>0</v>
      </c>
      <c r="BH7" s="39">
        <f t="shared" ref="BH7:BH17" si="16">AVERAGE(AB7:AD7)</f>
        <v>100</v>
      </c>
      <c r="BI7" s="38">
        <f t="shared" ref="BI7:BI17" si="17">AVERAGE(AE7:AG7)</f>
        <v>90</v>
      </c>
      <c r="BJ7" s="38">
        <f t="shared" ref="BJ7:BJ17" si="18">AVERAGE(AH7:AJ7)</f>
        <v>80</v>
      </c>
      <c r="BK7" s="38">
        <f t="shared" ref="BK7:BK17" si="19">AVERAGE(AK7:AM7)</f>
        <v>36.666666666666664</v>
      </c>
      <c r="BL7" s="38">
        <f t="shared" ref="BL7:BL17" si="20">AVERAGE(AN7:AP7)</f>
        <v>6.666666666666667</v>
      </c>
      <c r="BM7" s="38">
        <f t="shared" ref="BM7:BM17" si="21">AVERAGE(AQ7:AS7)</f>
        <v>3.3333333333333335</v>
      </c>
      <c r="BN7" s="38">
        <f t="shared" ref="BN7:BN17" si="22">AVERAGE(AT7:AV7)</f>
        <v>0</v>
      </c>
      <c r="BO7" s="40"/>
      <c r="BP7" s="39">
        <f t="shared" ref="BP7:BP11" si="23">100-BH7</f>
        <v>0</v>
      </c>
      <c r="BQ7" s="38">
        <f t="shared" si="0"/>
        <v>10</v>
      </c>
      <c r="BR7" s="38">
        <f t="shared" si="0"/>
        <v>20</v>
      </c>
      <c r="BS7" s="38">
        <f t="shared" si="0"/>
        <v>63.333333333333336</v>
      </c>
      <c r="BT7" s="38">
        <f t="shared" si="0"/>
        <v>93.333333333333329</v>
      </c>
      <c r="BU7" s="38">
        <f t="shared" si="0"/>
        <v>96.666666666666671</v>
      </c>
      <c r="BV7" s="38">
        <f t="shared" si="0"/>
        <v>100</v>
      </c>
      <c r="BW7" s="40">
        <f t="shared" si="0"/>
        <v>100</v>
      </c>
      <c r="BX7" s="191"/>
    </row>
    <row r="8" spans="2:76" x14ac:dyDescent="0.25">
      <c r="B8" s="476"/>
      <c r="C8" s="26" t="s">
        <v>987</v>
      </c>
      <c r="D8" s="27">
        <v>10</v>
      </c>
      <c r="E8" s="28">
        <v>10</v>
      </c>
      <c r="F8" s="29">
        <v>10</v>
      </c>
      <c r="G8" s="30">
        <v>10</v>
      </c>
      <c r="H8" s="28">
        <v>10</v>
      </c>
      <c r="I8" s="31">
        <v>10</v>
      </c>
      <c r="J8" s="27">
        <v>9</v>
      </c>
      <c r="K8" s="28">
        <v>10</v>
      </c>
      <c r="L8" s="29">
        <v>6</v>
      </c>
      <c r="M8" s="30">
        <v>8</v>
      </c>
      <c r="N8" s="28">
        <v>9</v>
      </c>
      <c r="O8" s="31">
        <v>6</v>
      </c>
      <c r="P8" s="27">
        <v>6</v>
      </c>
      <c r="Q8" s="28">
        <v>5</v>
      </c>
      <c r="R8" s="29">
        <v>5</v>
      </c>
      <c r="S8" s="30">
        <v>3</v>
      </c>
      <c r="T8" s="28">
        <v>3</v>
      </c>
      <c r="U8" s="31">
        <v>4</v>
      </c>
      <c r="V8" s="27">
        <v>1</v>
      </c>
      <c r="W8" s="28">
        <v>0</v>
      </c>
      <c r="X8" s="29">
        <v>2</v>
      </c>
      <c r="Y8" s="30">
        <v>1</v>
      </c>
      <c r="Z8" s="28">
        <v>0</v>
      </c>
      <c r="AA8" s="31">
        <v>1</v>
      </c>
      <c r="AB8" s="32">
        <f t="shared" si="1"/>
        <v>100</v>
      </c>
      <c r="AC8" s="33">
        <f t="shared" si="1"/>
        <v>100</v>
      </c>
      <c r="AD8" s="34">
        <f t="shared" si="1"/>
        <v>100</v>
      </c>
      <c r="AE8" s="35">
        <f t="shared" si="2"/>
        <v>100</v>
      </c>
      <c r="AF8" s="33">
        <f t="shared" si="2"/>
        <v>100</v>
      </c>
      <c r="AG8" s="36">
        <f t="shared" si="2"/>
        <v>100</v>
      </c>
      <c r="AH8" s="32">
        <f t="shared" si="3"/>
        <v>90</v>
      </c>
      <c r="AI8" s="33">
        <f t="shared" si="3"/>
        <v>100</v>
      </c>
      <c r="AJ8" s="34">
        <f t="shared" si="3"/>
        <v>60</v>
      </c>
      <c r="AK8" s="35">
        <f t="shared" si="4"/>
        <v>80</v>
      </c>
      <c r="AL8" s="33">
        <f t="shared" si="4"/>
        <v>90</v>
      </c>
      <c r="AM8" s="36">
        <f t="shared" si="4"/>
        <v>60</v>
      </c>
      <c r="AN8" s="32">
        <f t="shared" si="5"/>
        <v>60</v>
      </c>
      <c r="AO8" s="33">
        <f t="shared" si="5"/>
        <v>50</v>
      </c>
      <c r="AP8" s="34">
        <f t="shared" si="5"/>
        <v>50</v>
      </c>
      <c r="AQ8" s="35">
        <f t="shared" si="6"/>
        <v>30</v>
      </c>
      <c r="AR8" s="33">
        <f t="shared" si="6"/>
        <v>30</v>
      </c>
      <c r="AS8" s="36">
        <f t="shared" si="6"/>
        <v>40</v>
      </c>
      <c r="AT8" s="32">
        <f t="shared" si="7"/>
        <v>10</v>
      </c>
      <c r="AU8" s="33">
        <f t="shared" si="7"/>
        <v>0</v>
      </c>
      <c r="AV8" s="34">
        <f t="shared" si="7"/>
        <v>20</v>
      </c>
      <c r="AW8" s="35">
        <f t="shared" si="8"/>
        <v>10</v>
      </c>
      <c r="AX8" s="33">
        <f t="shared" si="8"/>
        <v>0</v>
      </c>
      <c r="AY8" s="36">
        <f t="shared" si="8"/>
        <v>10</v>
      </c>
      <c r="AZ8" s="37">
        <f t="shared" si="9"/>
        <v>0</v>
      </c>
      <c r="BA8" s="38">
        <f t="shared" si="10"/>
        <v>0</v>
      </c>
      <c r="BB8" s="38">
        <f t="shared" si="11"/>
        <v>16.996731711975951</v>
      </c>
      <c r="BC8" s="38">
        <f t="shared" si="12"/>
        <v>12.472191289246471</v>
      </c>
      <c r="BD8" s="38">
        <f t="shared" si="13"/>
        <v>4.714045207910317</v>
      </c>
      <c r="BE8" s="38">
        <f t="shared" si="14"/>
        <v>4.714045207910317</v>
      </c>
      <c r="BF8" s="38">
        <f t="shared" si="15"/>
        <v>8.1649658092772608</v>
      </c>
      <c r="BG8" s="41">
        <f t="shared" ref="BG8:BG17" si="24">_xlfn.STDEV.P(AW8:AY8)</f>
        <v>4.714045207910317</v>
      </c>
      <c r="BH8" s="39">
        <f t="shared" si="16"/>
        <v>100</v>
      </c>
      <c r="BI8" s="38">
        <f t="shared" si="17"/>
        <v>100</v>
      </c>
      <c r="BJ8" s="38">
        <f t="shared" si="18"/>
        <v>83.333333333333329</v>
      </c>
      <c r="BK8" s="38">
        <f t="shared" si="19"/>
        <v>76.666666666666671</v>
      </c>
      <c r="BL8" s="38">
        <f t="shared" si="20"/>
        <v>53.333333333333336</v>
      </c>
      <c r="BM8" s="38">
        <f t="shared" si="21"/>
        <v>33.333333333333336</v>
      </c>
      <c r="BN8" s="38">
        <f t="shared" si="22"/>
        <v>10</v>
      </c>
      <c r="BO8" s="40">
        <f t="shared" ref="BO8:BO17" si="25">AVERAGE(AW8:AY8)</f>
        <v>6.666666666666667</v>
      </c>
      <c r="BP8" s="39">
        <f t="shared" si="23"/>
        <v>0</v>
      </c>
      <c r="BQ8" s="38">
        <f t="shared" si="0"/>
        <v>0</v>
      </c>
      <c r="BR8" s="38">
        <f t="shared" si="0"/>
        <v>16.666666666666671</v>
      </c>
      <c r="BS8" s="38">
        <f t="shared" si="0"/>
        <v>23.333333333333329</v>
      </c>
      <c r="BT8" s="38">
        <f t="shared" si="0"/>
        <v>46.666666666666664</v>
      </c>
      <c r="BU8" s="38">
        <f t="shared" si="0"/>
        <v>66.666666666666657</v>
      </c>
      <c r="BV8" s="38">
        <f t="shared" si="0"/>
        <v>90</v>
      </c>
      <c r="BW8" s="40">
        <f t="shared" si="0"/>
        <v>93.333333333333329</v>
      </c>
      <c r="BX8" s="191"/>
    </row>
    <row r="9" spans="2:76" x14ac:dyDescent="0.25">
      <c r="B9" s="476"/>
      <c r="C9" s="26" t="s">
        <v>988</v>
      </c>
      <c r="D9" s="27">
        <v>10</v>
      </c>
      <c r="E9" s="28">
        <v>10</v>
      </c>
      <c r="F9" s="29">
        <v>10</v>
      </c>
      <c r="G9" s="30">
        <v>9</v>
      </c>
      <c r="H9" s="28">
        <v>10</v>
      </c>
      <c r="I9" s="31">
        <v>8</v>
      </c>
      <c r="J9" s="27">
        <v>6</v>
      </c>
      <c r="K9" s="28">
        <v>10</v>
      </c>
      <c r="L9" s="29">
        <v>8</v>
      </c>
      <c r="M9" s="30">
        <v>4</v>
      </c>
      <c r="N9" s="28">
        <v>8</v>
      </c>
      <c r="O9" s="31">
        <v>8</v>
      </c>
      <c r="P9" s="27">
        <v>3</v>
      </c>
      <c r="Q9" s="28">
        <v>4</v>
      </c>
      <c r="R9" s="29">
        <v>7</v>
      </c>
      <c r="S9" s="30">
        <v>3</v>
      </c>
      <c r="T9" s="28">
        <v>2</v>
      </c>
      <c r="U9" s="31">
        <v>3</v>
      </c>
      <c r="V9" s="27">
        <v>0</v>
      </c>
      <c r="W9" s="28">
        <v>1</v>
      </c>
      <c r="X9" s="29">
        <v>2</v>
      </c>
      <c r="Y9" s="30">
        <v>0</v>
      </c>
      <c r="Z9" s="28">
        <v>0</v>
      </c>
      <c r="AA9" s="31">
        <v>2</v>
      </c>
      <c r="AB9" s="32">
        <f t="shared" si="1"/>
        <v>100</v>
      </c>
      <c r="AC9" s="33">
        <f t="shared" si="1"/>
        <v>100</v>
      </c>
      <c r="AD9" s="34">
        <f t="shared" si="1"/>
        <v>100</v>
      </c>
      <c r="AE9" s="35">
        <f t="shared" si="2"/>
        <v>90</v>
      </c>
      <c r="AF9" s="33">
        <f t="shared" si="2"/>
        <v>100</v>
      </c>
      <c r="AG9" s="36">
        <f t="shared" si="2"/>
        <v>80</v>
      </c>
      <c r="AH9" s="32">
        <f t="shared" si="3"/>
        <v>60</v>
      </c>
      <c r="AI9" s="33">
        <f t="shared" si="3"/>
        <v>100</v>
      </c>
      <c r="AJ9" s="34">
        <f t="shared" si="3"/>
        <v>80</v>
      </c>
      <c r="AK9" s="35">
        <f t="shared" si="4"/>
        <v>40</v>
      </c>
      <c r="AL9" s="33">
        <f t="shared" si="4"/>
        <v>80</v>
      </c>
      <c r="AM9" s="36">
        <f t="shared" si="4"/>
        <v>80</v>
      </c>
      <c r="AN9" s="32">
        <f t="shared" si="5"/>
        <v>30</v>
      </c>
      <c r="AO9" s="33">
        <f t="shared" si="5"/>
        <v>40</v>
      </c>
      <c r="AP9" s="34">
        <f t="shared" si="5"/>
        <v>70</v>
      </c>
      <c r="AQ9" s="35">
        <f t="shared" si="6"/>
        <v>30</v>
      </c>
      <c r="AR9" s="33">
        <f t="shared" si="6"/>
        <v>20</v>
      </c>
      <c r="AS9" s="36">
        <f t="shared" si="6"/>
        <v>30</v>
      </c>
      <c r="AT9" s="32">
        <f t="shared" si="7"/>
        <v>0</v>
      </c>
      <c r="AU9" s="33">
        <f t="shared" si="7"/>
        <v>10</v>
      </c>
      <c r="AV9" s="34">
        <f t="shared" si="7"/>
        <v>20</v>
      </c>
      <c r="AW9" s="35">
        <f t="shared" si="8"/>
        <v>0</v>
      </c>
      <c r="AX9" s="33">
        <f t="shared" si="8"/>
        <v>0</v>
      </c>
      <c r="AY9" s="36">
        <f t="shared" si="8"/>
        <v>20</v>
      </c>
      <c r="AZ9" s="37">
        <f t="shared" si="9"/>
        <v>0</v>
      </c>
      <c r="BA9" s="38">
        <f t="shared" si="10"/>
        <v>8.1649658092772608</v>
      </c>
      <c r="BB9" s="38">
        <f t="shared" si="11"/>
        <v>16.329931618554522</v>
      </c>
      <c r="BC9" s="38">
        <f t="shared" si="12"/>
        <v>18.856180831641268</v>
      </c>
      <c r="BD9" s="38">
        <f t="shared" si="13"/>
        <v>16.996731711975951</v>
      </c>
      <c r="BE9" s="38">
        <f t="shared" si="14"/>
        <v>4.714045207910317</v>
      </c>
      <c r="BF9" s="38">
        <f t="shared" si="15"/>
        <v>8.1649658092772608</v>
      </c>
      <c r="BG9" s="41">
        <f t="shared" si="24"/>
        <v>9.428090415820634</v>
      </c>
      <c r="BH9" s="39">
        <f t="shared" si="16"/>
        <v>100</v>
      </c>
      <c r="BI9" s="38">
        <f t="shared" si="17"/>
        <v>90</v>
      </c>
      <c r="BJ9" s="38">
        <f t="shared" si="18"/>
        <v>80</v>
      </c>
      <c r="BK9" s="38">
        <f t="shared" si="19"/>
        <v>66.666666666666671</v>
      </c>
      <c r="BL9" s="38">
        <f t="shared" si="20"/>
        <v>46.666666666666664</v>
      </c>
      <c r="BM9" s="38">
        <f t="shared" si="21"/>
        <v>26.666666666666668</v>
      </c>
      <c r="BN9" s="38">
        <f t="shared" si="22"/>
        <v>10</v>
      </c>
      <c r="BO9" s="40">
        <f t="shared" si="25"/>
        <v>6.666666666666667</v>
      </c>
      <c r="BP9" s="39">
        <f t="shared" si="23"/>
        <v>0</v>
      </c>
      <c r="BQ9" s="38">
        <f t="shared" si="0"/>
        <v>10</v>
      </c>
      <c r="BR9" s="38">
        <f t="shared" si="0"/>
        <v>20</v>
      </c>
      <c r="BS9" s="38">
        <f t="shared" si="0"/>
        <v>33.333333333333329</v>
      </c>
      <c r="BT9" s="38">
        <f t="shared" si="0"/>
        <v>53.333333333333336</v>
      </c>
      <c r="BU9" s="38">
        <f t="shared" si="0"/>
        <v>73.333333333333329</v>
      </c>
      <c r="BV9" s="38">
        <f t="shared" si="0"/>
        <v>90</v>
      </c>
      <c r="BW9" s="40">
        <f t="shared" si="0"/>
        <v>93.333333333333329</v>
      </c>
      <c r="BX9" s="191"/>
    </row>
    <row r="10" spans="2:76" x14ac:dyDescent="0.25">
      <c r="B10" s="476"/>
      <c r="C10" s="26" t="s">
        <v>665</v>
      </c>
      <c r="D10" s="27">
        <v>10</v>
      </c>
      <c r="E10" s="28">
        <v>10</v>
      </c>
      <c r="F10" s="29">
        <v>10</v>
      </c>
      <c r="G10" s="30">
        <v>10</v>
      </c>
      <c r="H10" s="28">
        <v>10</v>
      </c>
      <c r="I10" s="31">
        <v>10</v>
      </c>
      <c r="J10" s="27">
        <v>10</v>
      </c>
      <c r="K10" s="28">
        <v>10</v>
      </c>
      <c r="L10" s="29">
        <v>10</v>
      </c>
      <c r="M10" s="30">
        <v>10</v>
      </c>
      <c r="N10" s="28">
        <v>10</v>
      </c>
      <c r="O10" s="31">
        <v>10</v>
      </c>
      <c r="P10" s="27">
        <v>9</v>
      </c>
      <c r="Q10" s="28">
        <v>10</v>
      </c>
      <c r="R10" s="29">
        <v>9</v>
      </c>
      <c r="S10" s="30">
        <v>9</v>
      </c>
      <c r="T10" s="28">
        <v>9</v>
      </c>
      <c r="U10" s="31">
        <v>9</v>
      </c>
      <c r="V10" s="27">
        <v>9</v>
      </c>
      <c r="W10" s="28">
        <v>9</v>
      </c>
      <c r="X10" s="29">
        <v>9</v>
      </c>
      <c r="Y10" s="30">
        <v>9</v>
      </c>
      <c r="Z10" s="28">
        <v>9</v>
      </c>
      <c r="AA10" s="31">
        <v>9</v>
      </c>
      <c r="AB10" s="32">
        <f t="shared" si="1"/>
        <v>100</v>
      </c>
      <c r="AC10" s="33">
        <f t="shared" si="1"/>
        <v>100</v>
      </c>
      <c r="AD10" s="34">
        <f t="shared" si="1"/>
        <v>100</v>
      </c>
      <c r="AE10" s="35">
        <f t="shared" si="2"/>
        <v>100</v>
      </c>
      <c r="AF10" s="33">
        <f t="shared" si="2"/>
        <v>100</v>
      </c>
      <c r="AG10" s="36">
        <f t="shared" si="2"/>
        <v>100</v>
      </c>
      <c r="AH10" s="32">
        <f t="shared" si="3"/>
        <v>100</v>
      </c>
      <c r="AI10" s="33">
        <f t="shared" si="3"/>
        <v>100</v>
      </c>
      <c r="AJ10" s="34">
        <f t="shared" si="3"/>
        <v>100</v>
      </c>
      <c r="AK10" s="35">
        <f t="shared" si="4"/>
        <v>100</v>
      </c>
      <c r="AL10" s="33">
        <f t="shared" si="4"/>
        <v>100</v>
      </c>
      <c r="AM10" s="36">
        <f t="shared" si="4"/>
        <v>100</v>
      </c>
      <c r="AN10" s="32">
        <f t="shared" si="5"/>
        <v>90</v>
      </c>
      <c r="AO10" s="33">
        <f t="shared" si="5"/>
        <v>100</v>
      </c>
      <c r="AP10" s="34">
        <f t="shared" si="5"/>
        <v>90</v>
      </c>
      <c r="AQ10" s="35">
        <f t="shared" si="6"/>
        <v>90</v>
      </c>
      <c r="AR10" s="33">
        <f t="shared" si="6"/>
        <v>90</v>
      </c>
      <c r="AS10" s="36">
        <f t="shared" si="6"/>
        <v>90</v>
      </c>
      <c r="AT10" s="32">
        <f t="shared" si="7"/>
        <v>90</v>
      </c>
      <c r="AU10" s="33">
        <f t="shared" si="7"/>
        <v>90</v>
      </c>
      <c r="AV10" s="34">
        <f t="shared" si="7"/>
        <v>90</v>
      </c>
      <c r="AW10" s="35">
        <f t="shared" si="8"/>
        <v>90</v>
      </c>
      <c r="AX10" s="33">
        <f t="shared" si="8"/>
        <v>90</v>
      </c>
      <c r="AY10" s="36">
        <f t="shared" si="8"/>
        <v>90</v>
      </c>
      <c r="AZ10" s="37">
        <f t="shared" si="9"/>
        <v>0</v>
      </c>
      <c r="BA10" s="38">
        <f t="shared" si="10"/>
        <v>0</v>
      </c>
      <c r="BB10" s="38">
        <f t="shared" si="11"/>
        <v>0</v>
      </c>
      <c r="BC10" s="38">
        <f t="shared" si="12"/>
        <v>0</v>
      </c>
      <c r="BD10" s="38">
        <f t="shared" si="13"/>
        <v>4.7140452079103161</v>
      </c>
      <c r="BE10" s="38">
        <f t="shared" si="14"/>
        <v>0</v>
      </c>
      <c r="BF10" s="38">
        <f t="shared" si="15"/>
        <v>0</v>
      </c>
      <c r="BG10" s="41">
        <f t="shared" si="24"/>
        <v>0</v>
      </c>
      <c r="BH10" s="39">
        <f t="shared" si="16"/>
        <v>100</v>
      </c>
      <c r="BI10" s="38">
        <f t="shared" si="17"/>
        <v>100</v>
      </c>
      <c r="BJ10" s="38">
        <f t="shared" si="18"/>
        <v>100</v>
      </c>
      <c r="BK10" s="38">
        <f t="shared" si="19"/>
        <v>100</v>
      </c>
      <c r="BL10" s="38">
        <f t="shared" si="20"/>
        <v>93.333333333333329</v>
      </c>
      <c r="BM10" s="38">
        <f t="shared" si="21"/>
        <v>90</v>
      </c>
      <c r="BN10" s="38">
        <f t="shared" si="22"/>
        <v>90</v>
      </c>
      <c r="BO10" s="40">
        <f t="shared" si="25"/>
        <v>90</v>
      </c>
      <c r="BP10" s="39">
        <f t="shared" si="23"/>
        <v>0</v>
      </c>
      <c r="BQ10" s="38">
        <f t="shared" si="0"/>
        <v>0</v>
      </c>
      <c r="BR10" s="38">
        <f t="shared" si="0"/>
        <v>0</v>
      </c>
      <c r="BS10" s="38">
        <f t="shared" si="0"/>
        <v>0</v>
      </c>
      <c r="BT10" s="38">
        <f t="shared" si="0"/>
        <v>6.6666666666666714</v>
      </c>
      <c r="BU10" s="38">
        <f t="shared" si="0"/>
        <v>10</v>
      </c>
      <c r="BV10" s="38">
        <f t="shared" si="0"/>
        <v>10</v>
      </c>
      <c r="BW10" s="40">
        <f t="shared" si="0"/>
        <v>10</v>
      </c>
    </row>
    <row r="11" spans="2:76" ht="14.4" thickBot="1" x14ac:dyDescent="0.3">
      <c r="B11" s="477"/>
      <c r="C11" s="14" t="s">
        <v>658</v>
      </c>
      <c r="D11" s="42">
        <v>9</v>
      </c>
      <c r="E11" s="43">
        <v>10</v>
      </c>
      <c r="F11" s="44">
        <v>10</v>
      </c>
      <c r="G11" s="45">
        <v>9</v>
      </c>
      <c r="H11" s="43">
        <v>10</v>
      </c>
      <c r="I11" s="46">
        <v>10</v>
      </c>
      <c r="J11" s="42">
        <v>9</v>
      </c>
      <c r="K11" s="43">
        <v>10</v>
      </c>
      <c r="L11" s="44">
        <v>9</v>
      </c>
      <c r="M11" s="45">
        <v>9</v>
      </c>
      <c r="N11" s="43">
        <v>10</v>
      </c>
      <c r="O11" s="46">
        <v>9</v>
      </c>
      <c r="P11" s="42">
        <v>9</v>
      </c>
      <c r="Q11" s="43">
        <v>10</v>
      </c>
      <c r="R11" s="44">
        <v>9</v>
      </c>
      <c r="S11" s="45">
        <v>9</v>
      </c>
      <c r="T11" s="43">
        <v>10</v>
      </c>
      <c r="U11" s="46">
        <v>9</v>
      </c>
      <c r="V11" s="42">
        <v>9</v>
      </c>
      <c r="W11" s="43">
        <v>10</v>
      </c>
      <c r="X11" s="44">
        <v>9</v>
      </c>
      <c r="Y11" s="45">
        <v>9</v>
      </c>
      <c r="Z11" s="43">
        <v>10</v>
      </c>
      <c r="AA11" s="46">
        <v>9</v>
      </c>
      <c r="AB11" s="47">
        <f t="shared" si="1"/>
        <v>100</v>
      </c>
      <c r="AC11" s="48">
        <f t="shared" si="1"/>
        <v>100</v>
      </c>
      <c r="AD11" s="49">
        <f t="shared" si="1"/>
        <v>100</v>
      </c>
      <c r="AE11" s="50">
        <f t="shared" si="2"/>
        <v>100</v>
      </c>
      <c r="AF11" s="48">
        <f t="shared" si="2"/>
        <v>100</v>
      </c>
      <c r="AG11" s="51">
        <f t="shared" si="2"/>
        <v>100</v>
      </c>
      <c r="AH11" s="47">
        <f t="shared" si="3"/>
        <v>100</v>
      </c>
      <c r="AI11" s="48">
        <f t="shared" si="3"/>
        <v>100</v>
      </c>
      <c r="AJ11" s="49">
        <f t="shared" si="3"/>
        <v>90</v>
      </c>
      <c r="AK11" s="50">
        <f t="shared" si="4"/>
        <v>100</v>
      </c>
      <c r="AL11" s="48">
        <f t="shared" si="4"/>
        <v>100</v>
      </c>
      <c r="AM11" s="51">
        <f t="shared" si="4"/>
        <v>90</v>
      </c>
      <c r="AN11" s="47">
        <f t="shared" si="5"/>
        <v>100</v>
      </c>
      <c r="AO11" s="48">
        <f t="shared" si="5"/>
        <v>100</v>
      </c>
      <c r="AP11" s="49">
        <f t="shared" si="5"/>
        <v>90</v>
      </c>
      <c r="AQ11" s="50">
        <f t="shared" si="6"/>
        <v>100</v>
      </c>
      <c r="AR11" s="48">
        <f t="shared" si="6"/>
        <v>100</v>
      </c>
      <c r="AS11" s="51">
        <f t="shared" si="6"/>
        <v>90</v>
      </c>
      <c r="AT11" s="47">
        <f t="shared" si="7"/>
        <v>100</v>
      </c>
      <c r="AU11" s="48">
        <f t="shared" si="7"/>
        <v>100</v>
      </c>
      <c r="AV11" s="49">
        <f t="shared" si="7"/>
        <v>90</v>
      </c>
      <c r="AW11" s="50">
        <f t="shared" si="8"/>
        <v>100</v>
      </c>
      <c r="AX11" s="48">
        <f t="shared" si="8"/>
        <v>100</v>
      </c>
      <c r="AY11" s="51">
        <f t="shared" si="8"/>
        <v>90</v>
      </c>
      <c r="AZ11" s="52">
        <f t="shared" si="9"/>
        <v>0</v>
      </c>
      <c r="BA11" s="53">
        <f t="shared" si="10"/>
        <v>0</v>
      </c>
      <c r="BB11" s="53">
        <f t="shared" si="11"/>
        <v>4.7140452079103161</v>
      </c>
      <c r="BC11" s="53">
        <f t="shared" si="12"/>
        <v>4.7140452079103161</v>
      </c>
      <c r="BD11" s="53">
        <f t="shared" si="13"/>
        <v>4.7140452079103161</v>
      </c>
      <c r="BE11" s="53">
        <f t="shared" si="14"/>
        <v>4.7140452079103161</v>
      </c>
      <c r="BF11" s="53">
        <f t="shared" si="15"/>
        <v>4.7140452079103161</v>
      </c>
      <c r="BG11" s="54">
        <f t="shared" si="24"/>
        <v>4.7140452079103161</v>
      </c>
      <c r="BH11" s="55">
        <f t="shared" si="16"/>
        <v>100</v>
      </c>
      <c r="BI11" s="53">
        <f t="shared" si="17"/>
        <v>100</v>
      </c>
      <c r="BJ11" s="53">
        <f t="shared" si="18"/>
        <v>96.666666666666671</v>
      </c>
      <c r="BK11" s="53">
        <f t="shared" si="19"/>
        <v>96.666666666666671</v>
      </c>
      <c r="BL11" s="53">
        <f t="shared" si="20"/>
        <v>96.666666666666671</v>
      </c>
      <c r="BM11" s="53">
        <f t="shared" si="21"/>
        <v>96.666666666666671</v>
      </c>
      <c r="BN11" s="53">
        <f t="shared" si="22"/>
        <v>96.666666666666671</v>
      </c>
      <c r="BO11" s="56">
        <f t="shared" si="25"/>
        <v>96.666666666666671</v>
      </c>
      <c r="BP11" s="55">
        <f t="shared" si="23"/>
        <v>0</v>
      </c>
      <c r="BQ11" s="53">
        <f t="shared" si="0"/>
        <v>0</v>
      </c>
      <c r="BR11" s="53">
        <f t="shared" si="0"/>
        <v>3.3333333333333286</v>
      </c>
      <c r="BS11" s="53">
        <f t="shared" si="0"/>
        <v>3.3333333333333286</v>
      </c>
      <c r="BT11" s="53">
        <f t="shared" si="0"/>
        <v>3.3333333333333286</v>
      </c>
      <c r="BU11" s="53">
        <f t="shared" si="0"/>
        <v>3.3333333333333286</v>
      </c>
      <c r="BV11" s="53">
        <f t="shared" si="0"/>
        <v>3.3333333333333286</v>
      </c>
      <c r="BW11" s="56">
        <f t="shared" si="0"/>
        <v>3.3333333333333286</v>
      </c>
    </row>
    <row r="12" spans="2:76" x14ac:dyDescent="0.25">
      <c r="B12" s="484" t="s">
        <v>989</v>
      </c>
      <c r="C12" s="57" t="s">
        <v>985</v>
      </c>
      <c r="D12" s="32">
        <v>10</v>
      </c>
      <c r="E12" s="33">
        <v>10</v>
      </c>
      <c r="F12" s="34">
        <v>10</v>
      </c>
      <c r="G12" s="35">
        <v>9</v>
      </c>
      <c r="H12" s="33">
        <v>9</v>
      </c>
      <c r="I12" s="36">
        <v>9</v>
      </c>
      <c r="J12" s="32">
        <v>8</v>
      </c>
      <c r="K12" s="33">
        <v>7</v>
      </c>
      <c r="L12" s="34">
        <v>9</v>
      </c>
      <c r="M12" s="35">
        <v>7</v>
      </c>
      <c r="N12" s="33">
        <v>5</v>
      </c>
      <c r="O12" s="36">
        <v>7</v>
      </c>
      <c r="P12" s="32">
        <v>7</v>
      </c>
      <c r="Q12" s="33">
        <v>5</v>
      </c>
      <c r="R12" s="34">
        <v>6</v>
      </c>
      <c r="S12" s="35">
        <v>6</v>
      </c>
      <c r="T12" s="33">
        <v>4</v>
      </c>
      <c r="U12" s="36">
        <v>6</v>
      </c>
      <c r="V12" s="32">
        <v>3</v>
      </c>
      <c r="W12" s="33">
        <v>2</v>
      </c>
      <c r="X12" s="34">
        <v>5</v>
      </c>
      <c r="Y12" s="35">
        <v>1</v>
      </c>
      <c r="Z12" s="33">
        <v>0</v>
      </c>
      <c r="AA12" s="36">
        <v>2</v>
      </c>
      <c r="AB12" s="32">
        <f t="shared" si="1"/>
        <v>100</v>
      </c>
      <c r="AC12" s="33">
        <f t="shared" si="1"/>
        <v>100</v>
      </c>
      <c r="AD12" s="34">
        <f t="shared" si="1"/>
        <v>100</v>
      </c>
      <c r="AE12" s="35">
        <f t="shared" si="2"/>
        <v>90</v>
      </c>
      <c r="AF12" s="33">
        <f t="shared" si="2"/>
        <v>90</v>
      </c>
      <c r="AG12" s="36">
        <f t="shared" si="2"/>
        <v>90</v>
      </c>
      <c r="AH12" s="32">
        <f t="shared" si="3"/>
        <v>80</v>
      </c>
      <c r="AI12" s="33">
        <f t="shared" si="3"/>
        <v>70</v>
      </c>
      <c r="AJ12" s="34">
        <f t="shared" si="3"/>
        <v>90</v>
      </c>
      <c r="AK12" s="35">
        <f t="shared" si="4"/>
        <v>70</v>
      </c>
      <c r="AL12" s="33">
        <f>100/E12*N12</f>
        <v>50</v>
      </c>
      <c r="AM12" s="36">
        <f>100/F12*O12</f>
        <v>70</v>
      </c>
      <c r="AN12" s="32">
        <f>100/D12*P12</f>
        <v>70</v>
      </c>
      <c r="AO12" s="33">
        <f>100/E12*Q12</f>
        <v>50</v>
      </c>
      <c r="AP12" s="34">
        <f>100/F12*R12</f>
        <v>60</v>
      </c>
      <c r="AQ12" s="35">
        <f t="shared" si="6"/>
        <v>60</v>
      </c>
      <c r="AR12" s="33">
        <f t="shared" si="6"/>
        <v>40</v>
      </c>
      <c r="AS12" s="36">
        <f t="shared" si="6"/>
        <v>60</v>
      </c>
      <c r="AT12" s="32">
        <f t="shared" si="7"/>
        <v>30</v>
      </c>
      <c r="AU12" s="33">
        <f t="shared" si="7"/>
        <v>20</v>
      </c>
      <c r="AV12" s="34">
        <f t="shared" si="7"/>
        <v>50</v>
      </c>
      <c r="AW12" s="35">
        <f t="shared" si="8"/>
        <v>10</v>
      </c>
      <c r="AX12" s="33">
        <f t="shared" si="8"/>
        <v>0</v>
      </c>
      <c r="AY12" s="36">
        <f t="shared" si="8"/>
        <v>20</v>
      </c>
      <c r="AZ12" s="37">
        <f t="shared" si="9"/>
        <v>0</v>
      </c>
      <c r="BA12" s="38">
        <f t="shared" si="10"/>
        <v>0</v>
      </c>
      <c r="BB12" s="38">
        <f t="shared" si="11"/>
        <v>8.1649658092772608</v>
      </c>
      <c r="BC12" s="38">
        <f t="shared" si="12"/>
        <v>9.428090415820634</v>
      </c>
      <c r="BD12" s="38">
        <f t="shared" si="13"/>
        <v>8.1649658092772608</v>
      </c>
      <c r="BE12" s="38">
        <f t="shared" si="14"/>
        <v>9.428090415820634</v>
      </c>
      <c r="BF12" s="38">
        <f t="shared" si="15"/>
        <v>12.472191289246471</v>
      </c>
      <c r="BG12" s="41">
        <f t="shared" si="24"/>
        <v>8.1649658092772608</v>
      </c>
      <c r="BH12" s="39">
        <f t="shared" si="16"/>
        <v>100</v>
      </c>
      <c r="BI12" s="38">
        <f t="shared" si="17"/>
        <v>90</v>
      </c>
      <c r="BJ12" s="38">
        <f t="shared" si="18"/>
        <v>80</v>
      </c>
      <c r="BK12" s="38">
        <f t="shared" si="19"/>
        <v>63.333333333333336</v>
      </c>
      <c r="BL12" s="38">
        <f t="shared" si="20"/>
        <v>60</v>
      </c>
      <c r="BM12" s="38">
        <f t="shared" si="21"/>
        <v>53.333333333333336</v>
      </c>
      <c r="BN12" s="38">
        <f t="shared" si="22"/>
        <v>33.333333333333336</v>
      </c>
      <c r="BO12" s="40">
        <f t="shared" si="25"/>
        <v>10</v>
      </c>
      <c r="BP12" s="39">
        <f>100-BH12</f>
        <v>0</v>
      </c>
      <c r="BQ12" s="38">
        <f t="shared" si="0"/>
        <v>10</v>
      </c>
      <c r="BR12" s="38">
        <f t="shared" si="0"/>
        <v>20</v>
      </c>
      <c r="BS12" s="38">
        <f t="shared" si="0"/>
        <v>36.666666666666664</v>
      </c>
      <c r="BT12" s="38">
        <f t="shared" si="0"/>
        <v>40</v>
      </c>
      <c r="BU12" s="38">
        <f t="shared" si="0"/>
        <v>46.666666666666664</v>
      </c>
      <c r="BV12" s="38">
        <f t="shared" si="0"/>
        <v>66.666666666666657</v>
      </c>
      <c r="BW12" s="40">
        <f t="shared" si="0"/>
        <v>90</v>
      </c>
    </row>
    <row r="13" spans="2:76" x14ac:dyDescent="0.25">
      <c r="B13" s="476"/>
      <c r="C13" s="26" t="s">
        <v>986</v>
      </c>
      <c r="D13" s="27">
        <v>10</v>
      </c>
      <c r="E13" s="28">
        <v>10</v>
      </c>
      <c r="F13" s="29">
        <v>10</v>
      </c>
      <c r="G13" s="30">
        <v>7</v>
      </c>
      <c r="H13" s="28">
        <v>9</v>
      </c>
      <c r="I13" s="31">
        <v>6</v>
      </c>
      <c r="J13" s="27">
        <v>6</v>
      </c>
      <c r="K13" s="28">
        <v>8</v>
      </c>
      <c r="L13" s="29">
        <v>6</v>
      </c>
      <c r="M13" s="30">
        <v>5</v>
      </c>
      <c r="N13" s="28">
        <v>4</v>
      </c>
      <c r="O13" s="31">
        <v>2</v>
      </c>
      <c r="P13" s="27">
        <v>4</v>
      </c>
      <c r="Q13" s="28">
        <v>4</v>
      </c>
      <c r="R13" s="29">
        <v>2</v>
      </c>
      <c r="S13" s="30">
        <v>1</v>
      </c>
      <c r="T13" s="28">
        <v>3</v>
      </c>
      <c r="U13" s="31">
        <v>1</v>
      </c>
      <c r="V13" s="27">
        <v>0</v>
      </c>
      <c r="W13" s="28">
        <v>2</v>
      </c>
      <c r="X13" s="29">
        <v>1</v>
      </c>
      <c r="Y13" s="30">
        <v>0</v>
      </c>
      <c r="Z13" s="28">
        <v>1</v>
      </c>
      <c r="AA13" s="31">
        <v>1</v>
      </c>
      <c r="AB13" s="32">
        <f t="shared" si="1"/>
        <v>100</v>
      </c>
      <c r="AC13" s="33">
        <f t="shared" si="1"/>
        <v>100</v>
      </c>
      <c r="AD13" s="34">
        <f t="shared" si="1"/>
        <v>100</v>
      </c>
      <c r="AE13" s="35">
        <f t="shared" si="2"/>
        <v>70</v>
      </c>
      <c r="AF13" s="33">
        <f t="shared" si="2"/>
        <v>90</v>
      </c>
      <c r="AG13" s="36">
        <f t="shared" si="2"/>
        <v>60</v>
      </c>
      <c r="AH13" s="32">
        <f t="shared" si="3"/>
        <v>60</v>
      </c>
      <c r="AI13" s="33">
        <f t="shared" si="3"/>
        <v>80</v>
      </c>
      <c r="AJ13" s="34">
        <f t="shared" si="3"/>
        <v>60</v>
      </c>
      <c r="AK13" s="35">
        <f t="shared" si="4"/>
        <v>50</v>
      </c>
      <c r="AL13" s="33">
        <f t="shared" si="4"/>
        <v>40</v>
      </c>
      <c r="AM13" s="36">
        <f t="shared" si="4"/>
        <v>20</v>
      </c>
      <c r="AN13" s="32">
        <f t="shared" si="5"/>
        <v>40</v>
      </c>
      <c r="AO13" s="33">
        <f t="shared" si="5"/>
        <v>40</v>
      </c>
      <c r="AP13" s="34">
        <f t="shared" si="5"/>
        <v>20</v>
      </c>
      <c r="AQ13" s="35">
        <f t="shared" si="6"/>
        <v>10</v>
      </c>
      <c r="AR13" s="33">
        <f t="shared" si="6"/>
        <v>30</v>
      </c>
      <c r="AS13" s="36">
        <f t="shared" si="6"/>
        <v>10</v>
      </c>
      <c r="AT13" s="32">
        <f t="shared" si="7"/>
        <v>0</v>
      </c>
      <c r="AU13" s="33">
        <f t="shared" si="7"/>
        <v>20</v>
      </c>
      <c r="AV13" s="34">
        <f t="shared" si="7"/>
        <v>10</v>
      </c>
      <c r="AW13" s="35">
        <f t="shared" si="8"/>
        <v>0</v>
      </c>
      <c r="AX13" s="33">
        <f t="shared" si="8"/>
        <v>10</v>
      </c>
      <c r="AY13" s="36">
        <f t="shared" si="8"/>
        <v>10</v>
      </c>
      <c r="AZ13" s="37">
        <f t="shared" si="9"/>
        <v>0</v>
      </c>
      <c r="BA13" s="38">
        <f t="shared" si="10"/>
        <v>12.472191289246471</v>
      </c>
      <c r="BB13" s="38">
        <f t="shared" si="11"/>
        <v>9.428090415820634</v>
      </c>
      <c r="BC13" s="38">
        <f t="shared" si="12"/>
        <v>12.472191289246471</v>
      </c>
      <c r="BD13" s="38">
        <f t="shared" si="13"/>
        <v>9.428090415820634</v>
      </c>
      <c r="BE13" s="38">
        <f t="shared" si="14"/>
        <v>9.428090415820634</v>
      </c>
      <c r="BF13" s="38">
        <f t="shared" si="15"/>
        <v>8.1649658092772608</v>
      </c>
      <c r="BG13" s="41">
        <f t="shared" si="24"/>
        <v>4.714045207910317</v>
      </c>
      <c r="BH13" s="39">
        <f t="shared" si="16"/>
        <v>100</v>
      </c>
      <c r="BI13" s="38">
        <f t="shared" si="17"/>
        <v>73.333333333333329</v>
      </c>
      <c r="BJ13" s="38">
        <f t="shared" si="18"/>
        <v>66.666666666666671</v>
      </c>
      <c r="BK13" s="38">
        <f t="shared" si="19"/>
        <v>36.666666666666664</v>
      </c>
      <c r="BL13" s="38">
        <f t="shared" si="20"/>
        <v>33.333333333333336</v>
      </c>
      <c r="BM13" s="38">
        <f t="shared" si="21"/>
        <v>16.666666666666668</v>
      </c>
      <c r="BN13" s="38">
        <f t="shared" si="22"/>
        <v>10</v>
      </c>
      <c r="BO13" s="40">
        <f t="shared" si="25"/>
        <v>6.666666666666667</v>
      </c>
      <c r="BP13" s="39">
        <f t="shared" ref="BP13:BP17" si="26">100-BH13</f>
        <v>0</v>
      </c>
      <c r="BQ13" s="38">
        <f t="shared" si="0"/>
        <v>26.666666666666671</v>
      </c>
      <c r="BR13" s="38">
        <f t="shared" si="0"/>
        <v>33.333333333333329</v>
      </c>
      <c r="BS13" s="38">
        <f t="shared" si="0"/>
        <v>63.333333333333336</v>
      </c>
      <c r="BT13" s="38">
        <f t="shared" si="0"/>
        <v>66.666666666666657</v>
      </c>
      <c r="BU13" s="38">
        <f t="shared" si="0"/>
        <v>83.333333333333329</v>
      </c>
      <c r="BV13" s="38">
        <f t="shared" si="0"/>
        <v>90</v>
      </c>
      <c r="BW13" s="40">
        <f t="shared" si="0"/>
        <v>93.333333333333329</v>
      </c>
    </row>
    <row r="14" spans="2:76" x14ac:dyDescent="0.25">
      <c r="B14" s="476"/>
      <c r="C14" s="26" t="s">
        <v>987</v>
      </c>
      <c r="D14" s="27">
        <v>10</v>
      </c>
      <c r="E14" s="28">
        <v>10</v>
      </c>
      <c r="F14" s="29">
        <v>10</v>
      </c>
      <c r="G14" s="30">
        <v>10</v>
      </c>
      <c r="H14" s="28">
        <v>10</v>
      </c>
      <c r="I14" s="31">
        <v>9</v>
      </c>
      <c r="J14" s="27">
        <v>8</v>
      </c>
      <c r="K14" s="28">
        <v>9</v>
      </c>
      <c r="L14" s="29">
        <v>9</v>
      </c>
      <c r="M14" s="30">
        <v>6</v>
      </c>
      <c r="N14" s="28">
        <v>7</v>
      </c>
      <c r="O14" s="31">
        <v>7</v>
      </c>
      <c r="P14" s="27">
        <v>4</v>
      </c>
      <c r="Q14" s="28">
        <v>3</v>
      </c>
      <c r="R14" s="29">
        <v>6</v>
      </c>
      <c r="S14" s="30">
        <v>4</v>
      </c>
      <c r="T14" s="28">
        <v>0</v>
      </c>
      <c r="U14" s="31">
        <v>2</v>
      </c>
      <c r="V14" s="27">
        <v>2</v>
      </c>
      <c r="W14" s="28">
        <v>0</v>
      </c>
      <c r="X14" s="29">
        <v>1</v>
      </c>
      <c r="Y14" s="30">
        <v>1</v>
      </c>
      <c r="Z14" s="28">
        <v>0</v>
      </c>
      <c r="AA14" s="31">
        <v>1</v>
      </c>
      <c r="AB14" s="32">
        <f t="shared" si="1"/>
        <v>100</v>
      </c>
      <c r="AC14" s="33">
        <f t="shared" si="1"/>
        <v>100</v>
      </c>
      <c r="AD14" s="34">
        <f t="shared" si="1"/>
        <v>100</v>
      </c>
      <c r="AE14" s="35">
        <f t="shared" si="2"/>
        <v>100</v>
      </c>
      <c r="AF14" s="33">
        <f t="shared" si="2"/>
        <v>100</v>
      </c>
      <c r="AG14" s="36">
        <f t="shared" si="2"/>
        <v>90</v>
      </c>
      <c r="AH14" s="32">
        <f t="shared" si="3"/>
        <v>80</v>
      </c>
      <c r="AI14" s="33">
        <f t="shared" si="3"/>
        <v>90</v>
      </c>
      <c r="AJ14" s="34">
        <f t="shared" si="3"/>
        <v>90</v>
      </c>
      <c r="AK14" s="35">
        <f t="shared" si="4"/>
        <v>60</v>
      </c>
      <c r="AL14" s="33">
        <f t="shared" si="4"/>
        <v>70</v>
      </c>
      <c r="AM14" s="36">
        <f t="shared" si="4"/>
        <v>70</v>
      </c>
      <c r="AN14" s="32">
        <f t="shared" si="5"/>
        <v>40</v>
      </c>
      <c r="AO14" s="33">
        <f t="shared" si="5"/>
        <v>30</v>
      </c>
      <c r="AP14" s="34">
        <f t="shared" si="5"/>
        <v>60</v>
      </c>
      <c r="AQ14" s="35">
        <f t="shared" si="6"/>
        <v>40</v>
      </c>
      <c r="AR14" s="33">
        <f t="shared" si="6"/>
        <v>0</v>
      </c>
      <c r="AS14" s="36">
        <f t="shared" si="6"/>
        <v>20</v>
      </c>
      <c r="AT14" s="32">
        <f t="shared" si="7"/>
        <v>20</v>
      </c>
      <c r="AU14" s="33">
        <f t="shared" si="7"/>
        <v>0</v>
      </c>
      <c r="AV14" s="34">
        <f t="shared" si="7"/>
        <v>10</v>
      </c>
      <c r="AW14" s="35">
        <f t="shared" si="8"/>
        <v>10</v>
      </c>
      <c r="AX14" s="33">
        <f t="shared" si="8"/>
        <v>0</v>
      </c>
      <c r="AY14" s="36">
        <f t="shared" si="8"/>
        <v>10</v>
      </c>
      <c r="AZ14" s="37">
        <f t="shared" si="9"/>
        <v>0</v>
      </c>
      <c r="BA14" s="38">
        <f t="shared" si="10"/>
        <v>4.7140452079103161</v>
      </c>
      <c r="BB14" s="38">
        <f t="shared" si="11"/>
        <v>4.7140452079103161</v>
      </c>
      <c r="BC14" s="38">
        <f t="shared" si="12"/>
        <v>4.7140452079103161</v>
      </c>
      <c r="BD14" s="38">
        <f t="shared" si="13"/>
        <v>12.472191289246471</v>
      </c>
      <c r="BE14" s="38">
        <f t="shared" si="14"/>
        <v>16.329931618554522</v>
      </c>
      <c r="BF14" s="38">
        <f t="shared" si="15"/>
        <v>8.1649658092772608</v>
      </c>
      <c r="BG14" s="41">
        <f t="shared" si="24"/>
        <v>4.714045207910317</v>
      </c>
      <c r="BH14" s="39">
        <f t="shared" si="16"/>
        <v>100</v>
      </c>
      <c r="BI14" s="38">
        <f t="shared" si="17"/>
        <v>96.666666666666671</v>
      </c>
      <c r="BJ14" s="38">
        <f t="shared" si="18"/>
        <v>86.666666666666671</v>
      </c>
      <c r="BK14" s="38">
        <f t="shared" si="19"/>
        <v>66.666666666666671</v>
      </c>
      <c r="BL14" s="38">
        <f t="shared" si="20"/>
        <v>43.333333333333336</v>
      </c>
      <c r="BM14" s="38">
        <f t="shared" si="21"/>
        <v>20</v>
      </c>
      <c r="BN14" s="38">
        <f t="shared" si="22"/>
        <v>10</v>
      </c>
      <c r="BO14" s="40">
        <f t="shared" si="25"/>
        <v>6.666666666666667</v>
      </c>
      <c r="BP14" s="39">
        <f t="shared" si="26"/>
        <v>0</v>
      </c>
      <c r="BQ14" s="38">
        <f t="shared" si="0"/>
        <v>3.3333333333333286</v>
      </c>
      <c r="BR14" s="38">
        <f t="shared" si="0"/>
        <v>13.333333333333329</v>
      </c>
      <c r="BS14" s="38">
        <f t="shared" si="0"/>
        <v>33.333333333333329</v>
      </c>
      <c r="BT14" s="38">
        <f t="shared" si="0"/>
        <v>56.666666666666664</v>
      </c>
      <c r="BU14" s="38">
        <f t="shared" si="0"/>
        <v>80</v>
      </c>
      <c r="BV14" s="38">
        <f t="shared" si="0"/>
        <v>90</v>
      </c>
      <c r="BW14" s="40">
        <f t="shared" si="0"/>
        <v>93.333333333333329</v>
      </c>
    </row>
    <row r="15" spans="2:76" x14ac:dyDescent="0.25">
      <c r="B15" s="476"/>
      <c r="C15" s="26" t="s">
        <v>988</v>
      </c>
      <c r="D15" s="27">
        <v>10</v>
      </c>
      <c r="E15" s="28">
        <v>10</v>
      </c>
      <c r="F15" s="29">
        <v>10</v>
      </c>
      <c r="G15" s="30">
        <v>10</v>
      </c>
      <c r="H15" s="28">
        <v>10</v>
      </c>
      <c r="I15" s="31">
        <v>7</v>
      </c>
      <c r="J15" s="27">
        <v>9</v>
      </c>
      <c r="K15" s="28">
        <v>9</v>
      </c>
      <c r="L15" s="29">
        <v>7</v>
      </c>
      <c r="M15" s="30">
        <v>8</v>
      </c>
      <c r="N15" s="28">
        <v>6</v>
      </c>
      <c r="O15" s="31">
        <v>6</v>
      </c>
      <c r="P15" s="27">
        <v>5</v>
      </c>
      <c r="Q15" s="28">
        <v>2</v>
      </c>
      <c r="R15" s="29">
        <v>4</v>
      </c>
      <c r="S15" s="30">
        <v>2</v>
      </c>
      <c r="T15" s="28">
        <v>0</v>
      </c>
      <c r="U15" s="31">
        <v>4</v>
      </c>
      <c r="V15" s="27">
        <v>2</v>
      </c>
      <c r="W15" s="28">
        <v>0</v>
      </c>
      <c r="X15" s="29">
        <v>3</v>
      </c>
      <c r="Y15" s="30">
        <v>2</v>
      </c>
      <c r="Z15" s="28">
        <v>0</v>
      </c>
      <c r="AA15" s="31">
        <v>1</v>
      </c>
      <c r="AB15" s="32">
        <f t="shared" si="1"/>
        <v>100</v>
      </c>
      <c r="AC15" s="33">
        <f t="shared" si="1"/>
        <v>100</v>
      </c>
      <c r="AD15" s="34">
        <f t="shared" si="1"/>
        <v>100</v>
      </c>
      <c r="AE15" s="35">
        <f t="shared" si="2"/>
        <v>100</v>
      </c>
      <c r="AF15" s="33">
        <f t="shared" si="2"/>
        <v>100</v>
      </c>
      <c r="AG15" s="36">
        <f t="shared" si="2"/>
        <v>70</v>
      </c>
      <c r="AH15" s="32">
        <f t="shared" si="3"/>
        <v>90</v>
      </c>
      <c r="AI15" s="33">
        <f t="shared" si="3"/>
        <v>90</v>
      </c>
      <c r="AJ15" s="34">
        <f t="shared" si="3"/>
        <v>70</v>
      </c>
      <c r="AK15" s="35">
        <f t="shared" si="4"/>
        <v>80</v>
      </c>
      <c r="AL15" s="33">
        <f t="shared" si="4"/>
        <v>60</v>
      </c>
      <c r="AM15" s="36">
        <f t="shared" si="4"/>
        <v>60</v>
      </c>
      <c r="AN15" s="32">
        <f t="shared" si="5"/>
        <v>50</v>
      </c>
      <c r="AO15" s="33">
        <f t="shared" si="5"/>
        <v>20</v>
      </c>
      <c r="AP15" s="34">
        <f t="shared" si="5"/>
        <v>40</v>
      </c>
      <c r="AQ15" s="35">
        <f t="shared" si="6"/>
        <v>20</v>
      </c>
      <c r="AR15" s="33">
        <f t="shared" si="6"/>
        <v>0</v>
      </c>
      <c r="AS15" s="36">
        <f t="shared" si="6"/>
        <v>40</v>
      </c>
      <c r="AT15" s="32">
        <f t="shared" si="7"/>
        <v>20</v>
      </c>
      <c r="AU15" s="33">
        <f t="shared" si="7"/>
        <v>0</v>
      </c>
      <c r="AV15" s="34">
        <f t="shared" si="7"/>
        <v>30</v>
      </c>
      <c r="AW15" s="35">
        <f t="shared" si="8"/>
        <v>20</v>
      </c>
      <c r="AX15" s="33">
        <f t="shared" si="8"/>
        <v>0</v>
      </c>
      <c r="AY15" s="36">
        <f t="shared" si="8"/>
        <v>10</v>
      </c>
      <c r="AZ15" s="37">
        <f t="shared" si="9"/>
        <v>0</v>
      </c>
      <c r="BA15" s="38">
        <f t="shared" si="10"/>
        <v>14.142135623730951</v>
      </c>
      <c r="BB15" s="38">
        <f t="shared" si="11"/>
        <v>9.428090415820634</v>
      </c>
      <c r="BC15" s="38">
        <f t="shared" si="12"/>
        <v>9.428090415820634</v>
      </c>
      <c r="BD15" s="38">
        <f t="shared" si="13"/>
        <v>12.472191289246471</v>
      </c>
      <c r="BE15" s="38">
        <f t="shared" si="14"/>
        <v>16.329931618554522</v>
      </c>
      <c r="BF15" s="38">
        <f t="shared" si="15"/>
        <v>12.472191289246471</v>
      </c>
      <c r="BG15" s="41">
        <f t="shared" si="24"/>
        <v>8.1649658092772608</v>
      </c>
      <c r="BH15" s="39">
        <f t="shared" si="16"/>
        <v>100</v>
      </c>
      <c r="BI15" s="38">
        <f t="shared" si="17"/>
        <v>90</v>
      </c>
      <c r="BJ15" s="38">
        <f t="shared" si="18"/>
        <v>83.333333333333329</v>
      </c>
      <c r="BK15" s="38">
        <f t="shared" si="19"/>
        <v>66.666666666666671</v>
      </c>
      <c r="BL15" s="38">
        <f t="shared" si="20"/>
        <v>36.666666666666664</v>
      </c>
      <c r="BM15" s="38">
        <f t="shared" si="21"/>
        <v>20</v>
      </c>
      <c r="BN15" s="38">
        <f t="shared" si="22"/>
        <v>16.666666666666668</v>
      </c>
      <c r="BO15" s="40">
        <f>AVERAGE(AW15:AY15)</f>
        <v>10</v>
      </c>
      <c r="BP15" s="39">
        <f t="shared" si="26"/>
        <v>0</v>
      </c>
      <c r="BQ15" s="38">
        <f t="shared" si="0"/>
        <v>10</v>
      </c>
      <c r="BR15" s="38">
        <f t="shared" si="0"/>
        <v>16.666666666666671</v>
      </c>
      <c r="BS15" s="38">
        <f t="shared" si="0"/>
        <v>33.333333333333329</v>
      </c>
      <c r="BT15" s="38">
        <f t="shared" si="0"/>
        <v>63.333333333333336</v>
      </c>
      <c r="BU15" s="38">
        <f t="shared" si="0"/>
        <v>80</v>
      </c>
      <c r="BV15" s="38">
        <f t="shared" si="0"/>
        <v>83.333333333333329</v>
      </c>
      <c r="BW15" s="40">
        <f>100-BO15</f>
        <v>90</v>
      </c>
    </row>
    <row r="16" spans="2:76" x14ac:dyDescent="0.25">
      <c r="B16" s="476"/>
      <c r="C16" s="26" t="s">
        <v>665</v>
      </c>
      <c r="D16" s="27">
        <v>10</v>
      </c>
      <c r="E16" s="28">
        <v>10</v>
      </c>
      <c r="F16" s="29">
        <v>10</v>
      </c>
      <c r="G16" s="30">
        <v>10</v>
      </c>
      <c r="H16" s="28">
        <v>9</v>
      </c>
      <c r="I16" s="31">
        <v>8</v>
      </c>
      <c r="J16" s="27">
        <v>10</v>
      </c>
      <c r="K16" s="28">
        <v>9</v>
      </c>
      <c r="L16" s="29">
        <v>8</v>
      </c>
      <c r="M16" s="30">
        <v>10</v>
      </c>
      <c r="N16" s="28">
        <v>9</v>
      </c>
      <c r="O16" s="31">
        <v>8</v>
      </c>
      <c r="P16" s="27">
        <v>10</v>
      </c>
      <c r="Q16" s="28">
        <v>7</v>
      </c>
      <c r="R16" s="29">
        <v>8</v>
      </c>
      <c r="S16" s="30">
        <v>7</v>
      </c>
      <c r="T16" s="28">
        <v>6</v>
      </c>
      <c r="U16" s="31">
        <v>8</v>
      </c>
      <c r="V16" s="27">
        <v>6</v>
      </c>
      <c r="W16" s="28">
        <v>6</v>
      </c>
      <c r="X16" s="29">
        <v>8</v>
      </c>
      <c r="Y16" s="30">
        <v>6</v>
      </c>
      <c r="Z16" s="28">
        <v>6</v>
      </c>
      <c r="AA16" s="31">
        <v>7</v>
      </c>
      <c r="AB16" s="32">
        <f t="shared" si="1"/>
        <v>100</v>
      </c>
      <c r="AC16" s="33">
        <f t="shared" si="1"/>
        <v>100</v>
      </c>
      <c r="AD16" s="34">
        <f t="shared" si="1"/>
        <v>100</v>
      </c>
      <c r="AE16" s="35">
        <f t="shared" si="2"/>
        <v>100</v>
      </c>
      <c r="AF16" s="33">
        <f t="shared" si="2"/>
        <v>90</v>
      </c>
      <c r="AG16" s="36">
        <f t="shared" si="2"/>
        <v>80</v>
      </c>
      <c r="AH16" s="32">
        <f t="shared" si="3"/>
        <v>100</v>
      </c>
      <c r="AI16" s="33">
        <f t="shared" si="3"/>
        <v>90</v>
      </c>
      <c r="AJ16" s="34">
        <f t="shared" si="3"/>
        <v>80</v>
      </c>
      <c r="AK16" s="35">
        <f t="shared" si="4"/>
        <v>100</v>
      </c>
      <c r="AL16" s="33">
        <f t="shared" si="4"/>
        <v>90</v>
      </c>
      <c r="AM16" s="36">
        <f t="shared" si="4"/>
        <v>80</v>
      </c>
      <c r="AN16" s="32">
        <f t="shared" si="5"/>
        <v>100</v>
      </c>
      <c r="AO16" s="33">
        <f t="shared" si="5"/>
        <v>70</v>
      </c>
      <c r="AP16" s="34">
        <f t="shared" si="5"/>
        <v>80</v>
      </c>
      <c r="AQ16" s="35">
        <f t="shared" si="6"/>
        <v>70</v>
      </c>
      <c r="AR16" s="33">
        <f t="shared" si="6"/>
        <v>60</v>
      </c>
      <c r="AS16" s="36">
        <f t="shared" si="6"/>
        <v>80</v>
      </c>
      <c r="AT16" s="32">
        <f t="shared" si="7"/>
        <v>60</v>
      </c>
      <c r="AU16" s="33">
        <f t="shared" si="7"/>
        <v>60</v>
      </c>
      <c r="AV16" s="34">
        <f t="shared" si="7"/>
        <v>80</v>
      </c>
      <c r="AW16" s="35">
        <f t="shared" si="8"/>
        <v>60</v>
      </c>
      <c r="AX16" s="33">
        <f t="shared" si="8"/>
        <v>60</v>
      </c>
      <c r="AY16" s="36">
        <f t="shared" si="8"/>
        <v>70</v>
      </c>
      <c r="AZ16" s="37">
        <f t="shared" si="9"/>
        <v>0</v>
      </c>
      <c r="BA16" s="38">
        <f t="shared" si="10"/>
        <v>8.1649658092772608</v>
      </c>
      <c r="BB16" s="38">
        <f t="shared" si="11"/>
        <v>8.1649658092772608</v>
      </c>
      <c r="BC16" s="38">
        <f t="shared" si="12"/>
        <v>8.1649658092772608</v>
      </c>
      <c r="BD16" s="38">
        <f t="shared" si="13"/>
        <v>12.472191289246471</v>
      </c>
      <c r="BE16" s="38">
        <f t="shared" si="14"/>
        <v>8.1649658092772608</v>
      </c>
      <c r="BF16" s="38">
        <f t="shared" si="15"/>
        <v>9.428090415820634</v>
      </c>
      <c r="BG16" s="41">
        <f t="shared" si="24"/>
        <v>4.714045207910317</v>
      </c>
      <c r="BH16" s="39">
        <f t="shared" si="16"/>
        <v>100</v>
      </c>
      <c r="BI16" s="38">
        <f t="shared" si="17"/>
        <v>90</v>
      </c>
      <c r="BJ16" s="38">
        <f t="shared" si="18"/>
        <v>90</v>
      </c>
      <c r="BK16" s="38">
        <f t="shared" si="19"/>
        <v>90</v>
      </c>
      <c r="BL16" s="38">
        <f t="shared" si="20"/>
        <v>83.333333333333329</v>
      </c>
      <c r="BM16" s="38">
        <f t="shared" si="21"/>
        <v>70</v>
      </c>
      <c r="BN16" s="38">
        <f t="shared" si="22"/>
        <v>66.666666666666671</v>
      </c>
      <c r="BO16" s="40">
        <f t="shared" si="25"/>
        <v>63.333333333333336</v>
      </c>
      <c r="BP16" s="39">
        <f t="shared" si="26"/>
        <v>0</v>
      </c>
      <c r="BQ16" s="38">
        <f t="shared" si="0"/>
        <v>10</v>
      </c>
      <c r="BR16" s="38">
        <f t="shared" si="0"/>
        <v>10</v>
      </c>
      <c r="BS16" s="38">
        <f t="shared" si="0"/>
        <v>10</v>
      </c>
      <c r="BT16" s="38">
        <f t="shared" si="0"/>
        <v>16.666666666666671</v>
      </c>
      <c r="BU16" s="38">
        <f t="shared" si="0"/>
        <v>30</v>
      </c>
      <c r="BV16" s="38">
        <f t="shared" si="0"/>
        <v>33.333333333333329</v>
      </c>
      <c r="BW16" s="40">
        <f t="shared" si="0"/>
        <v>36.666666666666664</v>
      </c>
    </row>
    <row r="17" spans="2:75" ht="14.4" thickBot="1" x14ac:dyDescent="0.3">
      <c r="B17" s="477"/>
      <c r="C17" s="14" t="s">
        <v>658</v>
      </c>
      <c r="D17" s="42">
        <v>9</v>
      </c>
      <c r="E17" s="43">
        <v>10</v>
      </c>
      <c r="F17" s="44">
        <v>9</v>
      </c>
      <c r="G17" s="45">
        <v>9</v>
      </c>
      <c r="H17" s="43">
        <v>10</v>
      </c>
      <c r="I17" s="46">
        <v>9</v>
      </c>
      <c r="J17" s="42">
        <v>7</v>
      </c>
      <c r="K17" s="43">
        <v>9</v>
      </c>
      <c r="L17" s="44">
        <v>8</v>
      </c>
      <c r="M17" s="45">
        <v>6</v>
      </c>
      <c r="N17" s="43">
        <v>9</v>
      </c>
      <c r="O17" s="46">
        <v>8</v>
      </c>
      <c r="P17" s="42">
        <v>6</v>
      </c>
      <c r="Q17" s="43">
        <v>9</v>
      </c>
      <c r="R17" s="44">
        <v>8</v>
      </c>
      <c r="S17" s="45">
        <v>6</v>
      </c>
      <c r="T17" s="43">
        <v>9</v>
      </c>
      <c r="U17" s="46">
        <v>8</v>
      </c>
      <c r="V17" s="42">
        <v>6</v>
      </c>
      <c r="W17" s="43">
        <v>9</v>
      </c>
      <c r="X17" s="44">
        <v>8</v>
      </c>
      <c r="Y17" s="45">
        <v>6</v>
      </c>
      <c r="Z17" s="43">
        <v>9</v>
      </c>
      <c r="AA17" s="46">
        <v>7</v>
      </c>
      <c r="AB17" s="47">
        <f t="shared" si="1"/>
        <v>100</v>
      </c>
      <c r="AC17" s="48">
        <f t="shared" si="1"/>
        <v>100</v>
      </c>
      <c r="AD17" s="49">
        <f t="shared" si="1"/>
        <v>100</v>
      </c>
      <c r="AE17" s="50">
        <f t="shared" si="2"/>
        <v>100</v>
      </c>
      <c r="AF17" s="48">
        <f t="shared" si="2"/>
        <v>100</v>
      </c>
      <c r="AG17" s="51">
        <f t="shared" si="2"/>
        <v>100</v>
      </c>
      <c r="AH17" s="47">
        <f t="shared" si="3"/>
        <v>77.777777777777771</v>
      </c>
      <c r="AI17" s="48">
        <f t="shared" si="3"/>
        <v>90</v>
      </c>
      <c r="AJ17" s="49">
        <f t="shared" si="3"/>
        <v>88.888888888888886</v>
      </c>
      <c r="AK17" s="50">
        <f t="shared" si="4"/>
        <v>66.666666666666657</v>
      </c>
      <c r="AL17" s="48">
        <f t="shared" si="4"/>
        <v>90</v>
      </c>
      <c r="AM17" s="51">
        <f t="shared" si="4"/>
        <v>88.888888888888886</v>
      </c>
      <c r="AN17" s="47">
        <f t="shared" si="5"/>
        <v>66.666666666666657</v>
      </c>
      <c r="AO17" s="48">
        <f t="shared" si="5"/>
        <v>90</v>
      </c>
      <c r="AP17" s="49">
        <f t="shared" si="5"/>
        <v>88.888888888888886</v>
      </c>
      <c r="AQ17" s="50">
        <f t="shared" si="6"/>
        <v>66.666666666666657</v>
      </c>
      <c r="AR17" s="48">
        <f t="shared" si="6"/>
        <v>90</v>
      </c>
      <c r="AS17" s="51">
        <f t="shared" si="6"/>
        <v>88.888888888888886</v>
      </c>
      <c r="AT17" s="47">
        <f t="shared" si="7"/>
        <v>66.666666666666657</v>
      </c>
      <c r="AU17" s="48">
        <f t="shared" si="7"/>
        <v>90</v>
      </c>
      <c r="AV17" s="49">
        <f t="shared" si="7"/>
        <v>88.888888888888886</v>
      </c>
      <c r="AW17" s="50">
        <f t="shared" si="8"/>
        <v>66.666666666666657</v>
      </c>
      <c r="AX17" s="48">
        <f t="shared" si="8"/>
        <v>90</v>
      </c>
      <c r="AY17" s="51">
        <f t="shared" si="8"/>
        <v>77.777777777777771</v>
      </c>
      <c r="AZ17" s="52">
        <f t="shared" si="9"/>
        <v>0</v>
      </c>
      <c r="BA17" s="53">
        <f t="shared" si="10"/>
        <v>0</v>
      </c>
      <c r="BB17" s="53">
        <f t="shared" si="11"/>
        <v>5.5183942317597579</v>
      </c>
      <c r="BC17" s="53">
        <f t="shared" si="12"/>
        <v>10.747124539664389</v>
      </c>
      <c r="BD17" s="53">
        <f t="shared" si="13"/>
        <v>10.747124539664389</v>
      </c>
      <c r="BE17" s="53">
        <f t="shared" si="14"/>
        <v>10.747124539664389</v>
      </c>
      <c r="BF17" s="53">
        <f t="shared" si="15"/>
        <v>10.747124539664389</v>
      </c>
      <c r="BG17" s="54">
        <f t="shared" si="24"/>
        <v>9.5293928372360384</v>
      </c>
      <c r="BH17" s="55">
        <f t="shared" si="16"/>
        <v>100</v>
      </c>
      <c r="BI17" s="53">
        <f t="shared" si="17"/>
        <v>100</v>
      </c>
      <c r="BJ17" s="53">
        <f t="shared" si="18"/>
        <v>85.555555555555543</v>
      </c>
      <c r="BK17" s="53">
        <f t="shared" si="19"/>
        <v>81.851851851851848</v>
      </c>
      <c r="BL17" s="53">
        <f t="shared" si="20"/>
        <v>81.851851851851848</v>
      </c>
      <c r="BM17" s="53">
        <f t="shared" si="21"/>
        <v>81.851851851851848</v>
      </c>
      <c r="BN17" s="53">
        <f t="shared" si="22"/>
        <v>81.851851851851848</v>
      </c>
      <c r="BO17" s="56">
        <f t="shared" si="25"/>
        <v>78.148148148148138</v>
      </c>
      <c r="BP17" s="55">
        <f t="shared" si="26"/>
        <v>0</v>
      </c>
      <c r="BQ17" s="53">
        <f t="shared" si="0"/>
        <v>0</v>
      </c>
      <c r="BR17" s="53">
        <f t="shared" si="0"/>
        <v>14.444444444444457</v>
      </c>
      <c r="BS17" s="53">
        <f t="shared" si="0"/>
        <v>18.148148148148152</v>
      </c>
      <c r="BT17" s="53">
        <f t="shared" si="0"/>
        <v>18.148148148148152</v>
      </c>
      <c r="BU17" s="53">
        <f t="shared" si="0"/>
        <v>18.148148148148152</v>
      </c>
      <c r="BV17" s="53">
        <f t="shared" si="0"/>
        <v>18.148148148148152</v>
      </c>
      <c r="BW17" s="56">
        <f t="shared" si="0"/>
        <v>21.851851851851862</v>
      </c>
    </row>
    <row r="18" spans="2:75" x14ac:dyDescent="0.25">
      <c r="B18" s="58"/>
      <c r="C18" s="59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/>
      <c r="AO18" s="60"/>
      <c r="AP18" s="60"/>
      <c r="AQ18" s="60"/>
      <c r="AR18" s="60"/>
      <c r="AS18" s="60"/>
      <c r="AT18" s="60"/>
      <c r="AU18" s="60"/>
      <c r="AV18" s="60"/>
      <c r="AW18" s="60"/>
      <c r="AX18" s="60"/>
      <c r="AY18" s="60"/>
      <c r="AZ18" s="61"/>
      <c r="BA18" s="61"/>
      <c r="BB18" s="61"/>
      <c r="BC18" s="61"/>
      <c r="BD18" s="61"/>
      <c r="BE18" s="61"/>
      <c r="BF18" s="61"/>
      <c r="BG18" s="61"/>
      <c r="BH18" s="61"/>
      <c r="BI18" s="61"/>
      <c r="BJ18" s="61"/>
      <c r="BK18" s="61"/>
      <c r="BL18" s="61"/>
      <c r="BM18" s="61"/>
      <c r="BN18" s="61"/>
      <c r="BO18" s="61"/>
      <c r="BP18" s="61"/>
      <c r="BQ18" s="61"/>
      <c r="BR18" s="61"/>
      <c r="BS18" s="61"/>
      <c r="BT18" s="61"/>
      <c r="BU18" s="61"/>
      <c r="BV18" s="61"/>
      <c r="BW18" s="61"/>
    </row>
  </sheetData>
  <mergeCells count="23">
    <mergeCell ref="B6:B11"/>
    <mergeCell ref="B12:B17"/>
    <mergeCell ref="AW4:AY4"/>
    <mergeCell ref="AZ4:BG4"/>
    <mergeCell ref="AK4:AM4"/>
    <mergeCell ref="AN4:AP4"/>
    <mergeCell ref="AQ4:AS4"/>
    <mergeCell ref="AT4:AV4"/>
    <mergeCell ref="S4:U4"/>
    <mergeCell ref="V4:X4"/>
    <mergeCell ref="Y4:AA4"/>
    <mergeCell ref="AB4:AD4"/>
    <mergeCell ref="AE4:AG4"/>
    <mergeCell ref="AH4:AJ4"/>
    <mergeCell ref="BP4:BW4"/>
    <mergeCell ref="B2:BW2"/>
    <mergeCell ref="BH4:BO4"/>
    <mergeCell ref="B4:C5"/>
    <mergeCell ref="D4:F4"/>
    <mergeCell ref="G4:I4"/>
    <mergeCell ref="J4:L4"/>
    <mergeCell ref="M4:O4"/>
    <mergeCell ref="P4:R4"/>
  </mergeCells>
  <pageMargins left="0.7" right="0.7" top="0.78740157499999996" bottom="0.78740157499999996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40"/>
  <sheetViews>
    <sheetView zoomScale="70" zoomScaleNormal="70" workbookViewId="0">
      <selection activeCell="C44" sqref="C44"/>
    </sheetView>
  </sheetViews>
  <sheetFormatPr defaultColWidth="9.109375" defaultRowHeight="14.4" x14ac:dyDescent="0.3"/>
  <cols>
    <col min="1" max="1" width="4.44140625" customWidth="1"/>
    <col min="2" max="2" width="21.5546875" customWidth="1"/>
    <col min="3" max="3" width="216.109375" customWidth="1"/>
  </cols>
  <sheetData>
    <row r="2" spans="2:7" s="297" customFormat="1" ht="18" x14ac:dyDescent="0.35">
      <c r="B2" s="392" t="s">
        <v>1212</v>
      </c>
      <c r="C2" s="392"/>
      <c r="D2" s="351"/>
      <c r="E2" s="351"/>
      <c r="F2" s="351"/>
      <c r="G2" s="351"/>
    </row>
    <row r="3" spans="2:7" ht="15" thickBot="1" x14ac:dyDescent="0.35">
      <c r="B3" s="1"/>
    </row>
    <row r="4" spans="2:7" x14ac:dyDescent="0.3">
      <c r="B4" s="121" t="s">
        <v>0</v>
      </c>
      <c r="C4" s="122" t="s">
        <v>1</v>
      </c>
    </row>
    <row r="5" spans="2:7" x14ac:dyDescent="0.3">
      <c r="B5" s="123" t="s">
        <v>1146</v>
      </c>
      <c r="C5" s="124" t="s">
        <v>1093</v>
      </c>
      <c r="D5" t="s">
        <v>84</v>
      </c>
    </row>
    <row r="6" spans="2:7" x14ac:dyDescent="0.3">
      <c r="B6" s="123" t="s">
        <v>1147</v>
      </c>
      <c r="C6" s="124" t="s">
        <v>1094</v>
      </c>
      <c r="D6" t="s">
        <v>84</v>
      </c>
    </row>
    <row r="7" spans="2:7" x14ac:dyDescent="0.3">
      <c r="B7" s="123" t="s">
        <v>1148</v>
      </c>
      <c r="C7" s="124" t="s">
        <v>1095</v>
      </c>
      <c r="D7" t="s">
        <v>84</v>
      </c>
    </row>
    <row r="8" spans="2:7" x14ac:dyDescent="0.3">
      <c r="B8" s="123" t="s">
        <v>1149</v>
      </c>
      <c r="C8" s="124" t="s">
        <v>1096</v>
      </c>
      <c r="D8" t="s">
        <v>84</v>
      </c>
    </row>
    <row r="9" spans="2:7" x14ac:dyDescent="0.3">
      <c r="B9" s="123" t="s">
        <v>1150</v>
      </c>
      <c r="C9" s="124" t="s">
        <v>1097</v>
      </c>
      <c r="D9" t="s">
        <v>84</v>
      </c>
    </row>
    <row r="10" spans="2:7" x14ac:dyDescent="0.3">
      <c r="B10" s="123" t="s">
        <v>1151</v>
      </c>
      <c r="C10" s="124" t="s">
        <v>1098</v>
      </c>
      <c r="D10" t="s">
        <v>84</v>
      </c>
    </row>
    <row r="11" spans="2:7" x14ac:dyDescent="0.3">
      <c r="B11" s="123" t="s">
        <v>1152</v>
      </c>
      <c r="C11" s="126" t="s">
        <v>1099</v>
      </c>
      <c r="D11" t="s">
        <v>84</v>
      </c>
    </row>
    <row r="12" spans="2:7" x14ac:dyDescent="0.3">
      <c r="B12" s="123" t="s">
        <v>1153</v>
      </c>
      <c r="C12" s="124" t="s">
        <v>1100</v>
      </c>
      <c r="D12" t="s">
        <v>84</v>
      </c>
    </row>
    <row r="13" spans="2:7" x14ac:dyDescent="0.3">
      <c r="B13" s="123" t="s">
        <v>1154</v>
      </c>
      <c r="C13" s="124" t="s">
        <v>1101</v>
      </c>
      <c r="D13" t="s">
        <v>84</v>
      </c>
    </row>
    <row r="14" spans="2:7" x14ac:dyDescent="0.3">
      <c r="B14" s="123" t="s">
        <v>1155</v>
      </c>
      <c r="C14" s="124" t="s">
        <v>1102</v>
      </c>
      <c r="D14" t="s">
        <v>84</v>
      </c>
    </row>
    <row r="15" spans="2:7" x14ac:dyDescent="0.3">
      <c r="B15" s="123" t="s">
        <v>1156</v>
      </c>
      <c r="C15" s="124" t="s">
        <v>1103</v>
      </c>
      <c r="D15" t="s">
        <v>84</v>
      </c>
    </row>
    <row r="16" spans="2:7" x14ac:dyDescent="0.3">
      <c r="B16" s="123" t="s">
        <v>1157</v>
      </c>
      <c r="C16" s="124" t="s">
        <v>1104</v>
      </c>
      <c r="D16" t="s">
        <v>84</v>
      </c>
    </row>
    <row r="17" spans="2:4" x14ac:dyDescent="0.3">
      <c r="B17" s="123" t="s">
        <v>1158</v>
      </c>
      <c r="C17" s="124" t="s">
        <v>1105</v>
      </c>
      <c r="D17" t="s">
        <v>84</v>
      </c>
    </row>
    <row r="18" spans="2:4" x14ac:dyDescent="0.3">
      <c r="B18" s="123" t="s">
        <v>1159</v>
      </c>
      <c r="C18" s="124" t="s">
        <v>1106</v>
      </c>
      <c r="D18" t="s">
        <v>84</v>
      </c>
    </row>
    <row r="19" spans="2:4" x14ac:dyDescent="0.3">
      <c r="B19" s="123" t="s">
        <v>1160</v>
      </c>
      <c r="C19" s="124" t="s">
        <v>1107</v>
      </c>
      <c r="D19" t="s">
        <v>84</v>
      </c>
    </row>
    <row r="20" spans="2:4" x14ac:dyDescent="0.3">
      <c r="B20" s="123" t="s">
        <v>1161</v>
      </c>
      <c r="C20" s="124" t="s">
        <v>1108</v>
      </c>
      <c r="D20" t="s">
        <v>84</v>
      </c>
    </row>
    <row r="21" spans="2:4" x14ac:dyDescent="0.3">
      <c r="B21" s="123" t="s">
        <v>1162</v>
      </c>
      <c r="C21" s="124" t="s">
        <v>1109</v>
      </c>
      <c r="D21" t="s">
        <v>84</v>
      </c>
    </row>
    <row r="22" spans="2:4" x14ac:dyDescent="0.3">
      <c r="B22" s="123"/>
      <c r="C22" s="124"/>
      <c r="D22" t="s">
        <v>84</v>
      </c>
    </row>
    <row r="23" spans="2:4" x14ac:dyDescent="0.3">
      <c r="B23" s="123" t="s">
        <v>1163</v>
      </c>
      <c r="C23" s="5" t="s">
        <v>1110</v>
      </c>
      <c r="D23" t="s">
        <v>84</v>
      </c>
    </row>
    <row r="24" spans="2:4" x14ac:dyDescent="0.3">
      <c r="B24" s="123" t="s">
        <v>1164</v>
      </c>
      <c r="C24" s="124" t="s">
        <v>1094</v>
      </c>
      <c r="D24" t="s">
        <v>84</v>
      </c>
    </row>
    <row r="25" spans="2:4" x14ac:dyDescent="0.3">
      <c r="B25" s="123" t="s">
        <v>1165</v>
      </c>
      <c r="C25" s="124" t="s">
        <v>1095</v>
      </c>
      <c r="D25" t="s">
        <v>84</v>
      </c>
    </row>
    <row r="26" spans="2:4" x14ac:dyDescent="0.3">
      <c r="B26" s="123" t="s">
        <v>1166</v>
      </c>
      <c r="C26" s="5" t="s">
        <v>1111</v>
      </c>
      <c r="D26" t="s">
        <v>84</v>
      </c>
    </row>
    <row r="27" spans="2:4" x14ac:dyDescent="0.3">
      <c r="B27" s="123" t="s">
        <v>1167</v>
      </c>
      <c r="C27" s="5" t="s">
        <v>1112</v>
      </c>
      <c r="D27" t="s">
        <v>84</v>
      </c>
    </row>
    <row r="28" spans="2:4" x14ac:dyDescent="0.3">
      <c r="B28" s="123" t="s">
        <v>1168</v>
      </c>
      <c r="C28" s="5" t="s">
        <v>1113</v>
      </c>
      <c r="D28" t="s">
        <v>84</v>
      </c>
    </row>
    <row r="29" spans="2:4" x14ac:dyDescent="0.3">
      <c r="B29" s="123" t="s">
        <v>1169</v>
      </c>
      <c r="C29" s="5" t="s">
        <v>1120</v>
      </c>
      <c r="D29" t="s">
        <v>84</v>
      </c>
    </row>
    <row r="30" spans="2:4" x14ac:dyDescent="0.3">
      <c r="B30" s="123" t="s">
        <v>1170</v>
      </c>
      <c r="C30" s="5" t="s">
        <v>1121</v>
      </c>
      <c r="D30" t="s">
        <v>84</v>
      </c>
    </row>
    <row r="31" spans="2:4" x14ac:dyDescent="0.3">
      <c r="B31" s="123" t="s">
        <v>1171</v>
      </c>
      <c r="C31" s="5" t="s">
        <v>1122</v>
      </c>
      <c r="D31" t="s">
        <v>84</v>
      </c>
    </row>
    <row r="32" spans="2:4" x14ac:dyDescent="0.3">
      <c r="B32" s="123" t="s">
        <v>1172</v>
      </c>
      <c r="C32" s="5" t="s">
        <v>1123</v>
      </c>
      <c r="D32" t="s">
        <v>84</v>
      </c>
    </row>
    <row r="33" spans="2:4" x14ac:dyDescent="0.3">
      <c r="B33" s="123" t="s">
        <v>1173</v>
      </c>
      <c r="C33" s="5" t="s">
        <v>1124</v>
      </c>
      <c r="D33" t="s">
        <v>84</v>
      </c>
    </row>
    <row r="34" spans="2:4" x14ac:dyDescent="0.3">
      <c r="B34" s="123" t="s">
        <v>1174</v>
      </c>
      <c r="C34" s="5" t="s">
        <v>1125</v>
      </c>
      <c r="D34" t="s">
        <v>84</v>
      </c>
    </row>
    <row r="35" spans="2:4" x14ac:dyDescent="0.3">
      <c r="B35" s="123" t="s">
        <v>1175</v>
      </c>
      <c r="C35" s="124" t="s">
        <v>1105</v>
      </c>
      <c r="D35" t="s">
        <v>84</v>
      </c>
    </row>
    <row r="36" spans="2:4" x14ac:dyDescent="0.3">
      <c r="B36" s="123" t="s">
        <v>1176</v>
      </c>
      <c r="C36" s="124" t="s">
        <v>1106</v>
      </c>
      <c r="D36" t="s">
        <v>84</v>
      </c>
    </row>
    <row r="37" spans="2:4" x14ac:dyDescent="0.3">
      <c r="B37" s="123" t="s">
        <v>1177</v>
      </c>
      <c r="C37" s="5" t="s">
        <v>1126</v>
      </c>
      <c r="D37" t="s">
        <v>84</v>
      </c>
    </row>
    <row r="38" spans="2:4" x14ac:dyDescent="0.3">
      <c r="B38" s="123" t="s">
        <v>1178</v>
      </c>
      <c r="C38" s="5" t="s">
        <v>1127</v>
      </c>
      <c r="D38" t="s">
        <v>84</v>
      </c>
    </row>
    <row r="39" spans="2:4" x14ac:dyDescent="0.3">
      <c r="B39" s="123" t="s">
        <v>1179</v>
      </c>
      <c r="C39" s="5" t="s">
        <v>1128</v>
      </c>
      <c r="D39" t="s">
        <v>84</v>
      </c>
    </row>
    <row r="40" spans="2:4" x14ac:dyDescent="0.3">
      <c r="B40" s="123"/>
      <c r="C40" s="124"/>
      <c r="D40" t="s">
        <v>84</v>
      </c>
    </row>
  </sheetData>
  <mergeCells count="1">
    <mergeCell ref="B2:C2"/>
  </mergeCells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24"/>
  <sheetViews>
    <sheetView zoomScale="70" zoomScaleNormal="70" workbookViewId="0">
      <selection activeCell="C32" sqref="C32"/>
    </sheetView>
  </sheetViews>
  <sheetFormatPr defaultColWidth="9.109375" defaultRowHeight="14.4" x14ac:dyDescent="0.3"/>
  <cols>
    <col min="1" max="1" width="4.44140625" customWidth="1"/>
    <col min="2" max="2" width="21.5546875" customWidth="1"/>
    <col min="3" max="3" width="214.5546875" customWidth="1"/>
  </cols>
  <sheetData>
    <row r="2" spans="2:4" s="297" customFormat="1" ht="18" x14ac:dyDescent="0.35">
      <c r="B2" s="392" t="s">
        <v>1211</v>
      </c>
      <c r="C2" s="392"/>
    </row>
    <row r="3" spans="2:4" ht="15" thickBot="1" x14ac:dyDescent="0.35">
      <c r="B3" s="1"/>
    </row>
    <row r="4" spans="2:4" ht="15" thickBot="1" x14ac:dyDescent="0.35">
      <c r="B4" s="355" t="s">
        <v>0</v>
      </c>
      <c r="C4" s="356" t="s">
        <v>1</v>
      </c>
      <c r="D4" t="s">
        <v>84</v>
      </c>
    </row>
    <row r="5" spans="2:4" x14ac:dyDescent="0.3">
      <c r="B5" s="357" t="s">
        <v>1137</v>
      </c>
      <c r="C5" s="367" t="s">
        <v>1180</v>
      </c>
      <c r="D5" t="s">
        <v>84</v>
      </c>
    </row>
    <row r="6" spans="2:4" x14ac:dyDescent="0.3">
      <c r="B6" s="123" t="s">
        <v>1138</v>
      </c>
      <c r="C6" s="368" t="s">
        <v>1181</v>
      </c>
      <c r="D6" t="s">
        <v>84</v>
      </c>
    </row>
    <row r="7" spans="2:4" x14ac:dyDescent="0.3">
      <c r="B7" s="123" t="s">
        <v>1139</v>
      </c>
      <c r="C7" s="368" t="s">
        <v>1182</v>
      </c>
      <c r="D7" t="s">
        <v>84</v>
      </c>
    </row>
    <row r="8" spans="2:4" x14ac:dyDescent="0.3">
      <c r="B8" s="123" t="s">
        <v>1140</v>
      </c>
      <c r="C8" s="368" t="s">
        <v>1183</v>
      </c>
      <c r="D8" t="s">
        <v>84</v>
      </c>
    </row>
    <row r="9" spans="2:4" x14ac:dyDescent="0.3">
      <c r="B9" s="123" t="s">
        <v>1141</v>
      </c>
      <c r="C9" s="368" t="s">
        <v>1185</v>
      </c>
      <c r="D9" t="s">
        <v>84</v>
      </c>
    </row>
    <row r="10" spans="2:4" x14ac:dyDescent="0.3">
      <c r="B10" s="123" t="s">
        <v>1142</v>
      </c>
      <c r="C10" s="368" t="s">
        <v>1184</v>
      </c>
      <c r="D10" t="s">
        <v>84</v>
      </c>
    </row>
    <row r="11" spans="2:4" x14ac:dyDescent="0.3">
      <c r="B11" s="123" t="s">
        <v>1143</v>
      </c>
      <c r="C11" s="368" t="s">
        <v>1187</v>
      </c>
      <c r="D11" t="s">
        <v>84</v>
      </c>
    </row>
    <row r="12" spans="2:4" x14ac:dyDescent="0.3">
      <c r="B12" s="123" t="s">
        <v>1144</v>
      </c>
      <c r="C12" s="368" t="s">
        <v>1189</v>
      </c>
      <c r="D12" t="s">
        <v>84</v>
      </c>
    </row>
    <row r="13" spans="2:4" x14ac:dyDescent="0.3">
      <c r="B13" s="123" t="s">
        <v>1145</v>
      </c>
      <c r="C13" s="368" t="s">
        <v>1188</v>
      </c>
      <c r="D13" t="s">
        <v>84</v>
      </c>
    </row>
    <row r="14" spans="2:4" x14ac:dyDescent="0.3">
      <c r="B14" s="99"/>
      <c r="C14" s="5"/>
      <c r="D14" t="s">
        <v>84</v>
      </c>
    </row>
    <row r="15" spans="2:4" x14ac:dyDescent="0.3">
      <c r="B15" s="123" t="s">
        <v>1137</v>
      </c>
      <c r="C15" s="368" t="s">
        <v>1114</v>
      </c>
      <c r="D15" t="s">
        <v>84</v>
      </c>
    </row>
    <row r="16" spans="2:4" x14ac:dyDescent="0.3">
      <c r="B16" s="123" t="s">
        <v>1138</v>
      </c>
      <c r="C16" s="368" t="s">
        <v>1115</v>
      </c>
      <c r="D16" t="s">
        <v>84</v>
      </c>
    </row>
    <row r="17" spans="2:4" x14ac:dyDescent="0.3">
      <c r="B17" s="123" t="s">
        <v>1139</v>
      </c>
      <c r="C17" s="368" t="s">
        <v>1116</v>
      </c>
      <c r="D17" t="s">
        <v>84</v>
      </c>
    </row>
    <row r="18" spans="2:4" x14ac:dyDescent="0.3">
      <c r="B18" s="123" t="s">
        <v>1140</v>
      </c>
      <c r="C18" s="368" t="s">
        <v>1117</v>
      </c>
      <c r="D18" t="s">
        <v>84</v>
      </c>
    </row>
    <row r="19" spans="2:4" x14ac:dyDescent="0.3">
      <c r="B19" s="123" t="s">
        <v>1141</v>
      </c>
      <c r="C19" s="368" t="s">
        <v>1186</v>
      </c>
      <c r="D19" t="s">
        <v>84</v>
      </c>
    </row>
    <row r="20" spans="2:4" x14ac:dyDescent="0.3">
      <c r="B20" s="123" t="s">
        <v>1142</v>
      </c>
      <c r="C20" s="368" t="s">
        <v>1118</v>
      </c>
      <c r="D20" t="s">
        <v>84</v>
      </c>
    </row>
    <row r="21" spans="2:4" x14ac:dyDescent="0.3">
      <c r="B21" s="123" t="s">
        <v>1143</v>
      </c>
      <c r="C21" s="368" t="s">
        <v>1129</v>
      </c>
      <c r="D21" t="s">
        <v>84</v>
      </c>
    </row>
    <row r="22" spans="2:4" x14ac:dyDescent="0.3">
      <c r="B22" s="123" t="s">
        <v>1144</v>
      </c>
      <c r="C22" s="368" t="s">
        <v>1130</v>
      </c>
      <c r="D22" t="s">
        <v>84</v>
      </c>
    </row>
    <row r="23" spans="2:4" ht="15" thickBot="1" x14ac:dyDescent="0.35">
      <c r="B23" s="352" t="s">
        <v>1145</v>
      </c>
      <c r="C23" s="369" t="s">
        <v>1119</v>
      </c>
      <c r="D23" t="s">
        <v>84</v>
      </c>
    </row>
    <row r="24" spans="2:4" x14ac:dyDescent="0.3">
      <c r="D24" t="s">
        <v>84</v>
      </c>
    </row>
  </sheetData>
  <mergeCells count="1">
    <mergeCell ref="B2:C2"/>
  </mergeCells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13"/>
  <sheetViews>
    <sheetView tabSelected="1" zoomScale="70" zoomScaleNormal="70" workbookViewId="0">
      <selection activeCell="C26" sqref="C26"/>
    </sheetView>
  </sheetViews>
  <sheetFormatPr defaultColWidth="9.109375" defaultRowHeight="14.4" x14ac:dyDescent="0.3"/>
  <cols>
    <col min="1" max="1" width="4.44140625" customWidth="1"/>
    <col min="2" max="2" width="21.5546875" customWidth="1"/>
    <col min="3" max="3" width="105.6640625" customWidth="1"/>
  </cols>
  <sheetData>
    <row r="2" spans="2:3" s="297" customFormat="1" ht="18" x14ac:dyDescent="0.35">
      <c r="B2" s="392" t="s">
        <v>1210</v>
      </c>
      <c r="C2" s="392"/>
    </row>
    <row r="3" spans="2:3" ht="15" thickBot="1" x14ac:dyDescent="0.35">
      <c r="B3" s="1"/>
    </row>
    <row r="4" spans="2:3" x14ac:dyDescent="0.3">
      <c r="B4" s="121" t="s">
        <v>0</v>
      </c>
      <c r="C4" s="122" t="s">
        <v>1</v>
      </c>
    </row>
    <row r="5" spans="2:3" x14ac:dyDescent="0.3">
      <c r="B5" s="123" t="s">
        <v>2</v>
      </c>
      <c r="C5" s="124" t="s">
        <v>3</v>
      </c>
    </row>
    <row r="6" spans="2:3" x14ac:dyDescent="0.3">
      <c r="B6" s="123" t="s">
        <v>4</v>
      </c>
      <c r="C6" s="124" t="s">
        <v>5</v>
      </c>
    </row>
    <row r="7" spans="2:3" x14ac:dyDescent="0.3">
      <c r="B7" s="123" t="s">
        <v>6</v>
      </c>
      <c r="C7" s="124" t="s">
        <v>7</v>
      </c>
    </row>
    <row r="8" spans="2:3" x14ac:dyDescent="0.3">
      <c r="B8" s="123" t="s">
        <v>8</v>
      </c>
      <c r="C8" s="124" t="s">
        <v>9</v>
      </c>
    </row>
    <row r="9" spans="2:3" x14ac:dyDescent="0.3">
      <c r="B9" s="123" t="s">
        <v>10</v>
      </c>
      <c r="C9" s="124" t="s">
        <v>11</v>
      </c>
    </row>
    <row r="10" spans="2:3" x14ac:dyDescent="0.3">
      <c r="B10" s="123" t="s">
        <v>12</v>
      </c>
      <c r="C10" s="124" t="s">
        <v>13</v>
      </c>
    </row>
    <row r="11" spans="2:3" x14ac:dyDescent="0.3">
      <c r="B11" s="125" t="s">
        <v>14</v>
      </c>
      <c r="C11" s="126" t="s">
        <v>15</v>
      </c>
    </row>
    <row r="12" spans="2:3" x14ac:dyDescent="0.3">
      <c r="B12" s="125" t="s">
        <v>16</v>
      </c>
      <c r="C12" s="126" t="s">
        <v>17</v>
      </c>
    </row>
    <row r="13" spans="2:3" ht="15" thickBot="1" x14ac:dyDescent="0.35">
      <c r="B13" s="127" t="s">
        <v>18</v>
      </c>
      <c r="C13" s="128" t="s">
        <v>19</v>
      </c>
    </row>
  </sheetData>
  <mergeCells count="1">
    <mergeCell ref="B2:C2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 Table 1 - Potential targets</vt:lpstr>
      <vt:lpstr>S Table 2 - Dvv dose-response </vt:lpstr>
      <vt:lpstr>S Table 3 - raw data - T. cas</vt:lpstr>
      <vt:lpstr> S Table 4 - ANOVA</vt:lpstr>
      <vt:lpstr>S Table 5 - raw data - Dvv</vt:lpstr>
      <vt:lpstr>S Table 6 - plant data</vt:lpstr>
      <vt:lpstr>S Table 7 - raw data - M.ae</vt:lpstr>
      <vt:lpstr>S Table 8 - Fig.5 Sequences</vt:lpstr>
      <vt:lpstr>S Table 9 - Sequences targets</vt:lpstr>
      <vt:lpstr>S Table 10 PCR probes &amp; primers</vt:lpstr>
    </vt:vector>
  </TitlesOfParts>
  <Manager/>
  <Company>Fraunhofer IME</Company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Eileen Knorr</dc:creator>
  <cp:keywords/>
  <dc:description/>
  <cp:lastModifiedBy>Elane Fishilevich</cp:lastModifiedBy>
  <cp:revision/>
  <dcterms:created xsi:type="dcterms:W3CDTF">2017-04-06T14:09:29Z</dcterms:created>
  <dcterms:modified xsi:type="dcterms:W3CDTF">2017-10-18T23:49:07Z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_Steward">
    <vt:lpwstr>Fishilevich E u783043</vt:lpwstr>
  </property>
  <property fmtid="{D5CDD505-2E9C-101B-9397-08002B2CF9AE}" pid="3" name="Update_Footer">
    <vt:lpwstr>No</vt:lpwstr>
  </property>
  <property fmtid="{D5CDD505-2E9C-101B-9397-08002B2CF9AE}" pid="4" name="Radio_Button">
    <vt:lpwstr>RadioButton2</vt:lpwstr>
  </property>
  <property fmtid="{D5CDD505-2E9C-101B-9397-08002B2CF9AE}" pid="5" name="Information_Classification">
    <vt:lpwstr/>
  </property>
  <property fmtid="{D5CDD505-2E9C-101B-9397-08002B2CF9AE}" pid="6" name="Record_Title_ID">
    <vt:lpwstr>73</vt:lpwstr>
  </property>
  <property fmtid="{D5CDD505-2E9C-101B-9397-08002B2CF9AE}" pid="7" name="Initial_Creation_Date">
    <vt:filetime>2017-04-06T14:09:29Z</vt:filetime>
  </property>
  <property fmtid="{D5CDD505-2E9C-101B-9397-08002B2CF9AE}" pid="8" name="Retention_Period_Start_Date">
    <vt:filetime>2017-10-11T20:09:13Z</vt:filetime>
  </property>
  <property fmtid="{D5CDD505-2E9C-101B-9397-08002B2CF9AE}" pid="9" name="Last_Reviewed_Date">
    <vt:lpwstr/>
  </property>
  <property fmtid="{D5CDD505-2E9C-101B-9397-08002B2CF9AE}" pid="10" name="Retention_Review_Frequency">
    <vt:lpwstr/>
  </property>
</Properties>
</file>